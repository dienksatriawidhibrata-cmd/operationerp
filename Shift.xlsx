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gik\Downloads\"/>
    </mc:Choice>
  </mc:AlternateContent>
  <xr:revisionPtr revIDLastSave="0" documentId="13_ncr:1_{25B78A6F-EC43-47A1-A3D0-70B21C0C93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ift" sheetId="1" r:id="rId1"/>
    <sheet name="Sheet2" sheetId="2" state="hidden" r:id="rId2"/>
    <sheet name="Pivot Table 1" sheetId="3" state="hidden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" i="2" l="1"/>
  <c r="G159" i="2"/>
  <c r="F159" i="2"/>
  <c r="E159" i="2"/>
  <c r="D159" i="2"/>
  <c r="J158" i="2"/>
  <c r="G158" i="2"/>
  <c r="F158" i="2"/>
  <c r="E158" i="2"/>
  <c r="D158" i="2"/>
  <c r="J157" i="2"/>
  <c r="G157" i="2"/>
  <c r="F157" i="2"/>
  <c r="E157" i="2"/>
  <c r="D157" i="2"/>
  <c r="J156" i="2"/>
  <c r="G156" i="2"/>
  <c r="F156" i="2"/>
  <c r="E156" i="2"/>
  <c r="D156" i="2"/>
  <c r="J155" i="2"/>
  <c r="G155" i="2"/>
  <c r="F155" i="2"/>
  <c r="E155" i="2"/>
  <c r="D155" i="2"/>
  <c r="J154" i="2"/>
  <c r="G154" i="2"/>
  <c r="F154" i="2"/>
  <c r="E154" i="2"/>
  <c r="D154" i="2"/>
  <c r="J153" i="2"/>
  <c r="G153" i="2"/>
  <c r="F153" i="2"/>
  <c r="E153" i="2"/>
  <c r="D153" i="2"/>
  <c r="J152" i="2"/>
  <c r="G152" i="2"/>
  <c r="F152" i="2"/>
  <c r="E152" i="2"/>
  <c r="D152" i="2"/>
  <c r="J151" i="2"/>
  <c r="G151" i="2"/>
  <c r="F151" i="2"/>
  <c r="E151" i="2"/>
  <c r="D151" i="2"/>
  <c r="J150" i="2"/>
  <c r="G150" i="2"/>
  <c r="F150" i="2"/>
  <c r="E150" i="2"/>
  <c r="D150" i="2"/>
  <c r="J149" i="2"/>
  <c r="G149" i="2"/>
  <c r="F149" i="2"/>
  <c r="E149" i="2"/>
  <c r="D149" i="2"/>
  <c r="J148" i="2"/>
  <c r="G148" i="2"/>
  <c r="F148" i="2"/>
  <c r="E148" i="2"/>
  <c r="D148" i="2"/>
  <c r="J147" i="2"/>
  <c r="G147" i="2"/>
  <c r="F147" i="2"/>
  <c r="E147" i="2"/>
  <c r="D147" i="2"/>
  <c r="J146" i="2"/>
  <c r="G146" i="2"/>
  <c r="F146" i="2"/>
  <c r="E146" i="2"/>
  <c r="D146" i="2"/>
  <c r="J145" i="2"/>
  <c r="G145" i="2"/>
  <c r="F145" i="2"/>
  <c r="E145" i="2"/>
  <c r="D145" i="2"/>
  <c r="J144" i="2"/>
  <c r="G144" i="2"/>
  <c r="F144" i="2"/>
  <c r="E144" i="2"/>
  <c r="D144" i="2"/>
  <c r="J143" i="2"/>
  <c r="G143" i="2"/>
  <c r="F143" i="2"/>
  <c r="E143" i="2"/>
  <c r="D143" i="2"/>
  <c r="J142" i="2"/>
  <c r="G142" i="2"/>
  <c r="F142" i="2"/>
  <c r="E142" i="2"/>
  <c r="D142" i="2"/>
  <c r="J141" i="2"/>
  <c r="G141" i="2"/>
  <c r="F141" i="2"/>
  <c r="E141" i="2"/>
  <c r="D141" i="2"/>
  <c r="J140" i="2"/>
  <c r="G140" i="2"/>
  <c r="F140" i="2"/>
  <c r="E140" i="2"/>
  <c r="D140" i="2"/>
  <c r="J139" i="2"/>
  <c r="G139" i="2"/>
  <c r="F139" i="2"/>
  <c r="E139" i="2"/>
  <c r="D139" i="2"/>
  <c r="J138" i="2"/>
  <c r="G138" i="2"/>
  <c r="F138" i="2"/>
  <c r="E138" i="2"/>
  <c r="D138" i="2"/>
  <c r="J137" i="2"/>
  <c r="G137" i="2"/>
  <c r="F137" i="2"/>
  <c r="E137" i="2"/>
  <c r="D137" i="2"/>
  <c r="J136" i="2"/>
  <c r="G136" i="2"/>
  <c r="F136" i="2"/>
  <c r="E136" i="2"/>
  <c r="D136" i="2"/>
  <c r="J135" i="2"/>
  <c r="G135" i="2"/>
  <c r="F135" i="2"/>
  <c r="E135" i="2"/>
  <c r="D135" i="2"/>
  <c r="J134" i="2"/>
  <c r="G134" i="2"/>
  <c r="F134" i="2"/>
  <c r="E134" i="2"/>
  <c r="D134" i="2"/>
  <c r="J133" i="2"/>
  <c r="G133" i="2"/>
  <c r="F133" i="2"/>
  <c r="E133" i="2"/>
  <c r="D133" i="2"/>
  <c r="J132" i="2"/>
  <c r="G132" i="2"/>
  <c r="F132" i="2"/>
  <c r="E132" i="2"/>
  <c r="D132" i="2"/>
  <c r="J131" i="2"/>
  <c r="G131" i="2"/>
  <c r="F131" i="2"/>
  <c r="E131" i="2"/>
  <c r="D131" i="2"/>
  <c r="J130" i="2"/>
  <c r="G130" i="2"/>
  <c r="F130" i="2"/>
  <c r="E130" i="2"/>
  <c r="D130" i="2"/>
  <c r="J129" i="2"/>
  <c r="G129" i="2"/>
  <c r="F129" i="2"/>
  <c r="E129" i="2"/>
  <c r="D129" i="2"/>
  <c r="J128" i="2"/>
  <c r="G128" i="2"/>
  <c r="F128" i="2"/>
  <c r="E128" i="2"/>
  <c r="D128" i="2"/>
  <c r="J127" i="2"/>
  <c r="G127" i="2"/>
  <c r="F127" i="2"/>
  <c r="E127" i="2"/>
  <c r="D127" i="2"/>
  <c r="J126" i="2"/>
  <c r="G126" i="2"/>
  <c r="F126" i="2"/>
  <c r="E126" i="2"/>
  <c r="D126" i="2"/>
  <c r="J125" i="2"/>
  <c r="G125" i="2"/>
  <c r="F125" i="2"/>
  <c r="E125" i="2"/>
  <c r="D125" i="2"/>
  <c r="J124" i="2"/>
  <c r="G124" i="2"/>
  <c r="F124" i="2"/>
  <c r="E124" i="2"/>
  <c r="D124" i="2"/>
  <c r="J123" i="2"/>
  <c r="G123" i="2"/>
  <c r="F123" i="2"/>
  <c r="E123" i="2"/>
  <c r="D123" i="2"/>
  <c r="J122" i="2"/>
  <c r="G122" i="2"/>
  <c r="F122" i="2"/>
  <c r="E122" i="2"/>
  <c r="D122" i="2"/>
  <c r="J121" i="2"/>
  <c r="G121" i="2"/>
  <c r="F121" i="2"/>
  <c r="E121" i="2"/>
  <c r="D121" i="2"/>
  <c r="J120" i="2"/>
  <c r="G120" i="2"/>
  <c r="F120" i="2"/>
  <c r="E120" i="2"/>
  <c r="D120" i="2"/>
  <c r="J119" i="2"/>
  <c r="G119" i="2"/>
  <c r="F119" i="2"/>
  <c r="E119" i="2"/>
  <c r="D119" i="2"/>
  <c r="J118" i="2"/>
  <c r="G118" i="2"/>
  <c r="F118" i="2"/>
  <c r="E118" i="2"/>
  <c r="D118" i="2"/>
  <c r="J117" i="2"/>
  <c r="G117" i="2"/>
  <c r="F117" i="2"/>
  <c r="E117" i="2"/>
  <c r="D117" i="2"/>
  <c r="J116" i="2"/>
  <c r="G116" i="2"/>
  <c r="F116" i="2"/>
  <c r="E116" i="2"/>
  <c r="D116" i="2"/>
  <c r="J115" i="2"/>
  <c r="G115" i="2"/>
  <c r="F115" i="2"/>
  <c r="E115" i="2"/>
  <c r="D115" i="2"/>
  <c r="J114" i="2"/>
  <c r="G114" i="2"/>
  <c r="F114" i="2"/>
  <c r="E114" i="2"/>
  <c r="D114" i="2"/>
  <c r="J113" i="2"/>
  <c r="G113" i="2"/>
  <c r="F113" i="2"/>
  <c r="E113" i="2"/>
  <c r="D113" i="2"/>
  <c r="J112" i="2"/>
  <c r="G112" i="2"/>
  <c r="F112" i="2"/>
  <c r="E112" i="2"/>
  <c r="D112" i="2"/>
  <c r="J111" i="2"/>
  <c r="G111" i="2"/>
  <c r="F111" i="2"/>
  <c r="E111" i="2"/>
  <c r="D111" i="2"/>
  <c r="J110" i="2"/>
  <c r="G110" i="2"/>
  <c r="F110" i="2"/>
  <c r="E110" i="2"/>
  <c r="D110" i="2"/>
  <c r="J109" i="2"/>
  <c r="G109" i="2"/>
  <c r="F109" i="2"/>
  <c r="E109" i="2"/>
  <c r="D109" i="2"/>
  <c r="J108" i="2"/>
  <c r="G108" i="2"/>
  <c r="F108" i="2"/>
  <c r="E108" i="2"/>
  <c r="D108" i="2"/>
  <c r="J107" i="2"/>
  <c r="G107" i="2"/>
  <c r="F107" i="2"/>
  <c r="E107" i="2"/>
  <c r="D107" i="2"/>
  <c r="J106" i="2"/>
  <c r="G106" i="2"/>
  <c r="F106" i="2"/>
  <c r="E106" i="2"/>
  <c r="D106" i="2"/>
  <c r="J105" i="2"/>
  <c r="G105" i="2"/>
  <c r="F105" i="2"/>
  <c r="E105" i="2"/>
  <c r="D105" i="2"/>
  <c r="J104" i="2"/>
  <c r="G104" i="2"/>
  <c r="F104" i="2"/>
  <c r="E104" i="2"/>
  <c r="D104" i="2"/>
  <c r="J103" i="2"/>
  <c r="G103" i="2"/>
  <c r="F103" i="2"/>
  <c r="E103" i="2"/>
  <c r="D103" i="2"/>
  <c r="J102" i="2"/>
  <c r="G102" i="2"/>
  <c r="F102" i="2"/>
  <c r="E102" i="2"/>
  <c r="D102" i="2"/>
  <c r="J101" i="2"/>
  <c r="G101" i="2"/>
  <c r="F101" i="2"/>
  <c r="E101" i="2"/>
  <c r="D101" i="2"/>
  <c r="J100" i="2"/>
  <c r="G100" i="2"/>
  <c r="F100" i="2"/>
  <c r="E100" i="2"/>
  <c r="D100" i="2"/>
  <c r="J99" i="2"/>
  <c r="G99" i="2"/>
  <c r="F99" i="2"/>
  <c r="E99" i="2"/>
  <c r="D99" i="2"/>
  <c r="J98" i="2"/>
  <c r="G98" i="2"/>
  <c r="F98" i="2"/>
  <c r="E98" i="2"/>
  <c r="D98" i="2"/>
  <c r="J97" i="2"/>
  <c r="G97" i="2"/>
  <c r="F97" i="2"/>
  <c r="E97" i="2"/>
  <c r="D97" i="2"/>
  <c r="J96" i="2"/>
  <c r="G96" i="2"/>
  <c r="F96" i="2"/>
  <c r="E96" i="2"/>
  <c r="D96" i="2"/>
  <c r="J95" i="2"/>
  <c r="G95" i="2"/>
  <c r="F95" i="2"/>
  <c r="E95" i="2"/>
  <c r="D95" i="2"/>
  <c r="J94" i="2"/>
  <c r="G94" i="2"/>
  <c r="F94" i="2"/>
  <c r="E94" i="2"/>
  <c r="D94" i="2"/>
  <c r="J93" i="2"/>
  <c r="G93" i="2"/>
  <c r="F93" i="2"/>
  <c r="E93" i="2"/>
  <c r="D93" i="2"/>
  <c r="J92" i="2"/>
  <c r="G92" i="2"/>
  <c r="F92" i="2"/>
  <c r="E92" i="2"/>
  <c r="D92" i="2"/>
  <c r="J91" i="2"/>
  <c r="G91" i="2"/>
  <c r="F91" i="2"/>
  <c r="E91" i="2"/>
  <c r="D91" i="2"/>
  <c r="J90" i="2"/>
  <c r="G90" i="2"/>
  <c r="F90" i="2"/>
  <c r="E90" i="2"/>
  <c r="D90" i="2"/>
  <c r="J89" i="2"/>
  <c r="G89" i="2"/>
  <c r="F89" i="2"/>
  <c r="E89" i="2"/>
  <c r="D89" i="2"/>
  <c r="J88" i="2"/>
  <c r="G88" i="2"/>
  <c r="F88" i="2"/>
  <c r="E88" i="2"/>
  <c r="D88" i="2"/>
  <c r="J87" i="2"/>
  <c r="F87" i="2"/>
  <c r="E87" i="2"/>
  <c r="D87" i="2"/>
  <c r="J86" i="2"/>
  <c r="G86" i="2"/>
  <c r="F86" i="2"/>
  <c r="E86" i="2"/>
  <c r="D86" i="2"/>
  <c r="J85" i="2"/>
  <c r="G85" i="2"/>
  <c r="F85" i="2"/>
  <c r="E85" i="2"/>
  <c r="D85" i="2"/>
  <c r="J84" i="2"/>
  <c r="G84" i="2"/>
  <c r="F84" i="2"/>
  <c r="E84" i="2"/>
  <c r="D84" i="2"/>
  <c r="J83" i="2"/>
  <c r="G83" i="2"/>
  <c r="F83" i="2"/>
  <c r="E83" i="2"/>
  <c r="D83" i="2"/>
  <c r="J82" i="2"/>
  <c r="G82" i="2"/>
  <c r="F82" i="2"/>
  <c r="E82" i="2"/>
  <c r="D82" i="2"/>
  <c r="J81" i="2"/>
  <c r="G81" i="2"/>
  <c r="F81" i="2"/>
  <c r="E81" i="2"/>
  <c r="D81" i="2"/>
  <c r="J80" i="2"/>
  <c r="G80" i="2"/>
  <c r="F80" i="2"/>
  <c r="E80" i="2"/>
  <c r="D80" i="2"/>
  <c r="J79" i="2"/>
  <c r="G79" i="2"/>
  <c r="F79" i="2"/>
  <c r="E79" i="2"/>
  <c r="D79" i="2"/>
  <c r="J78" i="2"/>
  <c r="G78" i="2"/>
  <c r="F78" i="2"/>
  <c r="E78" i="2"/>
  <c r="D78" i="2"/>
  <c r="J77" i="2"/>
  <c r="G77" i="2"/>
  <c r="F77" i="2"/>
  <c r="E77" i="2"/>
  <c r="D77" i="2"/>
  <c r="J76" i="2"/>
  <c r="G76" i="2"/>
  <c r="F76" i="2"/>
  <c r="E76" i="2"/>
  <c r="D76" i="2"/>
  <c r="J75" i="2"/>
  <c r="G75" i="2"/>
  <c r="F75" i="2"/>
  <c r="E75" i="2"/>
  <c r="D75" i="2"/>
  <c r="J74" i="2"/>
  <c r="G74" i="2"/>
  <c r="F74" i="2"/>
  <c r="E74" i="2"/>
  <c r="D74" i="2"/>
  <c r="J73" i="2"/>
  <c r="G73" i="2"/>
  <c r="F73" i="2"/>
  <c r="E73" i="2"/>
  <c r="D73" i="2"/>
  <c r="J72" i="2"/>
  <c r="G72" i="2"/>
  <c r="F72" i="2"/>
  <c r="E72" i="2"/>
  <c r="D72" i="2"/>
  <c r="J71" i="2"/>
  <c r="G71" i="2"/>
  <c r="F71" i="2"/>
  <c r="E71" i="2"/>
  <c r="D71" i="2"/>
  <c r="J70" i="2"/>
  <c r="G70" i="2"/>
  <c r="F70" i="2"/>
  <c r="E70" i="2"/>
  <c r="D70" i="2"/>
  <c r="J69" i="2"/>
  <c r="G69" i="2"/>
  <c r="F69" i="2"/>
  <c r="E69" i="2"/>
  <c r="D69" i="2"/>
  <c r="J68" i="2"/>
  <c r="G68" i="2"/>
  <c r="F68" i="2"/>
  <c r="E68" i="2"/>
  <c r="D68" i="2"/>
  <c r="J67" i="2"/>
  <c r="G67" i="2"/>
  <c r="F67" i="2"/>
  <c r="E67" i="2"/>
  <c r="D67" i="2"/>
  <c r="J66" i="2"/>
  <c r="G66" i="2"/>
  <c r="F66" i="2"/>
  <c r="E66" i="2"/>
  <c r="D66" i="2"/>
  <c r="J65" i="2"/>
  <c r="G65" i="2"/>
  <c r="F65" i="2"/>
  <c r="E65" i="2"/>
  <c r="D65" i="2"/>
  <c r="J64" i="2"/>
  <c r="G64" i="2"/>
  <c r="F64" i="2"/>
  <c r="E64" i="2"/>
  <c r="D64" i="2"/>
  <c r="J63" i="2"/>
  <c r="G63" i="2"/>
  <c r="F63" i="2"/>
  <c r="E63" i="2"/>
  <c r="D63" i="2"/>
  <c r="J62" i="2"/>
  <c r="G62" i="2"/>
  <c r="F62" i="2"/>
  <c r="E62" i="2"/>
  <c r="D62" i="2"/>
  <c r="J61" i="2"/>
  <c r="G61" i="2"/>
  <c r="F61" i="2"/>
  <c r="E61" i="2"/>
  <c r="D61" i="2"/>
  <c r="J60" i="2"/>
  <c r="G60" i="2"/>
  <c r="F60" i="2"/>
  <c r="E60" i="2"/>
  <c r="D60" i="2"/>
  <c r="J59" i="2"/>
  <c r="G59" i="2"/>
  <c r="F59" i="2"/>
  <c r="E59" i="2"/>
  <c r="D59" i="2"/>
  <c r="J58" i="2"/>
  <c r="G58" i="2"/>
  <c r="F58" i="2"/>
  <c r="E58" i="2"/>
  <c r="D58" i="2"/>
  <c r="J57" i="2"/>
  <c r="G57" i="2"/>
  <c r="F57" i="2"/>
  <c r="E57" i="2"/>
  <c r="D57" i="2"/>
  <c r="J56" i="2"/>
  <c r="G56" i="2"/>
  <c r="F56" i="2"/>
  <c r="E56" i="2"/>
  <c r="D56" i="2"/>
  <c r="J55" i="2"/>
  <c r="G55" i="2"/>
  <c r="F55" i="2"/>
  <c r="E55" i="2"/>
  <c r="D55" i="2"/>
  <c r="J54" i="2"/>
  <c r="G54" i="2"/>
  <c r="F54" i="2"/>
  <c r="E54" i="2"/>
  <c r="D54" i="2"/>
  <c r="J53" i="2"/>
  <c r="G53" i="2"/>
  <c r="F53" i="2"/>
  <c r="E53" i="2"/>
  <c r="D53" i="2"/>
  <c r="J52" i="2"/>
  <c r="G52" i="2"/>
  <c r="F52" i="2"/>
  <c r="E52" i="2"/>
  <c r="D52" i="2"/>
  <c r="J51" i="2"/>
  <c r="G51" i="2"/>
  <c r="F51" i="2"/>
  <c r="E51" i="2"/>
  <c r="D51" i="2"/>
  <c r="J50" i="2"/>
  <c r="G50" i="2"/>
  <c r="F50" i="2"/>
  <c r="E50" i="2"/>
  <c r="D50" i="2"/>
  <c r="J49" i="2"/>
  <c r="G49" i="2"/>
  <c r="F49" i="2"/>
  <c r="E49" i="2"/>
  <c r="D49" i="2"/>
  <c r="J48" i="2"/>
  <c r="G48" i="2"/>
  <c r="F48" i="2"/>
  <c r="E48" i="2"/>
  <c r="D48" i="2"/>
  <c r="J47" i="2"/>
  <c r="G47" i="2"/>
  <c r="F47" i="2"/>
  <c r="E47" i="2"/>
  <c r="D47" i="2"/>
  <c r="J46" i="2"/>
  <c r="G46" i="2"/>
  <c r="F46" i="2"/>
  <c r="E46" i="2"/>
  <c r="D46" i="2"/>
  <c r="J45" i="2"/>
  <c r="G45" i="2"/>
  <c r="F45" i="2"/>
  <c r="E45" i="2"/>
  <c r="D45" i="2"/>
  <c r="J44" i="2"/>
  <c r="G44" i="2"/>
  <c r="F44" i="2"/>
  <c r="E44" i="2"/>
  <c r="D44" i="2"/>
  <c r="J43" i="2"/>
  <c r="G43" i="2"/>
  <c r="F43" i="2"/>
  <c r="E43" i="2"/>
  <c r="D43" i="2"/>
  <c r="J42" i="2"/>
  <c r="G42" i="2"/>
  <c r="F42" i="2"/>
  <c r="E42" i="2"/>
  <c r="D42" i="2"/>
  <c r="J41" i="2"/>
  <c r="G41" i="2"/>
  <c r="F41" i="2"/>
  <c r="E41" i="2"/>
  <c r="D41" i="2"/>
  <c r="J40" i="2"/>
  <c r="G40" i="2"/>
  <c r="F40" i="2"/>
  <c r="E40" i="2"/>
  <c r="D40" i="2"/>
  <c r="J39" i="2"/>
  <c r="G39" i="2"/>
  <c r="F39" i="2"/>
  <c r="E39" i="2"/>
  <c r="D39" i="2"/>
  <c r="J38" i="2"/>
  <c r="G38" i="2"/>
  <c r="F38" i="2"/>
  <c r="E38" i="2"/>
  <c r="D38" i="2"/>
  <c r="J37" i="2"/>
  <c r="G37" i="2"/>
  <c r="F37" i="2"/>
  <c r="E37" i="2"/>
  <c r="D37" i="2"/>
  <c r="J36" i="2"/>
  <c r="G36" i="2"/>
  <c r="F36" i="2"/>
  <c r="E36" i="2"/>
  <c r="D36" i="2"/>
  <c r="J35" i="2"/>
  <c r="G35" i="2"/>
  <c r="F35" i="2"/>
  <c r="E35" i="2"/>
  <c r="D35" i="2"/>
  <c r="J34" i="2"/>
  <c r="G34" i="2"/>
  <c r="F34" i="2"/>
  <c r="E34" i="2"/>
  <c r="D34" i="2"/>
  <c r="J33" i="2"/>
  <c r="G33" i="2"/>
  <c r="F33" i="2"/>
  <c r="E33" i="2"/>
  <c r="D33" i="2"/>
  <c r="J32" i="2"/>
  <c r="G32" i="2"/>
  <c r="F32" i="2"/>
  <c r="E32" i="2"/>
  <c r="D32" i="2"/>
  <c r="J31" i="2"/>
  <c r="G31" i="2"/>
  <c r="F31" i="2"/>
  <c r="E31" i="2"/>
  <c r="D31" i="2"/>
  <c r="J30" i="2"/>
  <c r="G30" i="2"/>
  <c r="F30" i="2"/>
  <c r="E30" i="2"/>
  <c r="D30" i="2"/>
  <c r="J29" i="2"/>
  <c r="G29" i="2"/>
  <c r="F29" i="2"/>
  <c r="E29" i="2"/>
  <c r="D29" i="2"/>
  <c r="J28" i="2"/>
  <c r="G28" i="2"/>
  <c r="F28" i="2"/>
  <c r="E28" i="2"/>
  <c r="D28" i="2"/>
  <c r="J27" i="2"/>
  <c r="G27" i="2"/>
  <c r="F27" i="2"/>
  <c r="E27" i="2"/>
  <c r="D27" i="2"/>
  <c r="J26" i="2"/>
  <c r="G26" i="2"/>
  <c r="F26" i="2"/>
  <c r="E26" i="2"/>
  <c r="D26" i="2"/>
  <c r="J25" i="2"/>
  <c r="G25" i="2"/>
  <c r="F25" i="2"/>
  <c r="E25" i="2"/>
  <c r="D25" i="2"/>
  <c r="J24" i="2"/>
  <c r="G24" i="2"/>
  <c r="F24" i="2"/>
  <c r="E24" i="2"/>
  <c r="D24" i="2"/>
  <c r="J23" i="2"/>
  <c r="G23" i="2"/>
  <c r="F23" i="2"/>
  <c r="E23" i="2"/>
  <c r="D23" i="2"/>
  <c r="J22" i="2"/>
  <c r="G22" i="2"/>
  <c r="F22" i="2"/>
  <c r="E22" i="2"/>
  <c r="D22" i="2"/>
  <c r="J21" i="2"/>
  <c r="G21" i="2"/>
  <c r="F21" i="2"/>
  <c r="E21" i="2"/>
  <c r="D21" i="2"/>
  <c r="J20" i="2"/>
  <c r="G20" i="2"/>
  <c r="F20" i="2"/>
  <c r="E20" i="2"/>
  <c r="D20" i="2"/>
  <c r="J19" i="2"/>
  <c r="G19" i="2"/>
  <c r="F19" i="2"/>
  <c r="E19" i="2"/>
  <c r="D19" i="2"/>
  <c r="J18" i="2"/>
  <c r="G18" i="2"/>
  <c r="F18" i="2"/>
  <c r="E18" i="2"/>
  <c r="D18" i="2"/>
  <c r="J17" i="2"/>
  <c r="G17" i="2"/>
  <c r="F17" i="2"/>
  <c r="E17" i="2"/>
  <c r="D17" i="2"/>
  <c r="J16" i="2"/>
  <c r="G16" i="2"/>
  <c r="F16" i="2"/>
  <c r="E16" i="2"/>
  <c r="D16" i="2"/>
  <c r="J15" i="2"/>
  <c r="G15" i="2"/>
  <c r="F15" i="2"/>
  <c r="E15" i="2"/>
  <c r="D15" i="2"/>
  <c r="J14" i="2"/>
  <c r="G14" i="2"/>
  <c r="F14" i="2"/>
  <c r="E14" i="2"/>
  <c r="D14" i="2"/>
  <c r="J13" i="2"/>
  <c r="G13" i="2"/>
  <c r="F13" i="2"/>
  <c r="E13" i="2"/>
  <c r="D13" i="2"/>
  <c r="J12" i="2"/>
  <c r="G12" i="2"/>
  <c r="F12" i="2"/>
  <c r="E12" i="2"/>
  <c r="D12" i="2"/>
  <c r="J11" i="2"/>
  <c r="G11" i="2"/>
  <c r="F11" i="2"/>
  <c r="E11" i="2"/>
  <c r="D11" i="2"/>
  <c r="J10" i="2"/>
  <c r="G10" i="2"/>
  <c r="F10" i="2"/>
  <c r="E10" i="2"/>
  <c r="D10" i="2"/>
  <c r="J9" i="2"/>
  <c r="G9" i="2"/>
  <c r="F9" i="2"/>
  <c r="E9" i="2"/>
  <c r="D9" i="2"/>
  <c r="J8" i="2"/>
  <c r="G8" i="2"/>
  <c r="F8" i="2"/>
  <c r="E8" i="2"/>
  <c r="D8" i="2"/>
  <c r="J7" i="2"/>
  <c r="G7" i="2"/>
  <c r="F7" i="2"/>
  <c r="E7" i="2"/>
  <c r="D7" i="2"/>
  <c r="J6" i="2"/>
  <c r="G6" i="2"/>
  <c r="F6" i="2"/>
  <c r="E6" i="2"/>
  <c r="D6" i="2"/>
  <c r="J5" i="2"/>
  <c r="G5" i="2"/>
  <c r="F5" i="2"/>
  <c r="E5" i="2"/>
  <c r="D5" i="2"/>
  <c r="J4" i="2"/>
  <c r="G4" i="2"/>
  <c r="F4" i="2"/>
  <c r="E4" i="2"/>
  <c r="D4" i="2"/>
  <c r="J3" i="2"/>
  <c r="G3" i="2"/>
  <c r="F3" i="2"/>
  <c r="E3" i="2"/>
  <c r="D3" i="2"/>
  <c r="J2" i="2"/>
  <c r="G2" i="2"/>
  <c r="F2" i="2"/>
  <c r="E2" i="2"/>
  <c r="D2" i="2"/>
</calcChain>
</file>

<file path=xl/sharedStrings.xml><?xml version="1.0" encoding="utf-8"?>
<sst xmlns="http://schemas.openxmlformats.org/spreadsheetml/2006/main" count="1170" uniqueCount="80">
  <si>
    <t>Area</t>
  </si>
  <si>
    <t>Store Name</t>
  </si>
  <si>
    <t>Shift Type</t>
  </si>
  <si>
    <t>Shift Hour</t>
  </si>
  <si>
    <t>JBDTK</t>
  </si>
  <si>
    <t>Bagi Kopi - Bintaro</t>
  </si>
  <si>
    <t>DAY OFF</t>
  </si>
  <si>
    <t/>
  </si>
  <si>
    <t>OPENING</t>
  </si>
  <si>
    <t>06:30 - 14:30</t>
  </si>
  <si>
    <t>MIDDLE 1</t>
  </si>
  <si>
    <t>11:00 - 19:00</t>
  </si>
  <si>
    <t>CLOSING</t>
  </si>
  <si>
    <t>15:00 - 23:00</t>
  </si>
  <si>
    <t>JBR</t>
  </si>
  <si>
    <t>Bagi Kopi - Buah Batu</t>
  </si>
  <si>
    <t>06:30 - 15:00</t>
  </si>
  <si>
    <t>MIDDLE 2</t>
  </si>
  <si>
    <t>19:00 - 03:00</t>
  </si>
  <si>
    <t>Bagi Kopi - Cawang</t>
  </si>
  <si>
    <t>Bagi Kopi - Cilandak Barat</t>
  </si>
  <si>
    <t>Bagi Kopi - Ciledug</t>
  </si>
  <si>
    <t>Bagi Kopi - Cimahi Tengah</t>
  </si>
  <si>
    <t>Bagi Kopi - Ciputat Jombang</t>
  </si>
  <si>
    <t>Bagi Kopi - Ciputat Juanda</t>
  </si>
  <si>
    <t>SBY</t>
  </si>
  <si>
    <t>Bagi Kopi - Citraland</t>
  </si>
  <si>
    <t>14:00 - 22:00</t>
  </si>
  <si>
    <t>17:00 - 01:00</t>
  </si>
  <si>
    <t>Bagi Kopi - Ciumbuleuit</t>
  </si>
  <si>
    <t>Bagi Kopi - Jatinangor</t>
  </si>
  <si>
    <t>Bagi Kopi - Kalimalang</t>
  </si>
  <si>
    <t>Bagi Kopi - Karawaci</t>
  </si>
  <si>
    <t>Bagi Kopi - Kayu Putih</t>
  </si>
  <si>
    <t>12:00 - 20:00</t>
  </si>
  <si>
    <t>MIDDLE 1 WEEKEND</t>
  </si>
  <si>
    <t>MIDDLE 2 WEEKEND</t>
  </si>
  <si>
    <t>16:00 - 24:00</t>
  </si>
  <si>
    <t>CLOSING WEEKEND</t>
  </si>
  <si>
    <t>Bagi Kopi - Kemang Utara</t>
  </si>
  <si>
    <t>Bagi Kopi - Kiara Artha</t>
  </si>
  <si>
    <t>09:30 - 18:00</t>
  </si>
  <si>
    <t>Bagi Kopi - Kota Wisata</t>
  </si>
  <si>
    <t>CLOSING 1</t>
  </si>
  <si>
    <t>16:00 - 00:00</t>
  </si>
  <si>
    <t>CLOSING 2</t>
  </si>
  <si>
    <t>Bagi Kopi - Kranggan</t>
  </si>
  <si>
    <t>Bagi Kopi - Lebak Bulus</t>
  </si>
  <si>
    <t>Bagi Kopi - Lenteng Agung</t>
  </si>
  <si>
    <t>Bagi Kopi - Margonda Raya</t>
  </si>
  <si>
    <t>OPENING 2</t>
  </si>
  <si>
    <t>Bagi Kopi - Margorejo</t>
  </si>
  <si>
    <t>08:30 - 16:30</t>
  </si>
  <si>
    <t>18:00 - 02:00</t>
  </si>
  <si>
    <t>Bagi Kopi - Melong</t>
  </si>
  <si>
    <t>Bagi Kopi - Metro</t>
  </si>
  <si>
    <t>Bagi Kopi - Pamulang</t>
  </si>
  <si>
    <t>Bagi Kopi - Pekayon</t>
  </si>
  <si>
    <t>Bagi Kopi - Pengumben</t>
  </si>
  <si>
    <t>Bagi Kopi - Peta</t>
  </si>
  <si>
    <t>Bagi Kopi - Setu Cipayung</t>
  </si>
  <si>
    <t>Bagi Kopi - Subang</t>
  </si>
  <si>
    <t>08:30 - 17:00</t>
  </si>
  <si>
    <t>13:00 - 21:00</t>
  </si>
  <si>
    <t>Bagi Kopi - Sulanjana</t>
  </si>
  <si>
    <t>08:00 - 16:00</t>
  </si>
  <si>
    <t>Bagi Kopi - Ujung Berung</t>
  </si>
  <si>
    <t xml:space="preserve"> </t>
  </si>
  <si>
    <t>Clock In</t>
  </si>
  <si>
    <t>Clock Out</t>
  </si>
  <si>
    <t>Odoo Shift Name</t>
  </si>
  <si>
    <t>Clock In Odoo</t>
  </si>
  <si>
    <t>Clock Out Odoo</t>
  </si>
  <si>
    <t>Is Day Off</t>
  </si>
  <si>
    <t>Is Holiday</t>
  </si>
  <si>
    <t>TEST</t>
  </si>
  <si>
    <t>OPENING WEEKEND</t>
  </si>
  <si>
    <t>MIDDLE 2-KOTA WISATA</t>
  </si>
  <si>
    <t>COUNTA of Shift Type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</si>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</sst>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if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agi Kopi Indonesia" refreshedDate="46142.439809722222" refreshedVersion="8" recordCount="155" xr:uid="{00000000-000A-0000-FFFF-FFFF00000000}">
  <cacheSource type="worksheet">
    <worksheetSource ref="B1:I156" sheet="Sheet2"/>
  </cacheSource>
  <cacheFields count="8">
    <cacheField name="Store Name" numFmtId="0">
      <sharedItems count="32">
        <s v="Bagi Kopi - Bintaro"/>
        <s v="Bagi Kopi - Buah Batu"/>
        <s v="Bagi Kopi - Cawang"/>
        <s v="Bagi Kopi - Cilandak Barat"/>
        <s v="Bagi Kopi - Ciledug"/>
        <s v="Bagi Kopi - Cimahi Tengah"/>
        <s v="Bagi Kopi - Ciputat Jombang"/>
        <s v="Bagi Kopi - Ciputat Juanda"/>
        <s v="Bagi Kopi - Citraland"/>
        <s v="Bagi Kopi - Ciumbuleuit"/>
        <s v="Bagi Kopi - Jatinangor"/>
        <s v="Bagi Kopi - Kalimalang"/>
        <s v="Bagi Kopi - Karawaci"/>
        <s v="Bagi Kopi - Kayu Putih"/>
        <s v="Bagi Kopi - Kemang Utara"/>
        <s v="Bagi Kopi - Kiara Artha"/>
        <s v="Bagi Kopi - Kota Wisata"/>
        <s v="Bagi Kopi - Kranggan"/>
        <s v="Bagi Kopi - Lebak Bulus"/>
        <s v="Bagi Kopi - Lenteng Agung"/>
        <s v="Bagi Kopi - Margonda Raya"/>
        <s v="Bagi Kopi - Margorejo"/>
        <s v="Bagi Kopi - Melong"/>
        <s v="Bagi Kopi - Metro"/>
        <s v="Bagi Kopi - Pamulang"/>
        <s v="Bagi Kopi - Pekayon"/>
        <s v="Bagi Kopi - Pengumben"/>
        <s v="Bagi Kopi - Peta"/>
        <s v="Bagi Kopi - Setu Cipayung"/>
        <s v="Bagi Kopi - Subang"/>
        <s v="Bagi Kopi - Sulanjana"/>
        <s v="Bagi Kopi - Ujung Berung"/>
      </sharedItems>
    </cacheField>
    <cacheField name="Shift Type" numFmtId="0">
      <sharedItems count="10">
        <s v="DAY OFF"/>
        <s v="OPENING"/>
        <s v="MIDDLE 1"/>
        <s v="MIDDLE 2"/>
        <s v="CLOSING"/>
        <s v="MIDDLE 1 WEEKEND"/>
        <s v="OPENING WEEKEND"/>
        <s v="CLOSING WEEKEND"/>
        <s v="CLOSING 1"/>
        <s v="CLOSING 2"/>
      </sharedItems>
    </cacheField>
    <cacheField name=" " numFmtId="0">
      <sharedItems/>
    </cacheField>
    <cacheField name="Clock In" numFmtId="0">
      <sharedItems/>
    </cacheField>
    <cacheField name="Clock Out" numFmtId="0">
      <sharedItems/>
    </cacheField>
    <cacheField name="Odoo Shift Name" numFmtId="0">
      <sharedItems/>
    </cacheField>
    <cacheField name="Clock In Odoo" numFmtId="0">
      <sharedItems containsSemiMixedTypes="0" containsString="0" containsNumber="1" minValue="0" maxValue="19"/>
    </cacheField>
    <cacheField name="Clock Out Odoo" numFmtId="0">
      <sharedItems containsSemiMixedTypes="0" containsString="0" containsNumb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s v=""/>
    <s v="00:00"/>
    <s v="00:00"/>
    <s v="DAY OFF-BINTARO"/>
    <n v="0"/>
    <n v="0"/>
  </r>
  <r>
    <x v="0"/>
    <x v="1"/>
    <s v="06:30 - 14:30"/>
    <s v="06:30"/>
    <s v="14:30"/>
    <s v="OPENING-BINTARO"/>
    <n v="6.5"/>
    <n v="14.5"/>
  </r>
  <r>
    <x v="0"/>
    <x v="2"/>
    <s v="11:00 - 19:00"/>
    <s v="11:00"/>
    <s v="19:00"/>
    <s v="MIDDLE 1-BINTARO"/>
    <n v="11"/>
    <n v="19"/>
  </r>
  <r>
    <x v="0"/>
    <x v="3"/>
    <s v="15:00 - 23:00"/>
    <s v="15:00"/>
    <s v="23:00"/>
    <s v="MIDDLE 2-BINTARO"/>
    <n v="15"/>
    <n v="23"/>
  </r>
  <r>
    <x v="0"/>
    <x v="4"/>
    <s v="19:00 - 03:00"/>
    <s v="19:00"/>
    <s v="03:00"/>
    <s v="CLOSING-BINTARO"/>
    <n v="19"/>
    <n v="3"/>
  </r>
  <r>
    <x v="1"/>
    <x v="0"/>
    <s v=""/>
    <s v="00:00"/>
    <s v="00:00"/>
    <s v="DAY OFF-BUAH BATU"/>
    <n v="0"/>
    <n v="0"/>
  </r>
  <r>
    <x v="1"/>
    <x v="1"/>
    <s v="06:30 - 15:00"/>
    <s v="06:30"/>
    <s v="15:00"/>
    <s v="OPENING-BUAH BATU"/>
    <n v="6.5"/>
    <n v="15"/>
  </r>
  <r>
    <x v="1"/>
    <x v="2"/>
    <s v="11:00 - 19:00"/>
    <s v="11:00"/>
    <s v="19:00"/>
    <s v="MIDDLE 1-BUAH BATU"/>
    <n v="11"/>
    <n v="19"/>
  </r>
  <r>
    <x v="1"/>
    <x v="3"/>
    <s v="15:00 - 23:00"/>
    <s v="15:00"/>
    <s v="23:00"/>
    <s v="MIDDLE 2-BUAH BATU"/>
    <n v="15"/>
    <n v="23"/>
  </r>
  <r>
    <x v="1"/>
    <x v="4"/>
    <s v="19:00 - 03:00"/>
    <s v="19:00"/>
    <s v="03:00"/>
    <s v="CLOSING-BUAH BATU"/>
    <n v="19"/>
    <n v="3"/>
  </r>
  <r>
    <x v="2"/>
    <x v="0"/>
    <s v=""/>
    <s v="00:00"/>
    <s v="00:00"/>
    <s v="DAY OFF-CAWANG"/>
    <n v="0"/>
    <n v="0"/>
  </r>
  <r>
    <x v="2"/>
    <x v="1"/>
    <s v="06:30 - 14:30"/>
    <s v="06:30"/>
    <s v="14:30"/>
    <s v="OPENING-CAWANG"/>
    <n v="6.5"/>
    <n v="14.5"/>
  </r>
  <r>
    <x v="2"/>
    <x v="2"/>
    <s v="11:00 - 19:00"/>
    <s v="11:00"/>
    <s v="19:00"/>
    <s v="MIDDLE 1-CAWANG"/>
    <n v="11"/>
    <n v="19"/>
  </r>
  <r>
    <x v="2"/>
    <x v="3"/>
    <s v="15:00 - 23:00"/>
    <s v="15:00"/>
    <s v="23:00"/>
    <s v="MIDDLE 2-CAWANG"/>
    <n v="15"/>
    <n v="23"/>
  </r>
  <r>
    <x v="2"/>
    <x v="4"/>
    <s v="19:00 - 03:00"/>
    <s v="19:00"/>
    <s v="03:00"/>
    <s v="CLOSING-CAWANG"/>
    <n v="19"/>
    <n v="3"/>
  </r>
  <r>
    <x v="3"/>
    <x v="0"/>
    <s v=""/>
    <s v="00:00"/>
    <s v="00:00"/>
    <s v="DAY OFF-CILANDAK BARAT"/>
    <n v="0"/>
    <n v="0"/>
  </r>
  <r>
    <x v="3"/>
    <x v="1"/>
    <s v="06:30 - 14:30"/>
    <s v="06:30"/>
    <s v="14:30"/>
    <s v="OPENING-CILANDAK BARAT"/>
    <n v="6.5"/>
    <n v="14.5"/>
  </r>
  <r>
    <x v="3"/>
    <x v="2"/>
    <s v="11:00 - 19:00"/>
    <s v="11:00"/>
    <s v="19:00"/>
    <s v="MIDDLE 1-CILANDAK BARAT"/>
    <n v="11"/>
    <n v="19"/>
  </r>
  <r>
    <x v="3"/>
    <x v="4"/>
    <s v="15:00 - 23:00"/>
    <s v="15:00"/>
    <s v="23:00"/>
    <s v="CLOSING-CILANDAK BARAT"/>
    <n v="15"/>
    <n v="23"/>
  </r>
  <r>
    <x v="4"/>
    <x v="0"/>
    <s v=""/>
    <s v="00:00"/>
    <s v="00:00"/>
    <s v="DAY OFF-CILEDUG"/>
    <n v="0"/>
    <n v="0"/>
  </r>
  <r>
    <x v="4"/>
    <x v="1"/>
    <s v="06:30 - 14:30"/>
    <s v="06:30"/>
    <s v="14:30"/>
    <s v="OPENING-CILEDUG"/>
    <n v="6.5"/>
    <n v="14.5"/>
  </r>
  <r>
    <x v="4"/>
    <x v="2"/>
    <s v="11:00 - 19:00"/>
    <s v="11:00"/>
    <s v="19:00"/>
    <s v="MIDDLE 1-CILEDUG"/>
    <n v="11"/>
    <n v="19"/>
  </r>
  <r>
    <x v="4"/>
    <x v="3"/>
    <s v="15:00 - 23:00"/>
    <s v="15:00"/>
    <s v="23:00"/>
    <s v="MIDDLE 2-CILEDUG"/>
    <n v="15"/>
    <n v="23"/>
  </r>
  <r>
    <x v="4"/>
    <x v="4"/>
    <s v="19:00 - 03:00"/>
    <s v="19:00"/>
    <s v="03:00"/>
    <s v="CLOSING-CILEDUG"/>
    <n v="19"/>
    <n v="3"/>
  </r>
  <r>
    <x v="5"/>
    <x v="0"/>
    <s v=""/>
    <s v="00:00"/>
    <s v="00:00"/>
    <s v="DAY OFF-CIMAHI TENGAH"/>
    <n v="0"/>
    <n v="0"/>
  </r>
  <r>
    <x v="5"/>
    <x v="1"/>
    <s v="06:30 - 15:00"/>
    <s v="06:30"/>
    <s v="15:00"/>
    <s v="OPENING-CIMAHI TENGAH"/>
    <n v="6.5"/>
    <n v="15"/>
  </r>
  <r>
    <x v="5"/>
    <x v="2"/>
    <s v="11:00 - 19:00"/>
    <s v="11:00"/>
    <s v="19:00"/>
    <s v="MIDDLE 1-CIMAHI TENGAH"/>
    <n v="11"/>
    <n v="19"/>
  </r>
  <r>
    <x v="5"/>
    <x v="3"/>
    <s v="15:00 - 23:00"/>
    <s v="15:00"/>
    <s v="23:00"/>
    <s v="MIDDLE 2-CIMAHI TENGAH"/>
    <n v="15"/>
    <n v="23"/>
  </r>
  <r>
    <x v="5"/>
    <x v="4"/>
    <s v="19:00 - 03:00"/>
    <s v="19:00"/>
    <s v="03:00"/>
    <s v="CLOSING-CIMAHI TENGAH"/>
    <n v="19"/>
    <n v="3"/>
  </r>
  <r>
    <x v="6"/>
    <x v="0"/>
    <s v=""/>
    <s v="00:00"/>
    <s v="00:00"/>
    <s v="DAY OFF-CIPUTAT JOMBANG"/>
    <n v="0"/>
    <n v="0"/>
  </r>
  <r>
    <x v="6"/>
    <x v="1"/>
    <s v="06:30 - 14:30"/>
    <s v="06:30"/>
    <s v="14:30"/>
    <s v="OPENING-CIPUTAT JOMBANG"/>
    <n v="6.5"/>
    <n v="14.5"/>
  </r>
  <r>
    <x v="6"/>
    <x v="2"/>
    <s v="11:00 - 19:00"/>
    <s v="11:00"/>
    <s v="19:00"/>
    <s v="MIDDLE 1-CIPUTAT JOMBANG"/>
    <n v="11"/>
    <n v="19"/>
  </r>
  <r>
    <x v="6"/>
    <x v="3"/>
    <s v="15:00 - 23:00"/>
    <s v="15:00"/>
    <s v="23:00"/>
    <s v="MIDDLE 2-CIPUTAT JOMBANG"/>
    <n v="15"/>
    <n v="23"/>
  </r>
  <r>
    <x v="6"/>
    <x v="4"/>
    <s v="19:00 - 03:00"/>
    <s v="19:00"/>
    <s v="03:00"/>
    <s v="CLOSING-CIPUTAT JOMBANG"/>
    <n v="19"/>
    <n v="3"/>
  </r>
  <r>
    <x v="7"/>
    <x v="0"/>
    <s v=""/>
    <s v="00:00"/>
    <s v="00:00"/>
    <s v="DAY OFF-CIPUTAT JUANDA"/>
    <n v="0"/>
    <n v="0"/>
  </r>
  <r>
    <x v="7"/>
    <x v="1"/>
    <s v="06:30 - 14:30"/>
    <s v="06:30"/>
    <s v="14:30"/>
    <s v="OPENING-CIPUTAT JUANDA"/>
    <n v="6.5"/>
    <n v="14.5"/>
  </r>
  <r>
    <x v="7"/>
    <x v="2"/>
    <s v="11:00 - 19:00"/>
    <s v="11:00"/>
    <s v="19:00"/>
    <s v="MIDDLE 1-CIPUTAT JUANDA"/>
    <n v="11"/>
    <n v="19"/>
  </r>
  <r>
    <x v="7"/>
    <x v="3"/>
    <s v="15:00 - 23:00"/>
    <s v="15:00"/>
    <s v="23:00"/>
    <s v="MIDDLE 2-CIPUTAT JUANDA"/>
    <n v="15"/>
    <n v="23"/>
  </r>
  <r>
    <x v="7"/>
    <x v="4"/>
    <s v="19:00 - 03:00"/>
    <s v="19:00"/>
    <s v="03:00"/>
    <s v="CLOSING-CIPUTAT JUANDA"/>
    <n v="19"/>
    <n v="3"/>
  </r>
  <r>
    <x v="8"/>
    <x v="0"/>
    <s v=""/>
    <s v="00:00"/>
    <s v="00:00"/>
    <s v="DAY OFF-CITRALAND"/>
    <n v="0"/>
    <n v="0"/>
  </r>
  <r>
    <x v="8"/>
    <x v="1"/>
    <s v="06:30 - 15:00"/>
    <s v="06:30"/>
    <s v="15:00"/>
    <s v="OPENING-CITRALAND"/>
    <n v="6.5"/>
    <n v="15"/>
  </r>
  <r>
    <x v="8"/>
    <x v="2"/>
    <s v="11:00 - 19:00"/>
    <s v="11:00"/>
    <s v="19:00"/>
    <s v="MIDDLE 1-CITRALAND"/>
    <n v="11"/>
    <n v="19"/>
  </r>
  <r>
    <x v="8"/>
    <x v="3"/>
    <s v="14:00 - 22:00"/>
    <s v="14:00"/>
    <s v="22:00"/>
    <s v="MIDDLE 2-CITRALAND"/>
    <n v="14"/>
    <n v="22"/>
  </r>
  <r>
    <x v="8"/>
    <x v="4"/>
    <s v="17:00 - 01:00"/>
    <s v="17:00"/>
    <s v="01:00"/>
    <s v="CLOSING-CITRALAND"/>
    <n v="17"/>
    <n v="1"/>
  </r>
  <r>
    <x v="9"/>
    <x v="0"/>
    <s v=""/>
    <s v="00:00"/>
    <s v="00:00"/>
    <s v="DAY OFF-CIUMBULEUIT"/>
    <n v="0"/>
    <n v="0"/>
  </r>
  <r>
    <x v="9"/>
    <x v="1"/>
    <s v="06:30 - 15:00"/>
    <s v="06:30"/>
    <s v="15:00"/>
    <s v="OPENING-CIUMBULEUIT"/>
    <n v="6.5"/>
    <n v="15"/>
  </r>
  <r>
    <x v="9"/>
    <x v="2"/>
    <s v="11:00 - 19:00"/>
    <s v="11:00"/>
    <s v="19:00"/>
    <s v="MIDDLE 1-CIUMBULEUIT"/>
    <n v="11"/>
    <n v="19"/>
  </r>
  <r>
    <x v="9"/>
    <x v="3"/>
    <s v="15:00 - 23:00"/>
    <s v="15:00"/>
    <s v="23:00"/>
    <s v="MIDDLE 2-CIUMBULEUIT"/>
    <n v="15"/>
    <n v="23"/>
  </r>
  <r>
    <x v="9"/>
    <x v="4"/>
    <s v="19:00 - 03:00"/>
    <s v="19:00"/>
    <s v="03:00"/>
    <s v="CLOSING-CIUMBULEUIT"/>
    <n v="19"/>
    <n v="3"/>
  </r>
  <r>
    <x v="10"/>
    <x v="0"/>
    <s v=""/>
    <s v="00:00"/>
    <s v="00:00"/>
    <s v="DAY OFF-JATINANGOR"/>
    <n v="0"/>
    <n v="0"/>
  </r>
  <r>
    <x v="10"/>
    <x v="1"/>
    <s v="06:30 - 15:00"/>
    <s v="06:30"/>
    <s v="15:00"/>
    <s v="OPENING-JATINANGOR"/>
    <n v="6.5"/>
    <n v="15"/>
  </r>
  <r>
    <x v="10"/>
    <x v="2"/>
    <s v="12:00 - 20:00"/>
    <s v="12:00"/>
    <s v="20:00"/>
    <s v="MIDDLE 1-JATINANGOR"/>
    <n v="12"/>
    <n v="20"/>
  </r>
  <r>
    <x v="10"/>
    <x v="4"/>
    <s v="16:00 - 00:00"/>
    <s v="16:00"/>
    <s v="00:00"/>
    <s v="CLOSING-JATINANGOR"/>
    <n v="16"/>
    <n v="0"/>
  </r>
  <r>
    <x v="11"/>
    <x v="0"/>
    <s v=""/>
    <s v="00:00"/>
    <s v="00:00"/>
    <s v="DAY OFF-KALIMALANG"/>
    <n v="0"/>
    <n v="0"/>
  </r>
  <r>
    <x v="11"/>
    <x v="1"/>
    <s v="06:30 - 14:30"/>
    <s v="06:30"/>
    <s v="14:30"/>
    <s v="OPENING-KALIMALANG"/>
    <n v="6.5"/>
    <n v="14.5"/>
  </r>
  <r>
    <x v="11"/>
    <x v="2"/>
    <s v="11:00 - 19:00"/>
    <s v="11:00"/>
    <s v="19:00"/>
    <s v="MIDDLE 1-KALIMALANG"/>
    <n v="11"/>
    <n v="19"/>
  </r>
  <r>
    <x v="11"/>
    <x v="3"/>
    <s v="15:00 - 23:00"/>
    <s v="15:00"/>
    <s v="23:00"/>
    <s v="MIDDLE 2-KALIMALANG"/>
    <n v="15"/>
    <n v="23"/>
  </r>
  <r>
    <x v="11"/>
    <x v="4"/>
    <s v="19:00 - 03:00"/>
    <s v="19:00"/>
    <s v="03:00"/>
    <s v="CLOSING-KALIMALANG"/>
    <n v="19"/>
    <n v="3"/>
  </r>
  <r>
    <x v="12"/>
    <x v="0"/>
    <s v=""/>
    <s v="00:00"/>
    <s v="00:00"/>
    <s v="DAY OFF-KARAWACI"/>
    <n v="0"/>
    <n v="0"/>
  </r>
  <r>
    <x v="12"/>
    <x v="1"/>
    <s v="06:30 - 14:30"/>
    <s v="06:30"/>
    <s v="14:30"/>
    <s v="OPENING-KARAWACI"/>
    <n v="6.5"/>
    <n v="14.5"/>
  </r>
  <r>
    <x v="12"/>
    <x v="2"/>
    <s v="11:00 - 19:00"/>
    <s v="11:00"/>
    <s v="19:00"/>
    <s v="MIDDLE 1-KARAWACI"/>
    <n v="11"/>
    <n v="19"/>
  </r>
  <r>
    <x v="12"/>
    <x v="3"/>
    <s v="15:00 - 23:00"/>
    <s v="15:00"/>
    <s v="23:00"/>
    <s v="MIDDLE 2-KARAWACI"/>
    <n v="15"/>
    <n v="23"/>
  </r>
  <r>
    <x v="12"/>
    <x v="4"/>
    <s v="19:00 - 03:00"/>
    <s v="19:00"/>
    <s v="03:00"/>
    <s v="CLOSING-KARAWACI"/>
    <n v="19"/>
    <n v="3"/>
  </r>
  <r>
    <x v="13"/>
    <x v="0"/>
    <s v=""/>
    <s v="00:00"/>
    <s v="00:00"/>
    <s v="DAY OFF-KAYU PUTIH"/>
    <n v="0"/>
    <n v="0"/>
  </r>
  <r>
    <x v="13"/>
    <x v="1"/>
    <s v="06:30 - 14:30"/>
    <s v="06:30"/>
    <s v="14:30"/>
    <s v="OPENING-KAYU PUTIH"/>
    <n v="6.5"/>
    <n v="14.5"/>
  </r>
  <r>
    <x v="13"/>
    <x v="2"/>
    <s v="11:00 - 19:00"/>
    <s v="11:00"/>
    <s v="19:00"/>
    <s v="MIDDLE 1-KAYU PUTIH"/>
    <n v="11"/>
    <n v="19"/>
  </r>
  <r>
    <x v="13"/>
    <x v="5"/>
    <s v="12:00 - 20:00"/>
    <s v="12:00"/>
    <s v="20:00"/>
    <s v="MIDDLE 1 WEEKEND-KAYU PUTIH"/>
    <n v="12"/>
    <n v="20"/>
  </r>
  <r>
    <x v="13"/>
    <x v="3"/>
    <s v="15:00 - 23:00"/>
    <s v="15:00"/>
    <s v="23:00"/>
    <s v="MIDDLE 2-KAYU PUTIH"/>
    <n v="15"/>
    <n v="23"/>
  </r>
  <r>
    <x v="13"/>
    <x v="6"/>
    <s v="16:00 - 14:30"/>
    <s v="16:00"/>
    <s v="14:30"/>
    <s v="OPENING WEEKEND-KAYU PUTIH"/>
    <n v="16"/>
    <n v="14.5"/>
  </r>
  <r>
    <x v="13"/>
    <x v="4"/>
    <s v="19:00 - 03:00"/>
    <s v="19:00"/>
    <s v="03:00"/>
    <s v="CLOSING-KAYU PUTIH"/>
    <n v="19"/>
    <n v="3"/>
  </r>
  <r>
    <x v="13"/>
    <x v="7"/>
    <s v="19:00 - 03:00"/>
    <s v="19:00"/>
    <s v="03:00"/>
    <s v="CLOSING WEEKEND-KAYU PUTIH"/>
    <n v="19"/>
    <n v="3"/>
  </r>
  <r>
    <x v="14"/>
    <x v="0"/>
    <s v=""/>
    <s v="00:00"/>
    <s v="00:00"/>
    <s v="DAY OFF-KEMANG UTARA"/>
    <n v="0"/>
    <n v="0"/>
  </r>
  <r>
    <x v="14"/>
    <x v="1"/>
    <s v="06:30 - 14:30"/>
    <s v="06:30"/>
    <s v="14:30"/>
    <s v="OPENING-KEMANG UTARA"/>
    <n v="6.5"/>
    <n v="14.5"/>
  </r>
  <r>
    <x v="14"/>
    <x v="2"/>
    <s v="11:00 - 19:00"/>
    <s v="11:00"/>
    <s v="19:00"/>
    <s v="MIDDLE 1-KEMANG UTARA"/>
    <n v="11"/>
    <n v="19"/>
  </r>
  <r>
    <x v="14"/>
    <x v="3"/>
    <s v="15:00 - 23:00"/>
    <s v="15:00"/>
    <s v="23:00"/>
    <s v="MIDDLE 2-KEMANG UTARA"/>
    <n v="15"/>
    <n v="23"/>
  </r>
  <r>
    <x v="14"/>
    <x v="4"/>
    <s v="19:00 - 03:00"/>
    <s v="19:00"/>
    <s v="03:00"/>
    <s v="CLOSING-KEMANG UTARA"/>
    <n v="19"/>
    <n v="3"/>
  </r>
  <r>
    <x v="15"/>
    <x v="0"/>
    <s v=""/>
    <s v="00:00"/>
    <s v="00:00"/>
    <s v="DAY OFF-KIARA ARTHA"/>
    <n v="0"/>
    <n v="0"/>
  </r>
  <r>
    <x v="15"/>
    <x v="1"/>
    <s v="06:30 - 15:00"/>
    <s v="06:30"/>
    <s v="15:00"/>
    <s v="OPENING-KIARA ARTHA"/>
    <n v="6.5"/>
    <n v="15"/>
  </r>
  <r>
    <x v="15"/>
    <x v="2"/>
    <s v="09:30 - 18:00"/>
    <s v="09:30"/>
    <s v="18:00"/>
    <s v="MIDDLE 1-KIARA ARTHA"/>
    <n v="9.5"/>
    <n v="18"/>
  </r>
  <r>
    <x v="15"/>
    <x v="3"/>
    <s v="15:00 - 23:00"/>
    <s v="15:00"/>
    <s v="23:00"/>
    <s v="MIDDLE 2-KIARA ARTHA"/>
    <n v="15"/>
    <n v="23"/>
  </r>
  <r>
    <x v="15"/>
    <x v="4"/>
    <s v="19:00 - 03:00"/>
    <s v="19:00"/>
    <s v="03:00"/>
    <s v="CLOSING-KIARA ARTHA"/>
    <n v="19"/>
    <n v="3"/>
  </r>
  <r>
    <x v="16"/>
    <x v="0"/>
    <s v=""/>
    <s v="00:00"/>
    <s v="00:00"/>
    <s v="DAY OFF-KOTA WISATA"/>
    <n v="0"/>
    <n v="0"/>
  </r>
  <r>
    <x v="16"/>
    <x v="1"/>
    <s v="06:30 - 15:00"/>
    <s v="06:30"/>
    <s v="15:00"/>
    <s v="OPENING-KOTA WISATA"/>
    <n v="6.5"/>
    <n v="15"/>
  </r>
  <r>
    <x v="16"/>
    <x v="2"/>
    <s v="09:30 - 18:00"/>
    <s v="09:30"/>
    <s v="18:00"/>
    <s v="MIDDLE 1-KOTA WISATA"/>
    <n v="9.5"/>
    <n v="18"/>
  </r>
  <r>
    <x v="16"/>
    <x v="3"/>
    <s v="15:00 - 23:00"/>
    <s v="15:00"/>
    <s v="23:00"/>
    <s v="MIDDLE 2-KOTA WISATA"/>
    <n v="15"/>
    <n v="23"/>
  </r>
  <r>
    <x v="16"/>
    <x v="8"/>
    <s v="16:00 - 00:00"/>
    <s v="16:00"/>
    <s v="00:00"/>
    <s v="MIDDLE 2-KOTA WISATA"/>
    <n v="16"/>
    <n v="0"/>
  </r>
  <r>
    <x v="16"/>
    <x v="9"/>
    <s v="19:00 - 03:00"/>
    <s v="19:00"/>
    <s v="03:00"/>
    <s v="CLOSING 2-KOTA WISATA"/>
    <n v="19"/>
    <n v="3"/>
  </r>
  <r>
    <x v="17"/>
    <x v="0"/>
    <s v=""/>
    <s v="00:00"/>
    <s v="00:00"/>
    <s v="DAY OFF-KRANGGAN"/>
    <n v="0"/>
    <n v="0"/>
  </r>
  <r>
    <x v="17"/>
    <x v="1"/>
    <s v="06:30 - 15:00"/>
    <s v="06:30"/>
    <s v="15:00"/>
    <s v="OPENING-KRANGGAN"/>
    <n v="6.5"/>
    <n v="15"/>
  </r>
  <r>
    <x v="17"/>
    <x v="2"/>
    <s v="11:00 - 19:00"/>
    <s v="11:00"/>
    <s v="19:00"/>
    <s v="MIDDLE 1-KRANGGAN"/>
    <n v="11"/>
    <n v="19"/>
  </r>
  <r>
    <x v="17"/>
    <x v="3"/>
    <s v="15:00 - 23:00"/>
    <s v="15:00"/>
    <s v="23:00"/>
    <s v="MIDDLE 2-KRANGGAN"/>
    <n v="15"/>
    <n v="23"/>
  </r>
  <r>
    <x v="17"/>
    <x v="4"/>
    <s v="19:00 - 03:00"/>
    <s v="19:00"/>
    <s v="03:00"/>
    <s v="CLOSING-KRANGGAN"/>
    <n v="19"/>
    <n v="3"/>
  </r>
  <r>
    <x v="18"/>
    <x v="0"/>
    <s v=""/>
    <s v="00:00"/>
    <s v="00:00"/>
    <s v="DAY OFF-LEBAK BULUS"/>
    <n v="0"/>
    <n v="0"/>
  </r>
  <r>
    <x v="18"/>
    <x v="1"/>
    <s v="06:30 - 14:30"/>
    <s v="06:30"/>
    <s v="14:30"/>
    <s v="OPENING-LEBAK BULUS"/>
    <n v="6.5"/>
    <n v="14.5"/>
  </r>
  <r>
    <x v="18"/>
    <x v="2"/>
    <s v="11:00 - 19:00"/>
    <s v="11:00"/>
    <s v="19:00"/>
    <s v="MIDDLE 1-LEBAK BULUS"/>
    <n v="11"/>
    <n v="19"/>
  </r>
  <r>
    <x v="18"/>
    <x v="3"/>
    <s v="15:00 - 23:00"/>
    <s v="15:00"/>
    <s v="23:00"/>
    <s v="MIDDLE 2-LEBAK BULUS"/>
    <n v="15"/>
    <n v="23"/>
  </r>
  <r>
    <x v="18"/>
    <x v="4"/>
    <s v="19:00 - 03:00"/>
    <s v="19:00"/>
    <s v="03:00"/>
    <s v="CLOSING-LEBAK BULUS"/>
    <n v="19"/>
    <n v="3"/>
  </r>
  <r>
    <x v="19"/>
    <x v="0"/>
    <s v=""/>
    <s v="00:00"/>
    <s v="00:00"/>
    <s v="DAY OFF-LENTENG AGUNG"/>
    <n v="0"/>
    <n v="0"/>
  </r>
  <r>
    <x v="19"/>
    <x v="1"/>
    <s v="06:30 - 15:00"/>
    <s v="06:30"/>
    <s v="15:00"/>
    <s v="OPENING-LENTENG AGUNG"/>
    <n v="6.5"/>
    <n v="15"/>
  </r>
  <r>
    <x v="19"/>
    <x v="2"/>
    <s v="11:00 - 19:00"/>
    <s v="11:00"/>
    <s v="19:00"/>
    <s v="MIDDLE 1-LENTENG AGUNG"/>
    <n v="11"/>
    <n v="19"/>
  </r>
  <r>
    <x v="19"/>
    <x v="3"/>
    <s v="15:00 - 23:00"/>
    <s v="15:00"/>
    <s v="23:00"/>
    <s v="MIDDLE 2-LENTENG AGUNG"/>
    <n v="15"/>
    <n v="23"/>
  </r>
  <r>
    <x v="19"/>
    <x v="4"/>
    <s v="19:00 - 03:00"/>
    <s v="19:00"/>
    <s v="03:00"/>
    <s v="CLOSING-LENTENG AGUNG"/>
    <n v="19"/>
    <n v="3"/>
  </r>
  <r>
    <x v="20"/>
    <x v="0"/>
    <s v=""/>
    <s v="00:00"/>
    <s v="00:00"/>
    <s v="DAY OFF-MARGONDA RAYA"/>
    <n v="0"/>
    <n v="0"/>
  </r>
  <r>
    <x v="20"/>
    <x v="1"/>
    <s v="06:30 - 15:00"/>
    <s v="06:30"/>
    <s v="15:00"/>
    <s v="OPENING-MARGONDA RAYA"/>
    <n v="6.5"/>
    <n v="15"/>
  </r>
  <r>
    <x v="20"/>
    <x v="2"/>
    <s v="12:00 - 20:00"/>
    <s v="12:00"/>
    <s v="20:00"/>
    <s v="MIDDLE 1-MARGONDA RAYA"/>
    <n v="12"/>
    <n v="20"/>
  </r>
  <r>
    <x v="20"/>
    <x v="4"/>
    <s v="16:00 - 00:00"/>
    <s v="16:00"/>
    <s v="00:00"/>
    <s v="CLOSING-MARGONDA RAYA"/>
    <n v="16"/>
    <n v="0"/>
  </r>
  <r>
    <x v="21"/>
    <x v="0"/>
    <s v=""/>
    <s v="00:00"/>
    <s v="00:00"/>
    <s v="DAY OFF-MARGOREJO"/>
    <n v="0"/>
    <n v="0"/>
  </r>
  <r>
    <x v="21"/>
    <x v="1"/>
    <s v="08:30 - 16:30"/>
    <s v="08:30"/>
    <s v="16:30"/>
    <s v="OPENING-MARGOREJO"/>
    <n v="8.5"/>
    <n v="16.5"/>
  </r>
  <r>
    <x v="21"/>
    <x v="2"/>
    <s v="12:00 - 20:00"/>
    <s v="12:00"/>
    <s v="20:00"/>
    <s v="MIDDLE 1-MARGOREJO"/>
    <n v="12"/>
    <n v="20"/>
  </r>
  <r>
    <x v="21"/>
    <x v="3"/>
    <s v="15:00 - 23:00"/>
    <s v="15:00"/>
    <s v="23:00"/>
    <s v="MIDDLE 2-MARGOREJO"/>
    <n v="15"/>
    <n v="23"/>
  </r>
  <r>
    <x v="21"/>
    <x v="4"/>
    <s v="18:00 - 02:00"/>
    <s v="18:00"/>
    <s v="02:00"/>
    <s v="CLOSING-MARGOREJO"/>
    <n v="18"/>
    <n v="2"/>
  </r>
  <r>
    <x v="22"/>
    <x v="0"/>
    <s v=""/>
    <s v="00:00"/>
    <s v="00:00"/>
    <s v="DAY OFF-MELONG"/>
    <n v="0"/>
    <n v="0"/>
  </r>
  <r>
    <x v="22"/>
    <x v="1"/>
    <s v="06:30 - 15:00"/>
    <s v="06:30"/>
    <s v="15:00"/>
    <s v="OPENING-MELONG"/>
    <n v="6.5"/>
    <n v="15"/>
  </r>
  <r>
    <x v="22"/>
    <x v="2"/>
    <s v="09:30 - 18:00"/>
    <s v="09:30"/>
    <s v="18:00"/>
    <s v="MIDDLE 1-MELONG"/>
    <n v="9.5"/>
    <n v="18"/>
  </r>
  <r>
    <x v="22"/>
    <x v="3"/>
    <s v="15:00 - 23:00"/>
    <s v="15:00"/>
    <s v="23:00"/>
    <s v="MIDDLE 2-MELONG"/>
    <n v="15"/>
    <n v="23"/>
  </r>
  <r>
    <x v="22"/>
    <x v="4"/>
    <s v="19:00 - 03:00"/>
    <s v="19:00"/>
    <s v="03:00"/>
    <s v="CLOSING-MELONG"/>
    <n v="19"/>
    <n v="3"/>
  </r>
  <r>
    <x v="23"/>
    <x v="0"/>
    <s v=""/>
    <s v="00:00"/>
    <s v="00:00"/>
    <s v="DAY OFF-METRO"/>
    <n v="0"/>
    <n v="0"/>
  </r>
  <r>
    <x v="23"/>
    <x v="1"/>
    <s v="06:30 - 15:00"/>
    <s v="06:30"/>
    <s v="15:00"/>
    <s v="OPENING-METRO"/>
    <n v="6.5"/>
    <n v="15"/>
  </r>
  <r>
    <x v="23"/>
    <x v="2"/>
    <s v="09:30 - 18:00"/>
    <s v="09:30"/>
    <s v="18:00"/>
    <s v="MIDDLE 1-METRO"/>
    <n v="9.5"/>
    <n v="18"/>
  </r>
  <r>
    <x v="23"/>
    <x v="3"/>
    <s v="15:00 - 23:00"/>
    <s v="15:00"/>
    <s v="23:00"/>
    <s v="MIDDLE 2-METRO"/>
    <n v="15"/>
    <n v="23"/>
  </r>
  <r>
    <x v="23"/>
    <x v="4"/>
    <s v="19:00 - 03:00"/>
    <s v="19:00"/>
    <s v="03:00"/>
    <s v="CLOSING-METRO"/>
    <n v="19"/>
    <n v="3"/>
  </r>
  <r>
    <x v="24"/>
    <x v="0"/>
    <s v=""/>
    <s v="00:00"/>
    <s v="00:00"/>
    <s v="DAY OFF-PAMULANG"/>
    <n v="0"/>
    <n v="0"/>
  </r>
  <r>
    <x v="24"/>
    <x v="1"/>
    <s v="06:30 - 14:30"/>
    <s v="06:30"/>
    <s v="14:30"/>
    <s v="OPENING-PAMULANG"/>
    <n v="6.5"/>
    <n v="14.5"/>
  </r>
  <r>
    <x v="24"/>
    <x v="2"/>
    <s v="11:00 - 19:00"/>
    <s v="11:00"/>
    <s v="19:00"/>
    <s v="MIDDLE 1-PAMULANG"/>
    <n v="11"/>
    <n v="19"/>
  </r>
  <r>
    <x v="24"/>
    <x v="3"/>
    <s v="15:00 - 23:00"/>
    <s v="15:00"/>
    <s v="23:00"/>
    <s v="MIDDLE 2-PAMULANG"/>
    <n v="15"/>
    <n v="23"/>
  </r>
  <r>
    <x v="24"/>
    <x v="4"/>
    <s v="19:00 - 03:00"/>
    <s v="19:00"/>
    <s v="03:00"/>
    <s v="CLOSING-PAMULANG"/>
    <n v="19"/>
    <n v="3"/>
  </r>
  <r>
    <x v="25"/>
    <x v="0"/>
    <s v=""/>
    <s v="00:00"/>
    <s v="00:00"/>
    <s v="DAY OFF-PEKAYON"/>
    <n v="0"/>
    <n v="0"/>
  </r>
  <r>
    <x v="25"/>
    <x v="1"/>
    <s v="06:30 - 15:00"/>
    <s v="06:30"/>
    <s v="15:00"/>
    <s v="OPENING-PEKAYON"/>
    <n v="6.5"/>
    <n v="15"/>
  </r>
  <r>
    <x v="25"/>
    <x v="2"/>
    <s v="11:00 - 19:00"/>
    <s v="11:00"/>
    <s v="19:00"/>
    <s v="MIDDLE 1-PEKAYON"/>
    <n v="11"/>
    <n v="19"/>
  </r>
  <r>
    <x v="25"/>
    <x v="3"/>
    <s v="15:00 - 23:00"/>
    <s v="15:00"/>
    <s v="23:00"/>
    <s v="MIDDLE 2-PEKAYON"/>
    <n v="15"/>
    <n v="23"/>
  </r>
  <r>
    <x v="25"/>
    <x v="4"/>
    <s v="19:00 - 03:00"/>
    <s v="19:00"/>
    <s v="03:00"/>
    <s v="CLOSING-PEKAYON"/>
    <n v="19"/>
    <n v="3"/>
  </r>
  <r>
    <x v="26"/>
    <x v="0"/>
    <s v=""/>
    <s v="00:00"/>
    <s v="00:00"/>
    <s v="DAY OFF-PENGUMBEN"/>
    <n v="0"/>
    <n v="0"/>
  </r>
  <r>
    <x v="26"/>
    <x v="1"/>
    <s v="06:30 - 14:30"/>
    <s v="06:30"/>
    <s v="14:30"/>
    <s v="OPENING-PENGUMBEN"/>
    <n v="6.5"/>
    <n v="14.5"/>
  </r>
  <r>
    <x v="26"/>
    <x v="2"/>
    <s v="11:00 - 19:00"/>
    <s v="11:00"/>
    <s v="19:00"/>
    <s v="MIDDLE 1-PENGUMBEN"/>
    <n v="11"/>
    <n v="19"/>
  </r>
  <r>
    <x v="26"/>
    <x v="3"/>
    <s v="15:00 - 23:00"/>
    <s v="15:00"/>
    <s v="23:00"/>
    <s v="MIDDLE 2-PENGUMBEN"/>
    <n v="15"/>
    <n v="23"/>
  </r>
  <r>
    <x v="26"/>
    <x v="4"/>
    <s v="19:00 - 03:00"/>
    <s v="19:00"/>
    <s v="03:00"/>
    <s v="CLOSING-PENGUMBEN"/>
    <n v="19"/>
    <n v="3"/>
  </r>
  <r>
    <x v="27"/>
    <x v="0"/>
    <s v=""/>
    <s v="00:00"/>
    <s v="00:00"/>
    <s v="DAY OFF-PETA"/>
    <n v="0"/>
    <n v="0"/>
  </r>
  <r>
    <x v="27"/>
    <x v="1"/>
    <s v="06:30 - 15:00"/>
    <s v="06:30"/>
    <s v="15:00"/>
    <s v="OPENING-PETA"/>
    <n v="6.5"/>
    <n v="15"/>
  </r>
  <r>
    <x v="27"/>
    <x v="2"/>
    <s v="11:00 - 19:00"/>
    <s v="11:00"/>
    <s v="19:00"/>
    <s v="MIDDLE 1-PETA"/>
    <n v="11"/>
    <n v="19"/>
  </r>
  <r>
    <x v="27"/>
    <x v="3"/>
    <s v="15:00 - 23:00"/>
    <s v="15:00"/>
    <s v="23:00"/>
    <s v="MIDDLE 2-PETA"/>
    <n v="15"/>
    <n v="23"/>
  </r>
  <r>
    <x v="27"/>
    <x v="4"/>
    <s v="19:00 - 03:00"/>
    <s v="19:00"/>
    <s v="03:00"/>
    <s v="CLOSING-PETA"/>
    <n v="19"/>
    <n v="3"/>
  </r>
  <r>
    <x v="28"/>
    <x v="0"/>
    <s v=""/>
    <s v="00:00"/>
    <s v="00:00"/>
    <s v="DAY OFF-SETU CIPAYUNG"/>
    <n v="0"/>
    <n v="0"/>
  </r>
  <r>
    <x v="28"/>
    <x v="1"/>
    <s v="06:30 - 14:30"/>
    <s v="06:30"/>
    <s v="14:30"/>
    <s v="OPENING-SETU CIPAYUNG"/>
    <n v="6.5"/>
    <n v="14.5"/>
  </r>
  <r>
    <x v="28"/>
    <x v="2"/>
    <s v="11:00 - 19:00"/>
    <s v="11:00"/>
    <s v="19:00"/>
    <s v="MIDDLE 1-SETU CIPAYUNG"/>
    <n v="11"/>
    <n v="19"/>
  </r>
  <r>
    <x v="28"/>
    <x v="3"/>
    <s v="15:00 - 23:00"/>
    <s v="15:00"/>
    <s v="23:00"/>
    <s v="MIDDLE 2-SETU CIPAYUNG"/>
    <n v="15"/>
    <n v="23"/>
  </r>
  <r>
    <x v="28"/>
    <x v="4"/>
    <s v="19:00 - 03:00"/>
    <s v="19:00"/>
    <s v="03:00"/>
    <s v="CLOSING-SETU CIPAYUNG"/>
    <n v="19"/>
    <n v="3"/>
  </r>
  <r>
    <x v="29"/>
    <x v="0"/>
    <s v=""/>
    <s v="00:00"/>
    <s v="00:00"/>
    <s v="DAY OFF-SUBANG"/>
    <n v="0"/>
    <n v="0"/>
  </r>
  <r>
    <x v="29"/>
    <x v="1"/>
    <s v="08:30 - 17:00"/>
    <s v="08:30"/>
    <s v="17:00"/>
    <s v="OPENING-SUBANG"/>
    <n v="8.5"/>
    <n v="17"/>
  </r>
  <r>
    <x v="29"/>
    <x v="2"/>
    <s v="13:00 - 21:00"/>
    <s v="13:00"/>
    <s v="21:00"/>
    <s v="MIDDLE 1-SUBANG"/>
    <n v="13"/>
    <n v="21"/>
  </r>
  <r>
    <x v="29"/>
    <x v="4"/>
    <s v="14:00 - 22:00"/>
    <s v="14:00"/>
    <s v="22:00"/>
    <s v="CLOSING-SUBANG"/>
    <n v="14"/>
    <n v="22"/>
  </r>
  <r>
    <x v="30"/>
    <x v="0"/>
    <s v=""/>
    <s v="00:00"/>
    <s v="00:00"/>
    <s v="DAY OFF-SULANJANA"/>
    <n v="0"/>
    <n v="0"/>
  </r>
  <r>
    <x v="30"/>
    <x v="1"/>
    <s v="08:00 - 16:00"/>
    <s v="08:00"/>
    <s v="16:00"/>
    <s v="OPENING-SULANJANA"/>
    <n v="8"/>
    <n v="16"/>
  </r>
  <r>
    <x v="30"/>
    <x v="4"/>
    <s v="13:00 - 21:00"/>
    <s v="13:00"/>
    <s v="21:00"/>
    <s v="CLOSING-SULANJANA"/>
    <n v="13"/>
    <n v="21"/>
  </r>
  <r>
    <x v="31"/>
    <x v="0"/>
    <s v=""/>
    <s v="00:00"/>
    <s v="00:00"/>
    <s v="DAY OFF-UJUNG BERUNG"/>
    <n v="0"/>
    <n v="0"/>
  </r>
  <r>
    <x v="31"/>
    <x v="1"/>
    <s v="06:30 - 15:00"/>
    <s v="06:30"/>
    <s v="15:00"/>
    <s v="OPENING-UJUNG BERUNG"/>
    <n v="6.5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5" applyNumberFormats="0" applyBorderFormats="0" applyFontFormats="0" applyPatternFormats="0" applyAlignmentFormats="0" applyWidthHeightFormats="0" dataCaption="" updatedVersion="8" compact="0" compactData="0">
  <location ref="A1:L35" firstHeaderRow="1" firstDataRow="2" firstDataCol="1"/>
  <pivotFields count="8">
    <pivotField name="Store Name" axis="axisRow" compact="0" outline="0" multipleItemSelectionAllowed="1" showAll="0" sortType="ascending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hift Type" axis="axisCol" dataField="1" compact="0" outline="0" multipleItemSelectionAllowed="1" showAll="0" sortType="ascending">
      <items count="11">
        <item x="4"/>
        <item x="8"/>
        <item x="9"/>
        <item x="7"/>
        <item x="0"/>
        <item x="2"/>
        <item x="5"/>
        <item x="3"/>
        <item x="1"/>
        <item x="6"/>
        <item t="default"/>
      </items>
    </pivotField>
    <pivotField name=" " compact="0" outline="0" multipleItemSelectionAllowed="1" showAll="0"/>
    <pivotField name="Clock In" compact="0" outline="0" multipleItemSelectionAllowed="1" showAll="0"/>
    <pivotField name="Clock Out" compact="0" outline="0" multipleItemSelectionAllowed="1" showAll="0"/>
    <pivotField name="Odoo Shift Name" compact="0" outline="0" multipleItemSelectionAllowed="1" showAll="0"/>
    <pivotField name="Clock In Odoo" compact="0" outline="0" multipleItemSelectionAllowed="1" showAll="0"/>
    <pivotField name="Clock Out Odoo" compact="0" outline="0" multipleItemSelectionAllowe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A of Shift Type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ift" displayName="Shift" ref="A1:D159">
  <tableColumns count="4">
    <tableColumn id="1" xr3:uid="{00000000-0010-0000-0000-000001000000}" name="Area"/>
    <tableColumn id="3" xr3:uid="{00000000-0010-0000-0000-000003000000}" name="Store Name"/>
    <tableColumn id="4" xr3:uid="{00000000-0010-0000-0000-000004000000}" name="Shift Type"/>
    <tableColumn id="5" xr3:uid="{00000000-0010-0000-0000-000005000000}" name="Shift Hour"/>
  </tableColumns>
  <tableStyleInfo name="Shif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9"/>
  <sheetViews>
    <sheetView tabSelected="1" workbookViewId="0">
      <pane ySplit="1" topLeftCell="A41" activePane="bottomLeft" state="frozen"/>
      <selection pane="bottomLeft" activeCell="F43" sqref="F43"/>
    </sheetView>
  </sheetViews>
  <sheetFormatPr defaultColWidth="12.5703125" defaultRowHeight="15.75" customHeight="1" x14ac:dyDescent="0.2"/>
  <cols>
    <col min="1" max="2" width="22.28515625" customWidth="1"/>
    <col min="3" max="3" width="17.5703125" customWidth="1"/>
    <col min="4" max="4" width="11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3" t="s">
        <v>4</v>
      </c>
      <c r="B3" s="3" t="s">
        <v>5</v>
      </c>
      <c r="C3" s="3" t="s">
        <v>8</v>
      </c>
      <c r="D3" s="3" t="s">
        <v>9</v>
      </c>
    </row>
    <row r="4" spans="1:4" x14ac:dyDescent="0.2">
      <c r="A4" s="3" t="s">
        <v>4</v>
      </c>
      <c r="B4" s="3" t="s">
        <v>5</v>
      </c>
      <c r="C4" s="3" t="s">
        <v>10</v>
      </c>
      <c r="D4" s="3" t="s">
        <v>11</v>
      </c>
    </row>
    <row r="5" spans="1:4" x14ac:dyDescent="0.2">
      <c r="A5" s="3" t="s">
        <v>4</v>
      </c>
      <c r="B5" s="3" t="s">
        <v>5</v>
      </c>
      <c r="C5" s="3" t="s">
        <v>12</v>
      </c>
      <c r="D5" s="3" t="s">
        <v>13</v>
      </c>
    </row>
    <row r="6" spans="1:4" x14ac:dyDescent="0.2">
      <c r="A6" s="3" t="s">
        <v>14</v>
      </c>
      <c r="B6" s="3" t="s">
        <v>15</v>
      </c>
      <c r="C6" s="3" t="s">
        <v>6</v>
      </c>
      <c r="D6" s="3" t="s">
        <v>7</v>
      </c>
    </row>
    <row r="7" spans="1:4" x14ac:dyDescent="0.2">
      <c r="A7" s="3" t="s">
        <v>14</v>
      </c>
      <c r="B7" s="3" t="s">
        <v>15</v>
      </c>
      <c r="C7" s="3" t="s">
        <v>8</v>
      </c>
      <c r="D7" s="3" t="s">
        <v>16</v>
      </c>
    </row>
    <row r="8" spans="1:4" x14ac:dyDescent="0.2">
      <c r="A8" s="3" t="s">
        <v>14</v>
      </c>
      <c r="B8" s="3" t="s">
        <v>15</v>
      </c>
      <c r="C8" s="3" t="s">
        <v>10</v>
      </c>
      <c r="D8" s="3" t="s">
        <v>11</v>
      </c>
    </row>
    <row r="9" spans="1:4" x14ac:dyDescent="0.2">
      <c r="A9" s="3" t="s">
        <v>14</v>
      </c>
      <c r="B9" s="3" t="s">
        <v>15</v>
      </c>
      <c r="C9" s="3" t="s">
        <v>17</v>
      </c>
      <c r="D9" s="3" t="s">
        <v>13</v>
      </c>
    </row>
    <row r="10" spans="1:4" x14ac:dyDescent="0.2">
      <c r="A10" s="3" t="s">
        <v>14</v>
      </c>
      <c r="B10" s="3" t="s">
        <v>15</v>
      </c>
      <c r="C10" s="3" t="s">
        <v>12</v>
      </c>
      <c r="D10" s="3" t="s">
        <v>18</v>
      </c>
    </row>
    <row r="11" spans="1:4" x14ac:dyDescent="0.2">
      <c r="A11" s="3" t="s">
        <v>4</v>
      </c>
      <c r="B11" s="3" t="s">
        <v>19</v>
      </c>
      <c r="C11" s="3" t="s">
        <v>6</v>
      </c>
      <c r="D11" s="3" t="s">
        <v>7</v>
      </c>
    </row>
    <row r="12" spans="1:4" x14ac:dyDescent="0.2">
      <c r="A12" s="3" t="s">
        <v>4</v>
      </c>
      <c r="B12" s="3" t="s">
        <v>19</v>
      </c>
      <c r="C12" s="3" t="s">
        <v>8</v>
      </c>
      <c r="D12" s="3" t="s">
        <v>9</v>
      </c>
    </row>
    <row r="13" spans="1:4" x14ac:dyDescent="0.2">
      <c r="A13" s="3" t="s">
        <v>4</v>
      </c>
      <c r="B13" s="3" t="s">
        <v>19</v>
      </c>
      <c r="C13" s="3" t="s">
        <v>10</v>
      </c>
      <c r="D13" s="3" t="s">
        <v>11</v>
      </c>
    </row>
    <row r="14" spans="1:4" x14ac:dyDescent="0.2">
      <c r="A14" s="3" t="s">
        <v>4</v>
      </c>
      <c r="B14" s="3" t="s">
        <v>19</v>
      </c>
      <c r="C14" s="3" t="s">
        <v>17</v>
      </c>
      <c r="D14" s="3" t="s">
        <v>13</v>
      </c>
    </row>
    <row r="15" spans="1:4" x14ac:dyDescent="0.2">
      <c r="A15" s="3" t="s">
        <v>4</v>
      </c>
      <c r="B15" s="3" t="s">
        <v>19</v>
      </c>
      <c r="C15" s="3" t="s">
        <v>12</v>
      </c>
      <c r="D15" s="3" t="s">
        <v>18</v>
      </c>
    </row>
    <row r="16" spans="1:4" x14ac:dyDescent="0.2">
      <c r="A16" s="3" t="s">
        <v>4</v>
      </c>
      <c r="B16" s="3" t="s">
        <v>20</v>
      </c>
      <c r="C16" s="3" t="s">
        <v>6</v>
      </c>
      <c r="D16" s="3" t="s">
        <v>7</v>
      </c>
    </row>
    <row r="17" spans="1:4" x14ac:dyDescent="0.2">
      <c r="A17" s="3" t="s">
        <v>4</v>
      </c>
      <c r="B17" s="3" t="s">
        <v>20</v>
      </c>
      <c r="C17" s="3" t="s">
        <v>8</v>
      </c>
      <c r="D17" s="3" t="s">
        <v>9</v>
      </c>
    </row>
    <row r="18" spans="1:4" x14ac:dyDescent="0.2">
      <c r="A18" s="3" t="s">
        <v>4</v>
      </c>
      <c r="B18" s="3" t="s">
        <v>20</v>
      </c>
      <c r="C18" s="3" t="s">
        <v>10</v>
      </c>
      <c r="D18" s="3" t="s">
        <v>11</v>
      </c>
    </row>
    <row r="19" spans="1:4" x14ac:dyDescent="0.2">
      <c r="A19" s="3" t="s">
        <v>4</v>
      </c>
      <c r="B19" s="3" t="s">
        <v>20</v>
      </c>
      <c r="C19" s="3" t="s">
        <v>12</v>
      </c>
      <c r="D19" s="3" t="s">
        <v>13</v>
      </c>
    </row>
    <row r="20" spans="1:4" x14ac:dyDescent="0.2">
      <c r="A20" s="3" t="s">
        <v>4</v>
      </c>
      <c r="B20" s="3" t="s">
        <v>21</v>
      </c>
      <c r="C20" s="3" t="s">
        <v>6</v>
      </c>
      <c r="D20" s="3" t="s">
        <v>7</v>
      </c>
    </row>
    <row r="21" spans="1:4" x14ac:dyDescent="0.2">
      <c r="A21" s="3" t="s">
        <v>4</v>
      </c>
      <c r="B21" s="3" t="s">
        <v>21</v>
      </c>
      <c r="C21" s="3" t="s">
        <v>8</v>
      </c>
      <c r="D21" s="3" t="s">
        <v>9</v>
      </c>
    </row>
    <row r="22" spans="1:4" x14ac:dyDescent="0.2">
      <c r="A22" s="3" t="s">
        <v>4</v>
      </c>
      <c r="B22" s="3" t="s">
        <v>21</v>
      </c>
      <c r="C22" s="3" t="s">
        <v>10</v>
      </c>
      <c r="D22" s="3" t="s">
        <v>11</v>
      </c>
    </row>
    <row r="23" spans="1:4" x14ac:dyDescent="0.2">
      <c r="A23" s="3" t="s">
        <v>4</v>
      </c>
      <c r="B23" s="3" t="s">
        <v>21</v>
      </c>
      <c r="C23" s="3" t="s">
        <v>17</v>
      </c>
      <c r="D23" s="3" t="s">
        <v>13</v>
      </c>
    </row>
    <row r="24" spans="1:4" x14ac:dyDescent="0.2">
      <c r="A24" s="3" t="s">
        <v>4</v>
      </c>
      <c r="B24" s="3" t="s">
        <v>21</v>
      </c>
      <c r="C24" s="3" t="s">
        <v>12</v>
      </c>
      <c r="D24" s="3" t="s">
        <v>18</v>
      </c>
    </row>
    <row r="25" spans="1:4" x14ac:dyDescent="0.2">
      <c r="A25" s="3" t="s">
        <v>14</v>
      </c>
      <c r="B25" s="3" t="s">
        <v>22</v>
      </c>
      <c r="C25" s="3" t="s">
        <v>6</v>
      </c>
      <c r="D25" s="3" t="s">
        <v>7</v>
      </c>
    </row>
    <row r="26" spans="1:4" x14ac:dyDescent="0.2">
      <c r="A26" s="3" t="s">
        <v>14</v>
      </c>
      <c r="B26" s="3" t="s">
        <v>22</v>
      </c>
      <c r="C26" s="3" t="s">
        <v>8</v>
      </c>
      <c r="D26" s="3" t="s">
        <v>16</v>
      </c>
    </row>
    <row r="27" spans="1:4" x14ac:dyDescent="0.2">
      <c r="A27" s="3" t="s">
        <v>14</v>
      </c>
      <c r="B27" s="3" t="s">
        <v>22</v>
      </c>
      <c r="C27" s="3" t="s">
        <v>10</v>
      </c>
      <c r="D27" s="3" t="s">
        <v>11</v>
      </c>
    </row>
    <row r="28" spans="1:4" x14ac:dyDescent="0.2">
      <c r="A28" s="3" t="s">
        <v>14</v>
      </c>
      <c r="B28" s="3" t="s">
        <v>22</v>
      </c>
      <c r="C28" s="3" t="s">
        <v>17</v>
      </c>
      <c r="D28" s="3" t="s">
        <v>13</v>
      </c>
    </row>
    <row r="29" spans="1:4" x14ac:dyDescent="0.2">
      <c r="A29" s="3" t="s">
        <v>14</v>
      </c>
      <c r="B29" s="3" t="s">
        <v>22</v>
      </c>
      <c r="C29" s="3" t="s">
        <v>12</v>
      </c>
      <c r="D29" s="3" t="s">
        <v>18</v>
      </c>
    </row>
    <row r="30" spans="1:4" x14ac:dyDescent="0.2">
      <c r="A30" s="3" t="s">
        <v>4</v>
      </c>
      <c r="B30" s="3" t="s">
        <v>23</v>
      </c>
      <c r="C30" s="3" t="s">
        <v>6</v>
      </c>
      <c r="D30" s="3" t="s">
        <v>7</v>
      </c>
    </row>
    <row r="31" spans="1:4" x14ac:dyDescent="0.2">
      <c r="A31" s="3" t="s">
        <v>4</v>
      </c>
      <c r="B31" s="3" t="s">
        <v>23</v>
      </c>
      <c r="C31" s="3" t="s">
        <v>8</v>
      </c>
      <c r="D31" s="3" t="s">
        <v>9</v>
      </c>
    </row>
    <row r="32" spans="1:4" x14ac:dyDescent="0.2">
      <c r="A32" s="3" t="s">
        <v>4</v>
      </c>
      <c r="B32" s="3" t="s">
        <v>23</v>
      </c>
      <c r="C32" s="3" t="s">
        <v>10</v>
      </c>
      <c r="D32" s="3" t="s">
        <v>11</v>
      </c>
    </row>
    <row r="33" spans="1:4" x14ac:dyDescent="0.2">
      <c r="A33" s="3" t="s">
        <v>4</v>
      </c>
      <c r="B33" s="3" t="s">
        <v>23</v>
      </c>
      <c r="C33" s="3" t="s">
        <v>17</v>
      </c>
      <c r="D33" s="3" t="s">
        <v>13</v>
      </c>
    </row>
    <row r="34" spans="1:4" x14ac:dyDescent="0.2">
      <c r="A34" s="3" t="s">
        <v>4</v>
      </c>
      <c r="B34" s="3" t="s">
        <v>23</v>
      </c>
      <c r="C34" s="3" t="s">
        <v>12</v>
      </c>
      <c r="D34" s="3" t="s">
        <v>18</v>
      </c>
    </row>
    <row r="35" spans="1:4" x14ac:dyDescent="0.2">
      <c r="A35" s="3" t="s">
        <v>4</v>
      </c>
      <c r="B35" s="3" t="s">
        <v>24</v>
      </c>
      <c r="C35" s="3" t="s">
        <v>6</v>
      </c>
      <c r="D35" s="3" t="s">
        <v>7</v>
      </c>
    </row>
    <row r="36" spans="1:4" x14ac:dyDescent="0.2">
      <c r="A36" s="3" t="s">
        <v>4</v>
      </c>
      <c r="B36" s="3" t="s">
        <v>24</v>
      </c>
      <c r="C36" s="3" t="s">
        <v>8</v>
      </c>
      <c r="D36" s="3" t="s">
        <v>9</v>
      </c>
    </row>
    <row r="37" spans="1:4" x14ac:dyDescent="0.2">
      <c r="A37" s="3" t="s">
        <v>4</v>
      </c>
      <c r="B37" s="3" t="s">
        <v>24</v>
      </c>
      <c r="C37" s="3" t="s">
        <v>10</v>
      </c>
      <c r="D37" s="3" t="s">
        <v>11</v>
      </c>
    </row>
    <row r="38" spans="1:4" x14ac:dyDescent="0.2">
      <c r="A38" s="3" t="s">
        <v>4</v>
      </c>
      <c r="B38" s="3" t="s">
        <v>24</v>
      </c>
      <c r="C38" s="3" t="s">
        <v>17</v>
      </c>
      <c r="D38" s="3" t="s">
        <v>13</v>
      </c>
    </row>
    <row r="39" spans="1:4" x14ac:dyDescent="0.2">
      <c r="A39" s="3" t="s">
        <v>4</v>
      </c>
      <c r="B39" s="3" t="s">
        <v>24</v>
      </c>
      <c r="C39" s="3" t="s">
        <v>12</v>
      </c>
      <c r="D39" s="3" t="s">
        <v>18</v>
      </c>
    </row>
    <row r="40" spans="1:4" x14ac:dyDescent="0.2">
      <c r="A40" s="3" t="s">
        <v>25</v>
      </c>
      <c r="B40" s="3" t="s">
        <v>26</v>
      </c>
      <c r="C40" s="3" t="s">
        <v>6</v>
      </c>
      <c r="D40" s="3" t="s">
        <v>7</v>
      </c>
    </row>
    <row r="41" spans="1:4" x14ac:dyDescent="0.2">
      <c r="A41" s="3" t="s">
        <v>25</v>
      </c>
      <c r="B41" s="3" t="s">
        <v>26</v>
      </c>
      <c r="C41" s="3" t="s">
        <v>8</v>
      </c>
      <c r="D41" s="3" t="s">
        <v>16</v>
      </c>
    </row>
    <row r="42" spans="1:4" x14ac:dyDescent="0.2">
      <c r="A42" s="3" t="s">
        <v>25</v>
      </c>
      <c r="B42" s="3" t="s">
        <v>26</v>
      </c>
      <c r="C42" s="3" t="s">
        <v>10</v>
      </c>
      <c r="D42" s="3" t="s">
        <v>11</v>
      </c>
    </row>
    <row r="43" spans="1:4" x14ac:dyDescent="0.2">
      <c r="A43" s="3" t="s">
        <v>25</v>
      </c>
      <c r="B43" s="3" t="s">
        <v>26</v>
      </c>
      <c r="C43" s="3" t="s">
        <v>17</v>
      </c>
      <c r="D43" s="3" t="s">
        <v>27</v>
      </c>
    </row>
    <row r="44" spans="1:4" x14ac:dyDescent="0.2">
      <c r="A44" s="3" t="s">
        <v>25</v>
      </c>
      <c r="B44" s="3" t="s">
        <v>26</v>
      </c>
      <c r="C44" s="3" t="s">
        <v>12</v>
      </c>
      <c r="D44" s="3" t="s">
        <v>28</v>
      </c>
    </row>
    <row r="45" spans="1:4" x14ac:dyDescent="0.2">
      <c r="A45" s="3" t="s">
        <v>14</v>
      </c>
      <c r="B45" s="3" t="s">
        <v>29</v>
      </c>
      <c r="C45" s="3" t="s">
        <v>6</v>
      </c>
      <c r="D45" s="3" t="s">
        <v>7</v>
      </c>
    </row>
    <row r="46" spans="1:4" x14ac:dyDescent="0.2">
      <c r="A46" s="3" t="s">
        <v>14</v>
      </c>
      <c r="B46" s="3" t="s">
        <v>29</v>
      </c>
      <c r="C46" s="3" t="s">
        <v>8</v>
      </c>
      <c r="D46" s="3" t="s">
        <v>16</v>
      </c>
    </row>
    <row r="47" spans="1:4" x14ac:dyDescent="0.2">
      <c r="A47" s="3" t="s">
        <v>14</v>
      </c>
      <c r="B47" s="3" t="s">
        <v>29</v>
      </c>
      <c r="C47" s="3" t="s">
        <v>10</v>
      </c>
      <c r="D47" s="3" t="s">
        <v>11</v>
      </c>
    </row>
    <row r="48" spans="1:4" x14ac:dyDescent="0.2">
      <c r="A48" s="3" t="s">
        <v>14</v>
      </c>
      <c r="B48" s="3" t="s">
        <v>29</v>
      </c>
      <c r="C48" s="3" t="s">
        <v>17</v>
      </c>
      <c r="D48" s="3" t="s">
        <v>13</v>
      </c>
    </row>
    <row r="49" spans="1:4" x14ac:dyDescent="0.2">
      <c r="A49" s="3" t="s">
        <v>14</v>
      </c>
      <c r="B49" s="3" t="s">
        <v>29</v>
      </c>
      <c r="C49" s="3" t="s">
        <v>12</v>
      </c>
      <c r="D49" s="3" t="s">
        <v>18</v>
      </c>
    </row>
    <row r="50" spans="1:4" x14ac:dyDescent="0.2">
      <c r="A50" s="3" t="s">
        <v>14</v>
      </c>
      <c r="B50" s="3" t="s">
        <v>30</v>
      </c>
      <c r="C50" s="3" t="s">
        <v>6</v>
      </c>
      <c r="D50" s="3" t="s">
        <v>7</v>
      </c>
    </row>
    <row r="51" spans="1:4" x14ac:dyDescent="0.2">
      <c r="A51" s="3" t="s">
        <v>14</v>
      </c>
      <c r="B51" s="3" t="s">
        <v>30</v>
      </c>
      <c r="C51" s="3" t="s">
        <v>8</v>
      </c>
      <c r="D51" s="3" t="s">
        <v>9</v>
      </c>
    </row>
    <row r="52" spans="1:4" x14ac:dyDescent="0.2">
      <c r="A52" s="3" t="s">
        <v>14</v>
      </c>
      <c r="B52" s="3" t="s">
        <v>30</v>
      </c>
      <c r="C52" s="3" t="s">
        <v>10</v>
      </c>
      <c r="D52" s="3" t="s">
        <v>11</v>
      </c>
    </row>
    <row r="53" spans="1:4" x14ac:dyDescent="0.2">
      <c r="A53" s="3" t="s">
        <v>14</v>
      </c>
      <c r="B53" s="3" t="s">
        <v>30</v>
      </c>
      <c r="C53" s="3" t="s">
        <v>17</v>
      </c>
      <c r="D53" s="3" t="s">
        <v>13</v>
      </c>
    </row>
    <row r="54" spans="1:4" x14ac:dyDescent="0.2">
      <c r="A54" s="3" t="s">
        <v>14</v>
      </c>
      <c r="B54" s="3" t="s">
        <v>30</v>
      </c>
      <c r="C54" s="3" t="s">
        <v>12</v>
      </c>
      <c r="D54" s="3" t="s">
        <v>18</v>
      </c>
    </row>
    <row r="55" spans="1:4" x14ac:dyDescent="0.2">
      <c r="A55" s="3" t="s">
        <v>4</v>
      </c>
      <c r="B55" s="3" t="s">
        <v>31</v>
      </c>
      <c r="C55" s="3" t="s">
        <v>6</v>
      </c>
      <c r="D55" s="3" t="s">
        <v>7</v>
      </c>
    </row>
    <row r="56" spans="1:4" x14ac:dyDescent="0.2">
      <c r="A56" s="3" t="s">
        <v>4</v>
      </c>
      <c r="B56" s="3" t="s">
        <v>31</v>
      </c>
      <c r="C56" s="3" t="s">
        <v>8</v>
      </c>
      <c r="D56" s="3" t="s">
        <v>9</v>
      </c>
    </row>
    <row r="57" spans="1:4" x14ac:dyDescent="0.2">
      <c r="A57" s="3" t="s">
        <v>4</v>
      </c>
      <c r="B57" s="3" t="s">
        <v>31</v>
      </c>
      <c r="C57" s="3" t="s">
        <v>10</v>
      </c>
      <c r="D57" s="3" t="s">
        <v>11</v>
      </c>
    </row>
    <row r="58" spans="1:4" x14ac:dyDescent="0.2">
      <c r="A58" s="3" t="s">
        <v>4</v>
      </c>
      <c r="B58" s="3" t="s">
        <v>31</v>
      </c>
      <c r="C58" s="3" t="s">
        <v>17</v>
      </c>
      <c r="D58" s="3" t="s">
        <v>13</v>
      </c>
    </row>
    <row r="59" spans="1:4" x14ac:dyDescent="0.2">
      <c r="A59" s="3" t="s">
        <v>4</v>
      </c>
      <c r="B59" s="3" t="s">
        <v>31</v>
      </c>
      <c r="C59" s="3" t="s">
        <v>12</v>
      </c>
      <c r="D59" s="3" t="s">
        <v>18</v>
      </c>
    </row>
    <row r="60" spans="1:4" x14ac:dyDescent="0.2">
      <c r="A60" s="3" t="s">
        <v>4</v>
      </c>
      <c r="B60" s="3" t="s">
        <v>32</v>
      </c>
      <c r="C60" s="3" t="s">
        <v>6</v>
      </c>
      <c r="D60" s="3" t="s">
        <v>7</v>
      </c>
    </row>
    <row r="61" spans="1:4" x14ac:dyDescent="0.2">
      <c r="A61" s="3" t="s">
        <v>4</v>
      </c>
      <c r="B61" s="3" t="s">
        <v>32</v>
      </c>
      <c r="C61" s="3" t="s">
        <v>8</v>
      </c>
      <c r="D61" s="3" t="s">
        <v>9</v>
      </c>
    </row>
    <row r="62" spans="1:4" x14ac:dyDescent="0.2">
      <c r="A62" s="3" t="s">
        <v>4</v>
      </c>
      <c r="B62" s="3" t="s">
        <v>32</v>
      </c>
      <c r="C62" s="3" t="s">
        <v>10</v>
      </c>
      <c r="D62" s="3" t="s">
        <v>11</v>
      </c>
    </row>
    <row r="63" spans="1:4" x14ac:dyDescent="0.2">
      <c r="A63" s="3" t="s">
        <v>4</v>
      </c>
      <c r="B63" s="3" t="s">
        <v>32</v>
      </c>
      <c r="C63" s="3" t="s">
        <v>17</v>
      </c>
      <c r="D63" s="3" t="s">
        <v>13</v>
      </c>
    </row>
    <row r="64" spans="1:4" x14ac:dyDescent="0.2">
      <c r="A64" s="3" t="s">
        <v>4</v>
      </c>
      <c r="B64" s="3" t="s">
        <v>32</v>
      </c>
      <c r="C64" s="3" t="s">
        <v>12</v>
      </c>
      <c r="D64" s="3" t="s">
        <v>18</v>
      </c>
    </row>
    <row r="65" spans="1:4" x14ac:dyDescent="0.2">
      <c r="A65" s="3" t="s">
        <v>4</v>
      </c>
      <c r="B65" s="3" t="s">
        <v>33</v>
      </c>
      <c r="C65" s="3" t="s">
        <v>6</v>
      </c>
      <c r="D65" s="3" t="s">
        <v>7</v>
      </c>
    </row>
    <row r="66" spans="1:4" x14ac:dyDescent="0.2">
      <c r="A66" s="3" t="s">
        <v>4</v>
      </c>
      <c r="B66" s="3" t="s">
        <v>33</v>
      </c>
      <c r="C66" s="3" t="s">
        <v>8</v>
      </c>
      <c r="D66" s="3" t="s">
        <v>9</v>
      </c>
    </row>
    <row r="67" spans="1:4" x14ac:dyDescent="0.2">
      <c r="A67" s="3" t="s">
        <v>4</v>
      </c>
      <c r="B67" s="3" t="s">
        <v>33</v>
      </c>
      <c r="C67" s="3" t="s">
        <v>10</v>
      </c>
      <c r="D67" s="3" t="s">
        <v>34</v>
      </c>
    </row>
    <row r="68" spans="1:4" x14ac:dyDescent="0.2">
      <c r="A68" s="3" t="s">
        <v>4</v>
      </c>
      <c r="B68" s="3" t="s">
        <v>33</v>
      </c>
      <c r="C68" s="3" t="s">
        <v>35</v>
      </c>
      <c r="D68" s="3" t="s">
        <v>11</v>
      </c>
    </row>
    <row r="69" spans="1:4" x14ac:dyDescent="0.2">
      <c r="A69" s="3" t="s">
        <v>4</v>
      </c>
      <c r="B69" s="3" t="s">
        <v>33</v>
      </c>
      <c r="C69" s="3" t="s">
        <v>36</v>
      </c>
      <c r="D69" s="3" t="s">
        <v>13</v>
      </c>
    </row>
    <row r="70" spans="1:4" x14ac:dyDescent="0.2">
      <c r="A70" s="3" t="s">
        <v>4</v>
      </c>
      <c r="B70" s="3" t="s">
        <v>33</v>
      </c>
      <c r="C70" s="3" t="s">
        <v>12</v>
      </c>
      <c r="D70" s="3" t="s">
        <v>37</v>
      </c>
    </row>
    <row r="71" spans="1:4" x14ac:dyDescent="0.2">
      <c r="A71" s="3" t="s">
        <v>4</v>
      </c>
      <c r="B71" s="3" t="s">
        <v>33</v>
      </c>
      <c r="C71" s="3" t="s">
        <v>38</v>
      </c>
      <c r="D71" s="3" t="s">
        <v>18</v>
      </c>
    </row>
    <row r="72" spans="1:4" x14ac:dyDescent="0.2">
      <c r="A72" s="3" t="s">
        <v>4</v>
      </c>
      <c r="B72" s="3" t="s">
        <v>39</v>
      </c>
      <c r="C72" s="3" t="s">
        <v>6</v>
      </c>
      <c r="D72" s="3" t="s">
        <v>7</v>
      </c>
    </row>
    <row r="73" spans="1:4" x14ac:dyDescent="0.2">
      <c r="A73" s="3" t="s">
        <v>4</v>
      </c>
      <c r="B73" s="3" t="s">
        <v>39</v>
      </c>
      <c r="C73" s="3" t="s">
        <v>8</v>
      </c>
      <c r="D73" s="3" t="s">
        <v>9</v>
      </c>
    </row>
    <row r="74" spans="1:4" x14ac:dyDescent="0.2">
      <c r="A74" s="3" t="s">
        <v>4</v>
      </c>
      <c r="B74" s="3" t="s">
        <v>39</v>
      </c>
      <c r="C74" s="3" t="s">
        <v>10</v>
      </c>
      <c r="D74" s="3" t="s">
        <v>11</v>
      </c>
    </row>
    <row r="75" spans="1:4" x14ac:dyDescent="0.2">
      <c r="A75" s="3" t="s">
        <v>4</v>
      </c>
      <c r="B75" s="3" t="s">
        <v>39</v>
      </c>
      <c r="C75" s="3" t="s">
        <v>17</v>
      </c>
      <c r="D75" s="3" t="s">
        <v>13</v>
      </c>
    </row>
    <row r="76" spans="1:4" x14ac:dyDescent="0.2">
      <c r="A76" s="3" t="s">
        <v>4</v>
      </c>
      <c r="B76" s="3" t="s">
        <v>39</v>
      </c>
      <c r="C76" s="3" t="s">
        <v>12</v>
      </c>
      <c r="D76" s="3" t="s">
        <v>18</v>
      </c>
    </row>
    <row r="77" spans="1:4" x14ac:dyDescent="0.2">
      <c r="A77" s="3" t="s">
        <v>14</v>
      </c>
      <c r="B77" s="3" t="s">
        <v>40</v>
      </c>
      <c r="C77" s="3" t="s">
        <v>6</v>
      </c>
      <c r="D77" s="3" t="s">
        <v>7</v>
      </c>
    </row>
    <row r="78" spans="1:4" x14ac:dyDescent="0.2">
      <c r="A78" s="3" t="s">
        <v>14</v>
      </c>
      <c r="B78" s="3" t="s">
        <v>40</v>
      </c>
      <c r="C78" s="3" t="s">
        <v>8</v>
      </c>
      <c r="D78" s="3" t="s">
        <v>16</v>
      </c>
    </row>
    <row r="79" spans="1:4" x14ac:dyDescent="0.2">
      <c r="A79" s="3" t="s">
        <v>14</v>
      </c>
      <c r="B79" s="3" t="s">
        <v>40</v>
      </c>
      <c r="C79" s="3" t="s">
        <v>10</v>
      </c>
      <c r="D79" s="3" t="s">
        <v>41</v>
      </c>
    </row>
    <row r="80" spans="1:4" x14ac:dyDescent="0.2">
      <c r="A80" s="3" t="s">
        <v>14</v>
      </c>
      <c r="B80" s="3" t="s">
        <v>40</v>
      </c>
      <c r="C80" s="3" t="s">
        <v>17</v>
      </c>
      <c r="D80" s="3" t="s">
        <v>13</v>
      </c>
    </row>
    <row r="81" spans="1:4" x14ac:dyDescent="0.2">
      <c r="A81" s="3" t="s">
        <v>14</v>
      </c>
      <c r="B81" s="3" t="s">
        <v>40</v>
      </c>
      <c r="C81" s="3" t="s">
        <v>12</v>
      </c>
      <c r="D81" s="3" t="s">
        <v>18</v>
      </c>
    </row>
    <row r="82" spans="1:4" x14ac:dyDescent="0.2">
      <c r="A82" s="3" t="s">
        <v>14</v>
      </c>
      <c r="B82" s="3" t="s">
        <v>42</v>
      </c>
      <c r="C82" s="3" t="s">
        <v>6</v>
      </c>
      <c r="D82" s="3" t="s">
        <v>7</v>
      </c>
    </row>
    <row r="83" spans="1:4" x14ac:dyDescent="0.2">
      <c r="A83" s="3" t="s">
        <v>14</v>
      </c>
      <c r="B83" s="3" t="s">
        <v>42</v>
      </c>
      <c r="C83" s="3" t="s">
        <v>8</v>
      </c>
      <c r="D83" s="3" t="s">
        <v>9</v>
      </c>
    </row>
    <row r="84" spans="1:4" x14ac:dyDescent="0.2">
      <c r="A84" s="3" t="s">
        <v>14</v>
      </c>
      <c r="B84" s="3" t="s">
        <v>42</v>
      </c>
      <c r="C84" s="3" t="s">
        <v>10</v>
      </c>
      <c r="D84" s="3" t="s">
        <v>41</v>
      </c>
    </row>
    <row r="85" spans="1:4" x14ac:dyDescent="0.2">
      <c r="A85" s="3" t="s">
        <v>14</v>
      </c>
      <c r="B85" s="3" t="s">
        <v>42</v>
      </c>
      <c r="C85" s="3" t="s">
        <v>17</v>
      </c>
      <c r="D85" s="3" t="s">
        <v>13</v>
      </c>
    </row>
    <row r="86" spans="1:4" x14ac:dyDescent="0.2">
      <c r="A86" s="3" t="s">
        <v>14</v>
      </c>
      <c r="B86" s="3" t="s">
        <v>42</v>
      </c>
      <c r="C86" s="3" t="s">
        <v>43</v>
      </c>
      <c r="D86" s="3" t="s">
        <v>44</v>
      </c>
    </row>
    <row r="87" spans="1:4" x14ac:dyDescent="0.2">
      <c r="A87" s="3" t="s">
        <v>14</v>
      </c>
      <c r="B87" s="3" t="s">
        <v>42</v>
      </c>
      <c r="C87" s="3" t="s">
        <v>45</v>
      </c>
      <c r="D87" s="3" t="s">
        <v>18</v>
      </c>
    </row>
    <row r="88" spans="1:4" x14ac:dyDescent="0.2">
      <c r="A88" s="3" t="s">
        <v>14</v>
      </c>
      <c r="B88" s="3" t="s">
        <v>46</v>
      </c>
      <c r="C88" s="3" t="s">
        <v>6</v>
      </c>
      <c r="D88" s="3" t="s">
        <v>7</v>
      </c>
    </row>
    <row r="89" spans="1:4" x14ac:dyDescent="0.2">
      <c r="A89" s="3" t="s">
        <v>14</v>
      </c>
      <c r="B89" s="3" t="s">
        <v>46</v>
      </c>
      <c r="C89" s="3" t="s">
        <v>8</v>
      </c>
      <c r="D89" s="3" t="s">
        <v>9</v>
      </c>
    </row>
    <row r="90" spans="1:4" x14ac:dyDescent="0.2">
      <c r="A90" s="3" t="s">
        <v>14</v>
      </c>
      <c r="B90" s="3" t="s">
        <v>46</v>
      </c>
      <c r="C90" s="3" t="s">
        <v>10</v>
      </c>
      <c r="D90" s="3" t="s">
        <v>11</v>
      </c>
    </row>
    <row r="91" spans="1:4" x14ac:dyDescent="0.2">
      <c r="A91" s="3" t="s">
        <v>14</v>
      </c>
      <c r="B91" s="3" t="s">
        <v>46</v>
      </c>
      <c r="C91" s="3" t="s">
        <v>17</v>
      </c>
      <c r="D91" s="3" t="s">
        <v>13</v>
      </c>
    </row>
    <row r="92" spans="1:4" x14ac:dyDescent="0.2">
      <c r="A92" s="3" t="s">
        <v>14</v>
      </c>
      <c r="B92" s="3" t="s">
        <v>46</v>
      </c>
      <c r="C92" s="3" t="s">
        <v>12</v>
      </c>
      <c r="D92" s="3" t="s">
        <v>18</v>
      </c>
    </row>
    <row r="93" spans="1:4" x14ac:dyDescent="0.2">
      <c r="A93" s="3" t="s">
        <v>4</v>
      </c>
      <c r="B93" s="3" t="s">
        <v>47</v>
      </c>
      <c r="C93" s="3" t="s">
        <v>6</v>
      </c>
      <c r="D93" s="3" t="s">
        <v>7</v>
      </c>
    </row>
    <row r="94" spans="1:4" x14ac:dyDescent="0.2">
      <c r="A94" s="3" t="s">
        <v>4</v>
      </c>
      <c r="B94" s="3" t="s">
        <v>47</v>
      </c>
      <c r="C94" s="3" t="s">
        <v>8</v>
      </c>
      <c r="D94" s="3" t="s">
        <v>9</v>
      </c>
    </row>
    <row r="95" spans="1:4" x14ac:dyDescent="0.2">
      <c r="A95" s="3" t="s">
        <v>4</v>
      </c>
      <c r="B95" s="3" t="s">
        <v>47</v>
      </c>
      <c r="C95" s="3" t="s">
        <v>10</v>
      </c>
      <c r="D95" s="3" t="s">
        <v>11</v>
      </c>
    </row>
    <row r="96" spans="1:4" x14ac:dyDescent="0.2">
      <c r="A96" s="3" t="s">
        <v>4</v>
      </c>
      <c r="B96" s="3" t="s">
        <v>47</v>
      </c>
      <c r="C96" s="3" t="s">
        <v>17</v>
      </c>
      <c r="D96" s="3" t="s">
        <v>13</v>
      </c>
    </row>
    <row r="97" spans="1:4" x14ac:dyDescent="0.2">
      <c r="A97" s="3" t="s">
        <v>4</v>
      </c>
      <c r="B97" s="3" t="s">
        <v>47</v>
      </c>
      <c r="C97" s="3" t="s">
        <v>12</v>
      </c>
      <c r="D97" s="3" t="s">
        <v>18</v>
      </c>
    </row>
    <row r="98" spans="1:4" x14ac:dyDescent="0.2">
      <c r="A98" s="3" t="s">
        <v>14</v>
      </c>
      <c r="B98" s="3" t="s">
        <v>48</v>
      </c>
      <c r="C98" s="3" t="s">
        <v>6</v>
      </c>
      <c r="D98" s="3" t="s">
        <v>7</v>
      </c>
    </row>
    <row r="99" spans="1:4" x14ac:dyDescent="0.2">
      <c r="A99" s="3" t="s">
        <v>14</v>
      </c>
      <c r="B99" s="3" t="s">
        <v>48</v>
      </c>
      <c r="C99" s="3" t="s">
        <v>8</v>
      </c>
      <c r="D99" s="3" t="s">
        <v>9</v>
      </c>
    </row>
    <row r="100" spans="1:4" x14ac:dyDescent="0.2">
      <c r="A100" s="3" t="s">
        <v>14</v>
      </c>
      <c r="B100" s="3" t="s">
        <v>48</v>
      </c>
      <c r="C100" s="3" t="s">
        <v>10</v>
      </c>
      <c r="D100" s="3" t="s">
        <v>11</v>
      </c>
    </row>
    <row r="101" spans="1:4" x14ac:dyDescent="0.2">
      <c r="A101" s="3" t="s">
        <v>14</v>
      </c>
      <c r="B101" s="3" t="s">
        <v>48</v>
      </c>
      <c r="C101" s="3" t="s">
        <v>17</v>
      </c>
      <c r="D101" s="3" t="s">
        <v>13</v>
      </c>
    </row>
    <row r="102" spans="1:4" x14ac:dyDescent="0.2">
      <c r="A102" s="3" t="s">
        <v>14</v>
      </c>
      <c r="B102" s="3" t="s">
        <v>48</v>
      </c>
      <c r="C102" s="3" t="s">
        <v>12</v>
      </c>
      <c r="D102" s="3" t="s">
        <v>18</v>
      </c>
    </row>
    <row r="103" spans="1:4" x14ac:dyDescent="0.2">
      <c r="A103" s="3" t="s">
        <v>14</v>
      </c>
      <c r="B103" s="3" t="s">
        <v>49</v>
      </c>
      <c r="C103" s="3" t="s">
        <v>6</v>
      </c>
      <c r="D103" s="3" t="s">
        <v>7</v>
      </c>
    </row>
    <row r="104" spans="1:4" x14ac:dyDescent="0.2">
      <c r="A104" s="3" t="s">
        <v>14</v>
      </c>
      <c r="B104" s="3" t="s">
        <v>49</v>
      </c>
      <c r="C104" s="3" t="s">
        <v>8</v>
      </c>
      <c r="D104" s="3" t="s">
        <v>9</v>
      </c>
    </row>
    <row r="105" spans="1:4" x14ac:dyDescent="0.2">
      <c r="A105" s="3" t="s">
        <v>14</v>
      </c>
      <c r="B105" s="3" t="s">
        <v>49</v>
      </c>
      <c r="C105" s="3" t="s">
        <v>50</v>
      </c>
      <c r="D105" s="3" t="s">
        <v>41</v>
      </c>
    </row>
    <row r="106" spans="1:4" x14ac:dyDescent="0.2">
      <c r="A106" s="3" t="s">
        <v>14</v>
      </c>
      <c r="B106" s="3" t="s">
        <v>49</v>
      </c>
      <c r="C106" s="3" t="s">
        <v>10</v>
      </c>
      <c r="D106" s="3" t="s">
        <v>34</v>
      </c>
    </row>
    <row r="107" spans="1:4" x14ac:dyDescent="0.2">
      <c r="A107" s="3" t="s">
        <v>14</v>
      </c>
      <c r="B107" s="3" t="s">
        <v>49</v>
      </c>
      <c r="C107" s="3" t="s">
        <v>12</v>
      </c>
      <c r="D107" s="3" t="s">
        <v>44</v>
      </c>
    </row>
    <row r="108" spans="1:4" x14ac:dyDescent="0.2">
      <c r="A108" s="3" t="s">
        <v>25</v>
      </c>
      <c r="B108" s="3" t="s">
        <v>51</v>
      </c>
      <c r="C108" s="3" t="s">
        <v>6</v>
      </c>
      <c r="D108" s="3" t="s">
        <v>7</v>
      </c>
    </row>
    <row r="109" spans="1:4" x14ac:dyDescent="0.2">
      <c r="A109" s="3" t="s">
        <v>25</v>
      </c>
      <c r="B109" s="3" t="s">
        <v>51</v>
      </c>
      <c r="C109" s="3" t="s">
        <v>8</v>
      </c>
      <c r="D109" s="3" t="s">
        <v>52</v>
      </c>
    </row>
    <row r="110" spans="1:4" x14ac:dyDescent="0.2">
      <c r="A110" s="3" t="s">
        <v>25</v>
      </c>
      <c r="B110" s="3" t="s">
        <v>51</v>
      </c>
      <c r="C110" s="3" t="s">
        <v>10</v>
      </c>
      <c r="D110" s="3" t="s">
        <v>34</v>
      </c>
    </row>
    <row r="111" spans="1:4" x14ac:dyDescent="0.2">
      <c r="A111" s="3" t="s">
        <v>25</v>
      </c>
      <c r="B111" s="3" t="s">
        <v>51</v>
      </c>
      <c r="C111" s="3" t="s">
        <v>17</v>
      </c>
      <c r="D111" s="3" t="s">
        <v>13</v>
      </c>
    </row>
    <row r="112" spans="1:4" x14ac:dyDescent="0.2">
      <c r="A112" s="3" t="s">
        <v>25</v>
      </c>
      <c r="B112" s="3" t="s">
        <v>51</v>
      </c>
      <c r="C112" s="3" t="s">
        <v>12</v>
      </c>
      <c r="D112" s="3" t="s">
        <v>53</v>
      </c>
    </row>
    <row r="113" spans="1:4" x14ac:dyDescent="0.2">
      <c r="A113" s="3" t="s">
        <v>14</v>
      </c>
      <c r="B113" s="3" t="s">
        <v>54</v>
      </c>
      <c r="C113" s="3" t="s">
        <v>6</v>
      </c>
      <c r="D113" s="3" t="s">
        <v>7</v>
      </c>
    </row>
    <row r="114" spans="1:4" x14ac:dyDescent="0.2">
      <c r="A114" s="3" t="s">
        <v>14</v>
      </c>
      <c r="B114" s="3" t="s">
        <v>54</v>
      </c>
      <c r="C114" s="3" t="s">
        <v>8</v>
      </c>
      <c r="D114" s="3" t="s">
        <v>16</v>
      </c>
    </row>
    <row r="115" spans="1:4" x14ac:dyDescent="0.2">
      <c r="A115" s="3" t="s">
        <v>14</v>
      </c>
      <c r="B115" s="3" t="s">
        <v>54</v>
      </c>
      <c r="C115" s="3" t="s">
        <v>10</v>
      </c>
      <c r="D115" s="3" t="s">
        <v>41</v>
      </c>
    </row>
    <row r="116" spans="1:4" x14ac:dyDescent="0.2">
      <c r="A116" s="3" t="s">
        <v>14</v>
      </c>
      <c r="B116" s="3" t="s">
        <v>54</v>
      </c>
      <c r="C116" s="3" t="s">
        <v>17</v>
      </c>
      <c r="D116" s="3" t="s">
        <v>13</v>
      </c>
    </row>
    <row r="117" spans="1:4" x14ac:dyDescent="0.2">
      <c r="A117" s="3" t="s">
        <v>14</v>
      </c>
      <c r="B117" s="3" t="s">
        <v>54</v>
      </c>
      <c r="C117" s="3" t="s">
        <v>12</v>
      </c>
      <c r="D117" s="3" t="s">
        <v>18</v>
      </c>
    </row>
    <row r="118" spans="1:4" x14ac:dyDescent="0.2">
      <c r="A118" s="3" t="s">
        <v>14</v>
      </c>
      <c r="B118" s="3" t="s">
        <v>55</v>
      </c>
      <c r="C118" s="3" t="s">
        <v>6</v>
      </c>
      <c r="D118" s="3" t="s">
        <v>7</v>
      </c>
    </row>
    <row r="119" spans="1:4" x14ac:dyDescent="0.2">
      <c r="A119" s="3" t="s">
        <v>14</v>
      </c>
      <c r="B119" s="3" t="s">
        <v>55</v>
      </c>
      <c r="C119" s="3" t="s">
        <v>8</v>
      </c>
      <c r="D119" s="3" t="s">
        <v>16</v>
      </c>
    </row>
    <row r="120" spans="1:4" x14ac:dyDescent="0.2">
      <c r="A120" s="3" t="s">
        <v>14</v>
      </c>
      <c r="B120" s="3" t="s">
        <v>55</v>
      </c>
      <c r="C120" s="3" t="s">
        <v>10</v>
      </c>
      <c r="D120" s="3" t="s">
        <v>41</v>
      </c>
    </row>
    <row r="121" spans="1:4" x14ac:dyDescent="0.2">
      <c r="A121" s="3" t="s">
        <v>14</v>
      </c>
      <c r="B121" s="3" t="s">
        <v>55</v>
      </c>
      <c r="C121" s="3" t="s">
        <v>17</v>
      </c>
      <c r="D121" s="3" t="s">
        <v>13</v>
      </c>
    </row>
    <row r="122" spans="1:4" x14ac:dyDescent="0.2">
      <c r="A122" s="3" t="s">
        <v>14</v>
      </c>
      <c r="B122" s="3" t="s">
        <v>55</v>
      </c>
      <c r="C122" s="3" t="s">
        <v>12</v>
      </c>
      <c r="D122" s="3" t="s">
        <v>18</v>
      </c>
    </row>
    <row r="123" spans="1:4" x14ac:dyDescent="0.2">
      <c r="A123" s="3" t="s">
        <v>4</v>
      </c>
      <c r="B123" s="3" t="s">
        <v>56</v>
      </c>
      <c r="C123" s="3" t="s">
        <v>6</v>
      </c>
      <c r="D123" s="3" t="s">
        <v>7</v>
      </c>
    </row>
    <row r="124" spans="1:4" x14ac:dyDescent="0.2">
      <c r="A124" s="3" t="s">
        <v>4</v>
      </c>
      <c r="B124" s="3" t="s">
        <v>56</v>
      </c>
      <c r="C124" s="3" t="s">
        <v>8</v>
      </c>
      <c r="D124" s="3" t="s">
        <v>9</v>
      </c>
    </row>
    <row r="125" spans="1:4" x14ac:dyDescent="0.2">
      <c r="A125" s="3" t="s">
        <v>4</v>
      </c>
      <c r="B125" s="3" t="s">
        <v>56</v>
      </c>
      <c r="C125" s="3" t="s">
        <v>10</v>
      </c>
      <c r="D125" s="3" t="s">
        <v>11</v>
      </c>
    </row>
    <row r="126" spans="1:4" x14ac:dyDescent="0.2">
      <c r="A126" s="3" t="s">
        <v>4</v>
      </c>
      <c r="B126" s="3" t="s">
        <v>56</v>
      </c>
      <c r="C126" s="3" t="s">
        <v>17</v>
      </c>
      <c r="D126" s="3" t="s">
        <v>13</v>
      </c>
    </row>
    <row r="127" spans="1:4" x14ac:dyDescent="0.2">
      <c r="A127" s="3" t="s">
        <v>4</v>
      </c>
      <c r="B127" s="3" t="s">
        <v>56</v>
      </c>
      <c r="C127" s="3" t="s">
        <v>12</v>
      </c>
      <c r="D127" s="3" t="s">
        <v>18</v>
      </c>
    </row>
    <row r="128" spans="1:4" x14ac:dyDescent="0.2">
      <c r="A128" s="3" t="s">
        <v>14</v>
      </c>
      <c r="B128" s="3" t="s">
        <v>57</v>
      </c>
      <c r="C128" s="3" t="s">
        <v>6</v>
      </c>
      <c r="D128" s="3" t="s">
        <v>7</v>
      </c>
    </row>
    <row r="129" spans="1:4" x14ac:dyDescent="0.2">
      <c r="A129" s="3" t="s">
        <v>14</v>
      </c>
      <c r="B129" s="3" t="s">
        <v>57</v>
      </c>
      <c r="C129" s="3" t="s">
        <v>8</v>
      </c>
      <c r="D129" s="3" t="s">
        <v>9</v>
      </c>
    </row>
    <row r="130" spans="1:4" x14ac:dyDescent="0.2">
      <c r="A130" s="3" t="s">
        <v>14</v>
      </c>
      <c r="B130" s="3" t="s">
        <v>57</v>
      </c>
      <c r="C130" s="3" t="s">
        <v>10</v>
      </c>
      <c r="D130" s="3" t="s">
        <v>11</v>
      </c>
    </row>
    <row r="131" spans="1:4" x14ac:dyDescent="0.2">
      <c r="A131" s="3" t="s">
        <v>14</v>
      </c>
      <c r="B131" s="3" t="s">
        <v>57</v>
      </c>
      <c r="C131" s="3" t="s">
        <v>17</v>
      </c>
      <c r="D131" s="3" t="s">
        <v>13</v>
      </c>
    </row>
    <row r="132" spans="1:4" x14ac:dyDescent="0.2">
      <c r="A132" s="3" t="s">
        <v>14</v>
      </c>
      <c r="B132" s="3" t="s">
        <v>57</v>
      </c>
      <c r="C132" s="3" t="s">
        <v>12</v>
      </c>
      <c r="D132" s="3" t="s">
        <v>18</v>
      </c>
    </row>
    <row r="133" spans="1:4" x14ac:dyDescent="0.2">
      <c r="A133" s="3" t="s">
        <v>4</v>
      </c>
      <c r="B133" s="3" t="s">
        <v>58</v>
      </c>
      <c r="C133" s="3" t="s">
        <v>6</v>
      </c>
      <c r="D133" s="3" t="s">
        <v>7</v>
      </c>
    </row>
    <row r="134" spans="1:4" x14ac:dyDescent="0.2">
      <c r="A134" s="3" t="s">
        <v>4</v>
      </c>
      <c r="B134" s="3" t="s">
        <v>58</v>
      </c>
      <c r="C134" s="3" t="s">
        <v>8</v>
      </c>
      <c r="D134" s="3" t="s">
        <v>9</v>
      </c>
    </row>
    <row r="135" spans="1:4" x14ac:dyDescent="0.2">
      <c r="A135" s="3" t="s">
        <v>4</v>
      </c>
      <c r="B135" s="3" t="s">
        <v>58</v>
      </c>
      <c r="C135" s="3" t="s">
        <v>10</v>
      </c>
      <c r="D135" s="3" t="s">
        <v>11</v>
      </c>
    </row>
    <row r="136" spans="1:4" x14ac:dyDescent="0.2">
      <c r="A136" s="3" t="s">
        <v>4</v>
      </c>
      <c r="B136" s="3" t="s">
        <v>58</v>
      </c>
      <c r="C136" s="3" t="s">
        <v>17</v>
      </c>
      <c r="D136" s="3" t="s">
        <v>13</v>
      </c>
    </row>
    <row r="137" spans="1:4" x14ac:dyDescent="0.2">
      <c r="A137" s="3" t="s">
        <v>4</v>
      </c>
      <c r="B137" s="3" t="s">
        <v>58</v>
      </c>
      <c r="C137" s="3" t="s">
        <v>12</v>
      </c>
      <c r="D137" s="3" t="s">
        <v>18</v>
      </c>
    </row>
    <row r="138" spans="1:4" x14ac:dyDescent="0.2">
      <c r="A138" s="3" t="s">
        <v>14</v>
      </c>
      <c r="B138" s="3" t="s">
        <v>59</v>
      </c>
      <c r="C138" s="3" t="s">
        <v>6</v>
      </c>
      <c r="D138" s="3" t="s">
        <v>7</v>
      </c>
    </row>
    <row r="139" spans="1:4" x14ac:dyDescent="0.2">
      <c r="A139" s="3" t="s">
        <v>14</v>
      </c>
      <c r="B139" s="3" t="s">
        <v>59</v>
      </c>
      <c r="C139" s="3" t="s">
        <v>8</v>
      </c>
      <c r="D139" s="3" t="s">
        <v>16</v>
      </c>
    </row>
    <row r="140" spans="1:4" x14ac:dyDescent="0.2">
      <c r="A140" s="3" t="s">
        <v>14</v>
      </c>
      <c r="B140" s="3" t="s">
        <v>59</v>
      </c>
      <c r="C140" s="3" t="s">
        <v>10</v>
      </c>
      <c r="D140" s="3" t="s">
        <v>11</v>
      </c>
    </row>
    <row r="141" spans="1:4" x14ac:dyDescent="0.2">
      <c r="A141" s="3" t="s">
        <v>14</v>
      </c>
      <c r="B141" s="3" t="s">
        <v>59</v>
      </c>
      <c r="C141" s="3" t="s">
        <v>17</v>
      </c>
      <c r="D141" s="3" t="s">
        <v>13</v>
      </c>
    </row>
    <row r="142" spans="1:4" x14ac:dyDescent="0.2">
      <c r="A142" s="3" t="s">
        <v>14</v>
      </c>
      <c r="B142" s="3" t="s">
        <v>59</v>
      </c>
      <c r="C142" s="3" t="s">
        <v>12</v>
      </c>
      <c r="D142" s="3" t="s">
        <v>18</v>
      </c>
    </row>
    <row r="143" spans="1:4" x14ac:dyDescent="0.2">
      <c r="A143" s="3" t="s">
        <v>4</v>
      </c>
      <c r="B143" s="3" t="s">
        <v>60</v>
      </c>
      <c r="C143" s="3" t="s">
        <v>6</v>
      </c>
      <c r="D143" s="3" t="s">
        <v>7</v>
      </c>
    </row>
    <row r="144" spans="1:4" x14ac:dyDescent="0.2">
      <c r="A144" s="3" t="s">
        <v>4</v>
      </c>
      <c r="B144" s="3" t="s">
        <v>60</v>
      </c>
      <c r="C144" s="3" t="s">
        <v>8</v>
      </c>
      <c r="D144" s="3" t="s">
        <v>9</v>
      </c>
    </row>
    <row r="145" spans="1:4" x14ac:dyDescent="0.2">
      <c r="A145" s="3" t="s">
        <v>4</v>
      </c>
      <c r="B145" s="3" t="s">
        <v>60</v>
      </c>
      <c r="C145" s="3" t="s">
        <v>10</v>
      </c>
      <c r="D145" s="3" t="s">
        <v>11</v>
      </c>
    </row>
    <row r="146" spans="1:4" x14ac:dyDescent="0.2">
      <c r="A146" s="3" t="s">
        <v>4</v>
      </c>
      <c r="B146" s="3" t="s">
        <v>60</v>
      </c>
      <c r="C146" s="3" t="s">
        <v>17</v>
      </c>
      <c r="D146" s="3" t="s">
        <v>13</v>
      </c>
    </row>
    <row r="147" spans="1:4" x14ac:dyDescent="0.2">
      <c r="A147" s="3" t="s">
        <v>4</v>
      </c>
      <c r="B147" s="3" t="s">
        <v>60</v>
      </c>
      <c r="C147" s="3" t="s">
        <v>12</v>
      </c>
      <c r="D147" s="3" t="s">
        <v>18</v>
      </c>
    </row>
    <row r="148" spans="1:4" x14ac:dyDescent="0.2">
      <c r="A148" s="3" t="s">
        <v>14</v>
      </c>
      <c r="B148" s="3" t="s">
        <v>61</v>
      </c>
      <c r="C148" s="3" t="s">
        <v>6</v>
      </c>
      <c r="D148" s="3" t="s">
        <v>7</v>
      </c>
    </row>
    <row r="149" spans="1:4" x14ac:dyDescent="0.2">
      <c r="A149" s="3" t="s">
        <v>14</v>
      </c>
      <c r="B149" s="3" t="s">
        <v>61</v>
      </c>
      <c r="C149" s="3" t="s">
        <v>8</v>
      </c>
      <c r="D149" s="3" t="s">
        <v>62</v>
      </c>
    </row>
    <row r="150" spans="1:4" x14ac:dyDescent="0.2">
      <c r="A150" s="3" t="s">
        <v>14</v>
      </c>
      <c r="B150" s="3" t="s">
        <v>61</v>
      </c>
      <c r="C150" s="3" t="s">
        <v>10</v>
      </c>
      <c r="D150" s="3" t="s">
        <v>63</v>
      </c>
    </row>
    <row r="151" spans="1:4" x14ac:dyDescent="0.2">
      <c r="A151" s="3" t="s">
        <v>14</v>
      </c>
      <c r="B151" s="3" t="s">
        <v>61</v>
      </c>
      <c r="C151" s="3" t="s">
        <v>12</v>
      </c>
      <c r="D151" s="3" t="s">
        <v>27</v>
      </c>
    </row>
    <row r="152" spans="1:4" x14ac:dyDescent="0.2">
      <c r="A152" s="3" t="s">
        <v>14</v>
      </c>
      <c r="B152" s="3" t="s">
        <v>64</v>
      </c>
      <c r="C152" s="3" t="s">
        <v>6</v>
      </c>
      <c r="D152" s="3" t="s">
        <v>7</v>
      </c>
    </row>
    <row r="153" spans="1:4" x14ac:dyDescent="0.2">
      <c r="A153" s="3" t="s">
        <v>14</v>
      </c>
      <c r="B153" s="3" t="s">
        <v>64</v>
      </c>
      <c r="C153" s="3" t="s">
        <v>8</v>
      </c>
      <c r="D153" s="3" t="s">
        <v>65</v>
      </c>
    </row>
    <row r="154" spans="1:4" x14ac:dyDescent="0.2">
      <c r="A154" s="3" t="s">
        <v>14</v>
      </c>
      <c r="B154" s="3" t="s">
        <v>64</v>
      </c>
      <c r="C154" s="3" t="s">
        <v>12</v>
      </c>
      <c r="D154" s="3" t="s">
        <v>63</v>
      </c>
    </row>
    <row r="155" spans="1:4" x14ac:dyDescent="0.2">
      <c r="A155" s="3" t="s">
        <v>14</v>
      </c>
      <c r="B155" s="3" t="s">
        <v>66</v>
      </c>
      <c r="C155" s="3" t="s">
        <v>6</v>
      </c>
      <c r="D155" s="3" t="s">
        <v>7</v>
      </c>
    </row>
    <row r="156" spans="1:4" x14ac:dyDescent="0.2">
      <c r="A156" s="3" t="s">
        <v>14</v>
      </c>
      <c r="B156" s="3" t="s">
        <v>66</v>
      </c>
      <c r="C156" s="3" t="s">
        <v>8</v>
      </c>
      <c r="D156" s="3" t="s">
        <v>16</v>
      </c>
    </row>
    <row r="157" spans="1:4" x14ac:dyDescent="0.2">
      <c r="A157" s="3" t="s">
        <v>14</v>
      </c>
      <c r="B157" s="3" t="s">
        <v>66</v>
      </c>
      <c r="C157" s="3" t="s">
        <v>10</v>
      </c>
      <c r="D157" s="3" t="s">
        <v>11</v>
      </c>
    </row>
    <row r="158" spans="1:4" x14ac:dyDescent="0.2">
      <c r="A158" s="3" t="s">
        <v>14</v>
      </c>
      <c r="B158" s="3" t="s">
        <v>66</v>
      </c>
      <c r="C158" s="3" t="s">
        <v>17</v>
      </c>
      <c r="D158" s="3" t="s">
        <v>13</v>
      </c>
    </row>
    <row r="159" spans="1:4" x14ac:dyDescent="0.2">
      <c r="A159" s="3" t="s">
        <v>14</v>
      </c>
      <c r="B159" s="3" t="s">
        <v>66</v>
      </c>
      <c r="C159" s="3" t="s">
        <v>12</v>
      </c>
      <c r="D159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761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22.28515625" customWidth="1"/>
    <col min="3" max="3" width="17.5703125" customWidth="1"/>
    <col min="7" max="7" width="30.5703125" customWidth="1"/>
    <col min="8" max="8" width="14.7109375" customWidth="1"/>
    <col min="9" max="10" width="16.140625" customWidth="1"/>
    <col min="11" max="11" width="11.28515625" customWidth="1"/>
    <col min="12" max="12" width="11.42578125" customWidth="1"/>
    <col min="13" max="13" width="7.7109375" customWidth="1"/>
    <col min="15" max="15" width="40.140625" customWidth="1"/>
    <col min="18" max="18" width="37.42578125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5" t="s">
        <v>67</v>
      </c>
      <c r="E1" s="5" t="s">
        <v>68</v>
      </c>
      <c r="F1" s="5" t="s">
        <v>69</v>
      </c>
      <c r="G1" s="6" t="s">
        <v>70</v>
      </c>
      <c r="H1" s="4" t="s">
        <v>71</v>
      </c>
      <c r="I1" s="4" t="s">
        <v>72</v>
      </c>
      <c r="J1" s="4"/>
      <c r="K1" s="6" t="s">
        <v>73</v>
      </c>
      <c r="L1" s="6" t="s">
        <v>74</v>
      </c>
      <c r="M1" s="5" t="s">
        <v>75</v>
      </c>
    </row>
    <row r="2" spans="1:25" x14ac:dyDescent="0.2">
      <c r="A2" s="5" t="s">
        <v>4</v>
      </c>
      <c r="B2" s="5" t="s">
        <v>5</v>
      </c>
      <c r="C2" s="5" t="s">
        <v>6</v>
      </c>
      <c r="D2" s="5" t="str">
        <f t="shared" ref="D2:D159" si="0">IF(C2="DAY OFF","",E2&amp;" - "&amp;F2)</f>
        <v/>
      </c>
      <c r="E2" s="5" t="str">
        <f t="shared" ref="E2:F2" si="1">REPT("0",2-LEN(ROUNDDOWN(H2,0)))&amp;ROUNDDOWN(H2,0)&amp;":"&amp;REPT("0",2-LEN(((H2-ROUNDDOWN(H2,0))*60)))&amp;((H2-ROUNDDOWN(H2,0))*60)</f>
        <v>00:00</v>
      </c>
      <c r="F2" s="5" t="str">
        <f t="shared" si="1"/>
        <v>00:00</v>
      </c>
      <c r="G2" s="5" t="str">
        <f t="shared" ref="G2:G86" si="2">C2&amp;"-"&amp;UPPER(SUBSTITUTE(B2,"Bagi Kopi - ",""))</f>
        <v>DAY OFF-BINTARO</v>
      </c>
      <c r="H2" s="5">
        <v>0</v>
      </c>
      <c r="I2" s="5">
        <v>0</v>
      </c>
      <c r="J2" s="5" t="str">
        <f t="shared" ref="J2:J159" si="3">"BOD / Operation / "&amp;B2</f>
        <v>BOD / Operation / Bagi Kopi - Bintaro</v>
      </c>
      <c r="K2" s="5" t="b">
        <v>1</v>
      </c>
      <c r="L2" s="5" t="b">
        <v>0</v>
      </c>
      <c r="M2" s="5" t="b">
        <v>1</v>
      </c>
      <c r="V2" s="7"/>
      <c r="X2" s="7"/>
      <c r="Y2" s="7"/>
    </row>
    <row r="3" spans="1:25" x14ac:dyDescent="0.2">
      <c r="A3" s="5" t="s">
        <v>4</v>
      </c>
      <c r="B3" s="5" t="s">
        <v>5</v>
      </c>
      <c r="C3" s="5" t="s">
        <v>8</v>
      </c>
      <c r="D3" s="5" t="str">
        <f t="shared" si="0"/>
        <v>06:30 - 14:30</v>
      </c>
      <c r="E3" s="5" t="str">
        <f t="shared" ref="E3:F3" si="4">REPT("0",2-LEN(ROUNDDOWN(H3,0)))&amp;ROUNDDOWN(H3,0)&amp;":"&amp;REPT("0",2-LEN(((H3-ROUNDDOWN(H3,0))*60)))&amp;((H3-ROUNDDOWN(H3,0))*60)</f>
        <v>06:30</v>
      </c>
      <c r="F3" s="5" t="str">
        <f t="shared" si="4"/>
        <v>14:30</v>
      </c>
      <c r="G3" s="5" t="str">
        <f t="shared" si="2"/>
        <v>OPENING-BINTARO</v>
      </c>
      <c r="H3" s="5">
        <v>6.5</v>
      </c>
      <c r="I3" s="5">
        <v>14.5</v>
      </c>
      <c r="J3" s="5" t="str">
        <f t="shared" si="3"/>
        <v>BOD / Operation / Bagi Kopi - Bintaro</v>
      </c>
      <c r="K3" s="5" t="b">
        <v>0</v>
      </c>
      <c r="L3" s="5" t="b">
        <v>0</v>
      </c>
      <c r="M3" s="5" t="b">
        <v>0</v>
      </c>
      <c r="V3" s="7"/>
      <c r="X3" s="7"/>
      <c r="Y3" s="7"/>
    </row>
    <row r="4" spans="1:25" x14ac:dyDescent="0.2">
      <c r="A4" s="5" t="s">
        <v>4</v>
      </c>
      <c r="B4" s="5" t="s">
        <v>5</v>
      </c>
      <c r="C4" s="5" t="s">
        <v>10</v>
      </c>
      <c r="D4" s="5" t="str">
        <f t="shared" si="0"/>
        <v>11:00 - 19:00</v>
      </c>
      <c r="E4" s="5" t="str">
        <f t="shared" ref="E4:F4" si="5">REPT("0",2-LEN(ROUNDDOWN(H4,0)))&amp;ROUNDDOWN(H4,0)&amp;":"&amp;REPT("0",2-LEN(((H4-ROUNDDOWN(H4,0))*60)))&amp;((H4-ROUNDDOWN(H4,0))*60)</f>
        <v>11:00</v>
      </c>
      <c r="F4" s="5" t="str">
        <f t="shared" si="5"/>
        <v>19:00</v>
      </c>
      <c r="G4" s="5" t="str">
        <f t="shared" si="2"/>
        <v>MIDDLE 1-BINTARO</v>
      </c>
      <c r="H4" s="5">
        <v>11</v>
      </c>
      <c r="I4" s="5">
        <v>19</v>
      </c>
      <c r="J4" s="5" t="str">
        <f t="shared" si="3"/>
        <v>BOD / Operation / Bagi Kopi - Bintaro</v>
      </c>
      <c r="K4" s="5" t="b">
        <v>0</v>
      </c>
      <c r="L4" s="5" t="b">
        <v>0</v>
      </c>
      <c r="M4" s="5" t="b">
        <v>0</v>
      </c>
      <c r="V4" s="7"/>
      <c r="X4" s="7"/>
      <c r="Y4" s="7"/>
    </row>
    <row r="5" spans="1:25" x14ac:dyDescent="0.2">
      <c r="A5" s="5" t="s">
        <v>4</v>
      </c>
      <c r="B5" s="5" t="s">
        <v>5</v>
      </c>
      <c r="C5" s="5" t="s">
        <v>17</v>
      </c>
      <c r="D5" s="5" t="str">
        <f t="shared" si="0"/>
        <v>15:00 - 23:00</v>
      </c>
      <c r="E5" s="5" t="str">
        <f t="shared" ref="E5:F5" si="6">REPT("0",2-LEN(ROUNDDOWN(H5,0)))&amp;ROUNDDOWN(H5,0)&amp;":"&amp;REPT("0",2-LEN(((H5-ROUNDDOWN(H5,0))*60)))&amp;((H5-ROUNDDOWN(H5,0))*60)</f>
        <v>15:00</v>
      </c>
      <c r="F5" s="5" t="str">
        <f t="shared" si="6"/>
        <v>23:00</v>
      </c>
      <c r="G5" s="5" t="str">
        <f t="shared" si="2"/>
        <v>MIDDLE 2-BINTARO</v>
      </c>
      <c r="H5" s="5">
        <v>15</v>
      </c>
      <c r="I5" s="5">
        <v>23</v>
      </c>
      <c r="J5" s="5" t="str">
        <f t="shared" si="3"/>
        <v>BOD / Operation / Bagi Kopi - Bintaro</v>
      </c>
      <c r="K5" s="5" t="b">
        <v>0</v>
      </c>
      <c r="L5" s="5" t="b">
        <v>0</v>
      </c>
      <c r="M5" s="5" t="b">
        <v>0</v>
      </c>
      <c r="V5" s="7"/>
      <c r="X5" s="7"/>
      <c r="Y5" s="7"/>
    </row>
    <row r="6" spans="1:25" x14ac:dyDescent="0.2">
      <c r="A6" s="5" t="s">
        <v>4</v>
      </c>
      <c r="B6" s="5" t="s">
        <v>5</v>
      </c>
      <c r="C6" s="5" t="s">
        <v>12</v>
      </c>
      <c r="D6" s="5" t="str">
        <f t="shared" si="0"/>
        <v>19:00 - 03:00</v>
      </c>
      <c r="E6" s="5" t="str">
        <f t="shared" ref="E6:F6" si="7">REPT("0",2-LEN(ROUNDDOWN(H6,0)))&amp;ROUNDDOWN(H6,0)&amp;":"&amp;REPT("0",2-LEN(((H6-ROUNDDOWN(H6,0))*60)))&amp;((H6-ROUNDDOWN(H6,0))*60)</f>
        <v>19:00</v>
      </c>
      <c r="F6" s="5" t="str">
        <f t="shared" si="7"/>
        <v>03:00</v>
      </c>
      <c r="G6" s="5" t="str">
        <f t="shared" si="2"/>
        <v>CLOSING-BINTARO</v>
      </c>
      <c r="H6" s="5">
        <v>19</v>
      </c>
      <c r="I6" s="5">
        <v>3</v>
      </c>
      <c r="J6" s="5" t="str">
        <f t="shared" si="3"/>
        <v>BOD / Operation / Bagi Kopi - Bintaro</v>
      </c>
      <c r="K6" s="5" t="b">
        <v>0</v>
      </c>
      <c r="L6" s="5" t="b">
        <v>0</v>
      </c>
      <c r="M6" s="5" t="b">
        <v>0</v>
      </c>
      <c r="V6" s="7"/>
      <c r="X6" s="7"/>
      <c r="Y6" s="7"/>
    </row>
    <row r="7" spans="1:25" x14ac:dyDescent="0.2">
      <c r="A7" s="5" t="s">
        <v>14</v>
      </c>
      <c r="B7" s="5" t="s">
        <v>15</v>
      </c>
      <c r="C7" s="5" t="s">
        <v>6</v>
      </c>
      <c r="D7" s="5" t="str">
        <f t="shared" si="0"/>
        <v/>
      </c>
      <c r="E7" s="5" t="str">
        <f t="shared" ref="E7:F7" si="8">REPT("0",2-LEN(ROUNDDOWN(H7,0)))&amp;ROUNDDOWN(H7,0)&amp;":"&amp;REPT("0",2-LEN(((H7-ROUNDDOWN(H7,0))*60)))&amp;((H7-ROUNDDOWN(H7,0))*60)</f>
        <v>00:00</v>
      </c>
      <c r="F7" s="5" t="str">
        <f t="shared" si="8"/>
        <v>00:00</v>
      </c>
      <c r="G7" s="5" t="str">
        <f t="shared" si="2"/>
        <v>DAY OFF-BUAH BATU</v>
      </c>
      <c r="H7" s="5">
        <v>0</v>
      </c>
      <c r="I7" s="5">
        <v>0</v>
      </c>
      <c r="J7" s="5" t="str">
        <f t="shared" si="3"/>
        <v>BOD / Operation / Bagi Kopi - Buah Batu</v>
      </c>
      <c r="K7" s="5" t="b">
        <v>1</v>
      </c>
      <c r="L7" s="5" t="b">
        <v>0</v>
      </c>
      <c r="M7" s="5" t="b">
        <v>1</v>
      </c>
      <c r="V7" s="7"/>
      <c r="X7" s="7"/>
      <c r="Y7" s="7"/>
    </row>
    <row r="8" spans="1:25" x14ac:dyDescent="0.2">
      <c r="A8" s="5" t="s">
        <v>14</v>
      </c>
      <c r="B8" s="5" t="s">
        <v>15</v>
      </c>
      <c r="C8" s="5" t="s">
        <v>8</v>
      </c>
      <c r="D8" s="5" t="str">
        <f t="shared" si="0"/>
        <v>06:30 - 15:00</v>
      </c>
      <c r="E8" s="5" t="str">
        <f t="shared" ref="E8:F8" si="9">REPT("0",2-LEN(ROUNDDOWN(H8,0)))&amp;ROUNDDOWN(H8,0)&amp;":"&amp;REPT("0",2-LEN(((H8-ROUNDDOWN(H8,0))*60)))&amp;((H8-ROUNDDOWN(H8,0))*60)</f>
        <v>06:30</v>
      </c>
      <c r="F8" s="5" t="str">
        <f t="shared" si="9"/>
        <v>15:00</v>
      </c>
      <c r="G8" s="5" t="str">
        <f t="shared" si="2"/>
        <v>OPENING-BUAH BATU</v>
      </c>
      <c r="H8" s="5">
        <v>6.5</v>
      </c>
      <c r="I8" s="5">
        <v>15</v>
      </c>
      <c r="J8" s="5" t="str">
        <f t="shared" si="3"/>
        <v>BOD / Operation / Bagi Kopi - Buah Batu</v>
      </c>
      <c r="K8" s="5" t="b">
        <v>0</v>
      </c>
      <c r="L8" s="5" t="b">
        <v>0</v>
      </c>
      <c r="M8" s="5" t="b">
        <v>0</v>
      </c>
      <c r="V8" s="7"/>
      <c r="X8" s="7"/>
      <c r="Y8" s="7"/>
    </row>
    <row r="9" spans="1:25" x14ac:dyDescent="0.2">
      <c r="A9" s="5" t="s">
        <v>14</v>
      </c>
      <c r="B9" s="5" t="s">
        <v>15</v>
      </c>
      <c r="C9" s="5" t="s">
        <v>10</v>
      </c>
      <c r="D9" s="5" t="str">
        <f t="shared" si="0"/>
        <v>11:00 - 19:00</v>
      </c>
      <c r="E9" s="5" t="str">
        <f t="shared" ref="E9:F9" si="10">REPT("0",2-LEN(ROUNDDOWN(H9,0)))&amp;ROUNDDOWN(H9,0)&amp;":"&amp;REPT("0",2-LEN(((H9-ROUNDDOWN(H9,0))*60)))&amp;((H9-ROUNDDOWN(H9,0))*60)</f>
        <v>11:00</v>
      </c>
      <c r="F9" s="5" t="str">
        <f t="shared" si="10"/>
        <v>19:00</v>
      </c>
      <c r="G9" s="5" t="str">
        <f t="shared" si="2"/>
        <v>MIDDLE 1-BUAH BATU</v>
      </c>
      <c r="H9" s="5">
        <v>11</v>
      </c>
      <c r="I9" s="5">
        <v>19</v>
      </c>
      <c r="J9" s="5" t="str">
        <f t="shared" si="3"/>
        <v>BOD / Operation / Bagi Kopi - Buah Batu</v>
      </c>
      <c r="K9" s="5" t="b">
        <v>0</v>
      </c>
      <c r="L9" s="5" t="b">
        <v>0</v>
      </c>
      <c r="M9" s="5" t="b">
        <v>0</v>
      </c>
      <c r="V9" s="7"/>
      <c r="X9" s="7"/>
      <c r="Y9" s="7"/>
    </row>
    <row r="10" spans="1:25" x14ac:dyDescent="0.2">
      <c r="A10" s="5" t="s">
        <v>14</v>
      </c>
      <c r="B10" s="5" t="s">
        <v>15</v>
      </c>
      <c r="C10" s="5" t="s">
        <v>17</v>
      </c>
      <c r="D10" s="5" t="str">
        <f t="shared" si="0"/>
        <v>15:00 - 23:00</v>
      </c>
      <c r="E10" s="5" t="str">
        <f t="shared" ref="E10:F10" si="11">REPT("0",2-LEN(ROUNDDOWN(H10,0)))&amp;ROUNDDOWN(H10,0)&amp;":"&amp;REPT("0",2-LEN(((H10-ROUNDDOWN(H10,0))*60)))&amp;((H10-ROUNDDOWN(H10,0))*60)</f>
        <v>15:00</v>
      </c>
      <c r="F10" s="5" t="str">
        <f t="shared" si="11"/>
        <v>23:00</v>
      </c>
      <c r="G10" s="5" t="str">
        <f t="shared" si="2"/>
        <v>MIDDLE 2-BUAH BATU</v>
      </c>
      <c r="H10" s="5">
        <v>15</v>
      </c>
      <c r="I10" s="5">
        <v>23</v>
      </c>
      <c r="J10" s="5" t="str">
        <f t="shared" si="3"/>
        <v>BOD / Operation / Bagi Kopi - Buah Batu</v>
      </c>
      <c r="K10" s="5" t="b">
        <v>0</v>
      </c>
      <c r="L10" s="5" t="b">
        <v>0</v>
      </c>
      <c r="M10" s="5" t="b">
        <v>0</v>
      </c>
      <c r="V10" s="7"/>
      <c r="X10" s="7"/>
      <c r="Y10" s="7"/>
    </row>
    <row r="11" spans="1:25" x14ac:dyDescent="0.2">
      <c r="A11" s="5" t="s">
        <v>14</v>
      </c>
      <c r="B11" s="5" t="s">
        <v>15</v>
      </c>
      <c r="C11" s="5" t="s">
        <v>12</v>
      </c>
      <c r="D11" s="5" t="str">
        <f t="shared" si="0"/>
        <v>19:00 - 03:00</v>
      </c>
      <c r="E11" s="5" t="str">
        <f t="shared" ref="E11:F11" si="12">REPT("0",2-LEN(ROUNDDOWN(H11,0)))&amp;ROUNDDOWN(H11,0)&amp;":"&amp;REPT("0",2-LEN(((H11-ROUNDDOWN(H11,0))*60)))&amp;((H11-ROUNDDOWN(H11,0))*60)</f>
        <v>19:00</v>
      </c>
      <c r="F11" s="5" t="str">
        <f t="shared" si="12"/>
        <v>03:00</v>
      </c>
      <c r="G11" s="5" t="str">
        <f t="shared" si="2"/>
        <v>CLOSING-BUAH BATU</v>
      </c>
      <c r="H11" s="5">
        <v>19</v>
      </c>
      <c r="I11" s="5">
        <v>3</v>
      </c>
      <c r="J11" s="5" t="str">
        <f t="shared" si="3"/>
        <v>BOD / Operation / Bagi Kopi - Buah Batu</v>
      </c>
      <c r="K11" s="5" t="b">
        <v>0</v>
      </c>
      <c r="L11" s="5" t="b">
        <v>0</v>
      </c>
      <c r="M11" s="5" t="b">
        <v>0</v>
      </c>
      <c r="V11" s="7"/>
      <c r="X11" s="7"/>
      <c r="Y11" s="7"/>
    </row>
    <row r="12" spans="1:25" x14ac:dyDescent="0.2">
      <c r="A12" s="5" t="s">
        <v>4</v>
      </c>
      <c r="B12" s="5" t="s">
        <v>19</v>
      </c>
      <c r="C12" s="5" t="s">
        <v>6</v>
      </c>
      <c r="D12" s="5" t="str">
        <f t="shared" si="0"/>
        <v/>
      </c>
      <c r="E12" s="5" t="str">
        <f t="shared" ref="E12:F12" si="13">REPT("0",2-LEN(ROUNDDOWN(H12,0)))&amp;ROUNDDOWN(H12,0)&amp;":"&amp;REPT("0",2-LEN(((H12-ROUNDDOWN(H12,0))*60)))&amp;((H12-ROUNDDOWN(H12,0))*60)</f>
        <v>00:00</v>
      </c>
      <c r="F12" s="5" t="str">
        <f t="shared" si="13"/>
        <v>00:00</v>
      </c>
      <c r="G12" s="5" t="str">
        <f t="shared" si="2"/>
        <v>DAY OFF-CAWANG</v>
      </c>
      <c r="H12" s="5">
        <v>0</v>
      </c>
      <c r="I12" s="5">
        <v>0</v>
      </c>
      <c r="J12" s="5" t="str">
        <f t="shared" si="3"/>
        <v>BOD / Operation / Bagi Kopi - Cawang</v>
      </c>
      <c r="K12" s="5" t="b">
        <v>1</v>
      </c>
      <c r="L12" s="5" t="b">
        <v>0</v>
      </c>
      <c r="M12" s="5" t="b">
        <v>1</v>
      </c>
      <c r="V12" s="7"/>
      <c r="X12" s="7"/>
      <c r="Y12" s="7"/>
    </row>
    <row r="13" spans="1:25" x14ac:dyDescent="0.2">
      <c r="A13" s="5" t="s">
        <v>4</v>
      </c>
      <c r="B13" s="5" t="s">
        <v>19</v>
      </c>
      <c r="C13" s="5" t="s">
        <v>8</v>
      </c>
      <c r="D13" s="5" t="str">
        <f t="shared" si="0"/>
        <v>06:30 - 14:30</v>
      </c>
      <c r="E13" s="5" t="str">
        <f t="shared" ref="E13:F13" si="14">REPT("0",2-LEN(ROUNDDOWN(H13,0)))&amp;ROUNDDOWN(H13,0)&amp;":"&amp;REPT("0",2-LEN(((H13-ROUNDDOWN(H13,0))*60)))&amp;((H13-ROUNDDOWN(H13,0))*60)</f>
        <v>06:30</v>
      </c>
      <c r="F13" s="5" t="str">
        <f t="shared" si="14"/>
        <v>14:30</v>
      </c>
      <c r="G13" s="5" t="str">
        <f t="shared" si="2"/>
        <v>OPENING-CAWANG</v>
      </c>
      <c r="H13" s="5">
        <v>6.5</v>
      </c>
      <c r="I13" s="5">
        <v>14.5</v>
      </c>
      <c r="J13" s="5" t="str">
        <f t="shared" si="3"/>
        <v>BOD / Operation / Bagi Kopi - Cawang</v>
      </c>
      <c r="K13" s="5" t="b">
        <v>0</v>
      </c>
      <c r="L13" s="5" t="b">
        <v>0</v>
      </c>
      <c r="M13" s="5" t="b">
        <v>0</v>
      </c>
      <c r="V13" s="7"/>
      <c r="X13" s="7"/>
      <c r="Y13" s="7"/>
    </row>
    <row r="14" spans="1:25" x14ac:dyDescent="0.2">
      <c r="A14" s="5" t="s">
        <v>4</v>
      </c>
      <c r="B14" s="5" t="s">
        <v>19</v>
      </c>
      <c r="C14" s="5" t="s">
        <v>10</v>
      </c>
      <c r="D14" s="5" t="str">
        <f t="shared" si="0"/>
        <v>11:00 - 19:00</v>
      </c>
      <c r="E14" s="5" t="str">
        <f t="shared" ref="E14:F14" si="15">REPT("0",2-LEN(ROUNDDOWN(H14,0)))&amp;ROUNDDOWN(H14,0)&amp;":"&amp;REPT("0",2-LEN(((H14-ROUNDDOWN(H14,0))*60)))&amp;((H14-ROUNDDOWN(H14,0))*60)</f>
        <v>11:00</v>
      </c>
      <c r="F14" s="5" t="str">
        <f t="shared" si="15"/>
        <v>19:00</v>
      </c>
      <c r="G14" s="5" t="str">
        <f t="shared" si="2"/>
        <v>MIDDLE 1-CAWANG</v>
      </c>
      <c r="H14" s="5">
        <v>11</v>
      </c>
      <c r="I14" s="5">
        <v>19</v>
      </c>
      <c r="J14" s="5" t="str">
        <f t="shared" si="3"/>
        <v>BOD / Operation / Bagi Kopi - Cawang</v>
      </c>
      <c r="K14" s="5" t="b">
        <v>0</v>
      </c>
      <c r="L14" s="5" t="b">
        <v>0</v>
      </c>
      <c r="M14" s="5" t="b">
        <v>0</v>
      </c>
      <c r="V14" s="7"/>
      <c r="X14" s="7"/>
      <c r="Y14" s="7"/>
    </row>
    <row r="15" spans="1:25" x14ac:dyDescent="0.2">
      <c r="A15" s="5" t="s">
        <v>4</v>
      </c>
      <c r="B15" s="5" t="s">
        <v>19</v>
      </c>
      <c r="C15" s="5" t="s">
        <v>17</v>
      </c>
      <c r="D15" s="5" t="str">
        <f t="shared" si="0"/>
        <v>15:00 - 23:00</v>
      </c>
      <c r="E15" s="5" t="str">
        <f t="shared" ref="E15:F15" si="16">REPT("0",2-LEN(ROUNDDOWN(H15,0)))&amp;ROUNDDOWN(H15,0)&amp;":"&amp;REPT("0",2-LEN(((H15-ROUNDDOWN(H15,0))*60)))&amp;((H15-ROUNDDOWN(H15,0))*60)</f>
        <v>15:00</v>
      </c>
      <c r="F15" s="5" t="str">
        <f t="shared" si="16"/>
        <v>23:00</v>
      </c>
      <c r="G15" s="5" t="str">
        <f t="shared" si="2"/>
        <v>MIDDLE 2-CAWANG</v>
      </c>
      <c r="H15" s="5">
        <v>15</v>
      </c>
      <c r="I15" s="5">
        <v>23</v>
      </c>
      <c r="J15" s="5" t="str">
        <f t="shared" si="3"/>
        <v>BOD / Operation / Bagi Kopi - Cawang</v>
      </c>
      <c r="K15" s="5" t="b">
        <v>0</v>
      </c>
      <c r="L15" s="5" t="b">
        <v>0</v>
      </c>
      <c r="M15" s="5" t="b">
        <v>0</v>
      </c>
      <c r="V15" s="7"/>
      <c r="X15" s="7"/>
      <c r="Y15" s="7"/>
    </row>
    <row r="16" spans="1:25" x14ac:dyDescent="0.2">
      <c r="A16" s="5" t="s">
        <v>4</v>
      </c>
      <c r="B16" s="5" t="s">
        <v>19</v>
      </c>
      <c r="C16" s="5" t="s">
        <v>12</v>
      </c>
      <c r="D16" s="5" t="str">
        <f t="shared" si="0"/>
        <v>19:00 - 03:00</v>
      </c>
      <c r="E16" s="5" t="str">
        <f t="shared" ref="E16:F16" si="17">REPT("0",2-LEN(ROUNDDOWN(H16,0)))&amp;ROUNDDOWN(H16,0)&amp;":"&amp;REPT("0",2-LEN(((H16-ROUNDDOWN(H16,0))*60)))&amp;((H16-ROUNDDOWN(H16,0))*60)</f>
        <v>19:00</v>
      </c>
      <c r="F16" s="5" t="str">
        <f t="shared" si="17"/>
        <v>03:00</v>
      </c>
      <c r="G16" s="5" t="str">
        <f t="shared" si="2"/>
        <v>CLOSING-CAWANG</v>
      </c>
      <c r="H16" s="5">
        <v>19</v>
      </c>
      <c r="I16" s="5">
        <v>3</v>
      </c>
      <c r="J16" s="5" t="str">
        <f t="shared" si="3"/>
        <v>BOD / Operation / Bagi Kopi - Cawang</v>
      </c>
      <c r="K16" s="5" t="b">
        <v>0</v>
      </c>
      <c r="L16" s="5" t="b">
        <v>0</v>
      </c>
      <c r="M16" s="5" t="b">
        <v>0</v>
      </c>
      <c r="V16" s="7"/>
      <c r="X16" s="7"/>
      <c r="Y16" s="7"/>
    </row>
    <row r="17" spans="1:25" x14ac:dyDescent="0.2">
      <c r="A17" s="5" t="s">
        <v>4</v>
      </c>
      <c r="B17" s="5" t="s">
        <v>20</v>
      </c>
      <c r="C17" s="5" t="s">
        <v>6</v>
      </c>
      <c r="D17" s="5" t="str">
        <f t="shared" si="0"/>
        <v/>
      </c>
      <c r="E17" s="5" t="str">
        <f t="shared" ref="E17:F17" si="18">REPT("0",2-LEN(ROUNDDOWN(H17,0)))&amp;ROUNDDOWN(H17,0)&amp;":"&amp;REPT("0",2-LEN(((H17-ROUNDDOWN(H17,0))*60)))&amp;((H17-ROUNDDOWN(H17,0))*60)</f>
        <v>00:00</v>
      </c>
      <c r="F17" s="5" t="str">
        <f t="shared" si="18"/>
        <v>00:00</v>
      </c>
      <c r="G17" s="5" t="str">
        <f t="shared" si="2"/>
        <v>DAY OFF-CILANDAK BARAT</v>
      </c>
      <c r="H17" s="5">
        <v>0</v>
      </c>
      <c r="I17" s="5">
        <v>0</v>
      </c>
      <c r="J17" s="5" t="str">
        <f t="shared" si="3"/>
        <v>BOD / Operation / Bagi Kopi - Cilandak Barat</v>
      </c>
      <c r="K17" s="5" t="b">
        <v>1</v>
      </c>
      <c r="L17" s="5" t="b">
        <v>0</v>
      </c>
      <c r="M17" s="5" t="b">
        <v>0</v>
      </c>
      <c r="V17" s="7"/>
      <c r="X17" s="7"/>
      <c r="Y17" s="7"/>
    </row>
    <row r="18" spans="1:25" x14ac:dyDescent="0.2">
      <c r="A18" s="5" t="s">
        <v>4</v>
      </c>
      <c r="B18" s="5" t="s">
        <v>20</v>
      </c>
      <c r="C18" s="5" t="s">
        <v>8</v>
      </c>
      <c r="D18" s="5" t="str">
        <f t="shared" si="0"/>
        <v>06:30 - 14:30</v>
      </c>
      <c r="E18" s="5" t="str">
        <f t="shared" ref="E18:F18" si="19">REPT("0",2-LEN(ROUNDDOWN(H18,0)))&amp;ROUNDDOWN(H18,0)&amp;":"&amp;REPT("0",2-LEN(((H18-ROUNDDOWN(H18,0))*60)))&amp;((H18-ROUNDDOWN(H18,0))*60)</f>
        <v>06:30</v>
      </c>
      <c r="F18" s="5" t="str">
        <f t="shared" si="19"/>
        <v>14:30</v>
      </c>
      <c r="G18" s="5" t="str">
        <f t="shared" si="2"/>
        <v>OPENING-CILANDAK BARAT</v>
      </c>
      <c r="H18" s="5">
        <v>6.5</v>
      </c>
      <c r="I18" s="5">
        <v>14.5</v>
      </c>
      <c r="J18" s="5" t="str">
        <f t="shared" si="3"/>
        <v>BOD / Operation / Bagi Kopi - Cilandak Barat</v>
      </c>
      <c r="K18" s="5" t="b">
        <v>0</v>
      </c>
      <c r="L18" s="5" t="b">
        <v>0</v>
      </c>
      <c r="M18" s="5" t="b">
        <v>0</v>
      </c>
      <c r="V18" s="7"/>
      <c r="X18" s="7"/>
      <c r="Y18" s="7"/>
    </row>
    <row r="19" spans="1:25" x14ac:dyDescent="0.2">
      <c r="A19" s="5" t="s">
        <v>4</v>
      </c>
      <c r="B19" s="5" t="s">
        <v>20</v>
      </c>
      <c r="C19" s="5" t="s">
        <v>10</v>
      </c>
      <c r="D19" s="5" t="str">
        <f t="shared" si="0"/>
        <v>11:00 - 19:00</v>
      </c>
      <c r="E19" s="5" t="str">
        <f t="shared" ref="E19:F19" si="20">REPT("0",2-LEN(ROUNDDOWN(H19,0)))&amp;ROUNDDOWN(H19,0)&amp;":"&amp;REPT("0",2-LEN(((H19-ROUNDDOWN(H19,0))*60)))&amp;((H19-ROUNDDOWN(H19,0))*60)</f>
        <v>11:00</v>
      </c>
      <c r="F19" s="5" t="str">
        <f t="shared" si="20"/>
        <v>19:00</v>
      </c>
      <c r="G19" s="5" t="str">
        <f t="shared" si="2"/>
        <v>MIDDLE 1-CILANDAK BARAT</v>
      </c>
      <c r="H19" s="5">
        <v>11</v>
      </c>
      <c r="I19" s="5">
        <v>19</v>
      </c>
      <c r="J19" s="5" t="str">
        <f t="shared" si="3"/>
        <v>BOD / Operation / Bagi Kopi - Cilandak Barat</v>
      </c>
      <c r="K19" s="5" t="b">
        <v>0</v>
      </c>
      <c r="L19" s="5" t="b">
        <v>0</v>
      </c>
      <c r="M19" s="5" t="b">
        <v>0</v>
      </c>
      <c r="V19" s="7"/>
      <c r="X19" s="7"/>
      <c r="Y19" s="7"/>
    </row>
    <row r="20" spans="1:25" x14ac:dyDescent="0.2">
      <c r="A20" s="5" t="s">
        <v>4</v>
      </c>
      <c r="B20" s="5" t="s">
        <v>20</v>
      </c>
      <c r="C20" s="5" t="s">
        <v>12</v>
      </c>
      <c r="D20" s="5" t="str">
        <f t="shared" si="0"/>
        <v>15:00 - 23:00</v>
      </c>
      <c r="E20" s="5" t="str">
        <f t="shared" ref="E20:F20" si="21">REPT("0",2-LEN(ROUNDDOWN(H20,0)))&amp;ROUNDDOWN(H20,0)&amp;":"&amp;REPT("0",2-LEN(((H20-ROUNDDOWN(H20,0))*60)))&amp;((H20-ROUNDDOWN(H20,0))*60)</f>
        <v>15:00</v>
      </c>
      <c r="F20" s="5" t="str">
        <f t="shared" si="21"/>
        <v>23:00</v>
      </c>
      <c r="G20" s="5" t="str">
        <f t="shared" si="2"/>
        <v>CLOSING-CILANDAK BARAT</v>
      </c>
      <c r="H20" s="5">
        <v>15</v>
      </c>
      <c r="I20" s="5">
        <v>23</v>
      </c>
      <c r="J20" s="5" t="str">
        <f t="shared" si="3"/>
        <v>BOD / Operation / Bagi Kopi - Cilandak Barat</v>
      </c>
      <c r="K20" s="5" t="b">
        <v>0</v>
      </c>
      <c r="L20" s="5" t="b">
        <v>0</v>
      </c>
      <c r="M20" s="5" t="b">
        <v>0</v>
      </c>
      <c r="V20" s="7"/>
      <c r="X20" s="7"/>
      <c r="Y20" s="7"/>
    </row>
    <row r="21" spans="1:25" x14ac:dyDescent="0.2">
      <c r="A21" s="5" t="s">
        <v>4</v>
      </c>
      <c r="B21" s="5" t="s">
        <v>21</v>
      </c>
      <c r="C21" s="5" t="s">
        <v>6</v>
      </c>
      <c r="D21" s="5" t="str">
        <f t="shared" si="0"/>
        <v/>
      </c>
      <c r="E21" s="5" t="str">
        <f t="shared" ref="E21:F21" si="22">REPT("0",2-LEN(ROUNDDOWN(H21,0)))&amp;ROUNDDOWN(H21,0)&amp;":"&amp;REPT("0",2-LEN(((H21-ROUNDDOWN(H21,0))*60)))&amp;((H21-ROUNDDOWN(H21,0))*60)</f>
        <v>00:00</v>
      </c>
      <c r="F21" s="5" t="str">
        <f t="shared" si="22"/>
        <v>00:00</v>
      </c>
      <c r="G21" s="5" t="str">
        <f t="shared" si="2"/>
        <v>DAY OFF-CILEDUG</v>
      </c>
      <c r="H21" s="5">
        <v>0</v>
      </c>
      <c r="I21" s="5">
        <v>0</v>
      </c>
      <c r="J21" s="5" t="str">
        <f t="shared" si="3"/>
        <v>BOD / Operation / Bagi Kopi - Ciledug</v>
      </c>
      <c r="K21" s="5" t="b">
        <v>1</v>
      </c>
      <c r="L21" s="5" t="b">
        <v>0</v>
      </c>
      <c r="M21" s="5" t="b">
        <v>1</v>
      </c>
      <c r="V21" s="7"/>
      <c r="X21" s="7"/>
      <c r="Y21" s="7"/>
    </row>
    <row r="22" spans="1:25" x14ac:dyDescent="0.2">
      <c r="A22" s="5" t="s">
        <v>4</v>
      </c>
      <c r="B22" s="5" t="s">
        <v>21</v>
      </c>
      <c r="C22" s="5" t="s">
        <v>8</v>
      </c>
      <c r="D22" s="5" t="str">
        <f t="shared" si="0"/>
        <v>06:30 - 14:30</v>
      </c>
      <c r="E22" s="5" t="str">
        <f t="shared" ref="E22:F22" si="23">REPT("0",2-LEN(ROUNDDOWN(H22,0)))&amp;ROUNDDOWN(H22,0)&amp;":"&amp;REPT("0",2-LEN(((H22-ROUNDDOWN(H22,0))*60)))&amp;((H22-ROUNDDOWN(H22,0))*60)</f>
        <v>06:30</v>
      </c>
      <c r="F22" s="5" t="str">
        <f t="shared" si="23"/>
        <v>14:30</v>
      </c>
      <c r="G22" s="5" t="str">
        <f t="shared" si="2"/>
        <v>OPENING-CILEDUG</v>
      </c>
      <c r="H22" s="5">
        <v>6.5</v>
      </c>
      <c r="I22" s="5">
        <v>14.5</v>
      </c>
      <c r="J22" s="5" t="str">
        <f t="shared" si="3"/>
        <v>BOD / Operation / Bagi Kopi - Ciledug</v>
      </c>
      <c r="K22" s="5" t="b">
        <v>0</v>
      </c>
      <c r="L22" s="5" t="b">
        <v>0</v>
      </c>
      <c r="M22" s="5" t="b">
        <v>0</v>
      </c>
      <c r="V22" s="7"/>
      <c r="X22" s="7"/>
      <c r="Y22" s="7"/>
    </row>
    <row r="23" spans="1:25" x14ac:dyDescent="0.2">
      <c r="A23" s="5" t="s">
        <v>4</v>
      </c>
      <c r="B23" s="5" t="s">
        <v>21</v>
      </c>
      <c r="C23" s="5" t="s">
        <v>10</v>
      </c>
      <c r="D23" s="5" t="str">
        <f t="shared" si="0"/>
        <v>11:00 - 19:00</v>
      </c>
      <c r="E23" s="5" t="str">
        <f t="shared" ref="E23:F23" si="24">REPT("0",2-LEN(ROUNDDOWN(H23,0)))&amp;ROUNDDOWN(H23,0)&amp;":"&amp;REPT("0",2-LEN(((H23-ROUNDDOWN(H23,0))*60)))&amp;((H23-ROUNDDOWN(H23,0))*60)</f>
        <v>11:00</v>
      </c>
      <c r="F23" s="5" t="str">
        <f t="shared" si="24"/>
        <v>19:00</v>
      </c>
      <c r="G23" s="5" t="str">
        <f t="shared" si="2"/>
        <v>MIDDLE 1-CILEDUG</v>
      </c>
      <c r="H23" s="5">
        <v>11</v>
      </c>
      <c r="I23" s="5">
        <v>19</v>
      </c>
      <c r="J23" s="5" t="str">
        <f t="shared" si="3"/>
        <v>BOD / Operation / Bagi Kopi - Ciledug</v>
      </c>
      <c r="K23" s="5" t="b">
        <v>0</v>
      </c>
      <c r="L23" s="5" t="b">
        <v>0</v>
      </c>
      <c r="M23" s="5" t="b">
        <v>0</v>
      </c>
      <c r="V23" s="7"/>
      <c r="X23" s="7"/>
      <c r="Y23" s="7"/>
    </row>
    <row r="24" spans="1:25" x14ac:dyDescent="0.2">
      <c r="A24" s="5" t="s">
        <v>4</v>
      </c>
      <c r="B24" s="5" t="s">
        <v>21</v>
      </c>
      <c r="C24" s="5" t="s">
        <v>17</v>
      </c>
      <c r="D24" s="5" t="str">
        <f t="shared" si="0"/>
        <v>15:00 - 23:00</v>
      </c>
      <c r="E24" s="5" t="str">
        <f t="shared" ref="E24:F24" si="25">REPT("0",2-LEN(ROUNDDOWN(H24,0)))&amp;ROUNDDOWN(H24,0)&amp;":"&amp;REPT("0",2-LEN(((H24-ROUNDDOWN(H24,0))*60)))&amp;((H24-ROUNDDOWN(H24,0))*60)</f>
        <v>15:00</v>
      </c>
      <c r="F24" s="5" t="str">
        <f t="shared" si="25"/>
        <v>23:00</v>
      </c>
      <c r="G24" s="5" t="str">
        <f t="shared" si="2"/>
        <v>MIDDLE 2-CILEDUG</v>
      </c>
      <c r="H24" s="5">
        <v>15</v>
      </c>
      <c r="I24" s="5">
        <v>23</v>
      </c>
      <c r="J24" s="5" t="str">
        <f t="shared" si="3"/>
        <v>BOD / Operation / Bagi Kopi - Ciledug</v>
      </c>
      <c r="K24" s="5" t="b">
        <v>0</v>
      </c>
      <c r="L24" s="5" t="b">
        <v>0</v>
      </c>
      <c r="M24" s="5" t="b">
        <v>0</v>
      </c>
      <c r="V24" s="7"/>
      <c r="X24" s="7"/>
      <c r="Y24" s="7"/>
    </row>
    <row r="25" spans="1:25" x14ac:dyDescent="0.2">
      <c r="A25" s="5" t="s">
        <v>4</v>
      </c>
      <c r="B25" s="5" t="s">
        <v>21</v>
      </c>
      <c r="C25" s="5" t="s">
        <v>12</v>
      </c>
      <c r="D25" s="5" t="str">
        <f t="shared" si="0"/>
        <v>19:00 - 03:00</v>
      </c>
      <c r="E25" s="5" t="str">
        <f t="shared" ref="E25:F25" si="26">REPT("0",2-LEN(ROUNDDOWN(H25,0)))&amp;ROUNDDOWN(H25,0)&amp;":"&amp;REPT("0",2-LEN(((H25-ROUNDDOWN(H25,0))*60)))&amp;((H25-ROUNDDOWN(H25,0))*60)</f>
        <v>19:00</v>
      </c>
      <c r="F25" s="5" t="str">
        <f t="shared" si="26"/>
        <v>03:00</v>
      </c>
      <c r="G25" s="5" t="str">
        <f t="shared" si="2"/>
        <v>CLOSING-CILEDUG</v>
      </c>
      <c r="H25" s="5">
        <v>19</v>
      </c>
      <c r="I25" s="5">
        <v>3</v>
      </c>
      <c r="J25" s="5" t="str">
        <f t="shared" si="3"/>
        <v>BOD / Operation / Bagi Kopi - Ciledug</v>
      </c>
      <c r="K25" s="5" t="b">
        <v>0</v>
      </c>
      <c r="L25" s="5" t="b">
        <v>0</v>
      </c>
      <c r="M25" s="5" t="b">
        <v>0</v>
      </c>
      <c r="V25" s="7"/>
      <c r="X25" s="7"/>
      <c r="Y25" s="7"/>
    </row>
    <row r="26" spans="1:25" x14ac:dyDescent="0.2">
      <c r="A26" s="5" t="s">
        <v>14</v>
      </c>
      <c r="B26" s="5" t="s">
        <v>22</v>
      </c>
      <c r="C26" s="5" t="s">
        <v>6</v>
      </c>
      <c r="D26" s="5" t="str">
        <f t="shared" si="0"/>
        <v/>
      </c>
      <c r="E26" s="5" t="str">
        <f t="shared" ref="E26:F26" si="27">REPT("0",2-LEN(ROUNDDOWN(H26,0)))&amp;ROUNDDOWN(H26,0)&amp;":"&amp;REPT("0",2-LEN(((H26-ROUNDDOWN(H26,0))*60)))&amp;((H26-ROUNDDOWN(H26,0))*60)</f>
        <v>00:00</v>
      </c>
      <c r="F26" s="5" t="str">
        <f t="shared" si="27"/>
        <v>00:00</v>
      </c>
      <c r="G26" s="5" t="str">
        <f t="shared" si="2"/>
        <v>DAY OFF-CIMAHI TENGAH</v>
      </c>
      <c r="H26" s="5">
        <v>0</v>
      </c>
      <c r="I26" s="5">
        <v>0</v>
      </c>
      <c r="J26" s="5" t="str">
        <f t="shared" si="3"/>
        <v>BOD / Operation / Bagi Kopi - Cimahi Tengah</v>
      </c>
      <c r="K26" s="5" t="b">
        <v>1</v>
      </c>
      <c r="L26" s="5" t="b">
        <v>0</v>
      </c>
      <c r="M26" s="5" t="b">
        <v>1</v>
      </c>
      <c r="V26" s="7"/>
      <c r="X26" s="7"/>
      <c r="Y26" s="7"/>
    </row>
    <row r="27" spans="1:25" x14ac:dyDescent="0.2">
      <c r="A27" s="5" t="s">
        <v>14</v>
      </c>
      <c r="B27" s="5" t="s">
        <v>22</v>
      </c>
      <c r="C27" s="5" t="s">
        <v>8</v>
      </c>
      <c r="D27" s="5" t="str">
        <f t="shared" si="0"/>
        <v>06:30 - 15:00</v>
      </c>
      <c r="E27" s="5" t="str">
        <f t="shared" ref="E27:F27" si="28">REPT("0",2-LEN(ROUNDDOWN(H27,0)))&amp;ROUNDDOWN(H27,0)&amp;":"&amp;REPT("0",2-LEN(((H27-ROUNDDOWN(H27,0))*60)))&amp;((H27-ROUNDDOWN(H27,0))*60)</f>
        <v>06:30</v>
      </c>
      <c r="F27" s="5" t="str">
        <f t="shared" si="28"/>
        <v>15:00</v>
      </c>
      <c r="G27" s="5" t="str">
        <f t="shared" si="2"/>
        <v>OPENING-CIMAHI TENGAH</v>
      </c>
      <c r="H27" s="5">
        <v>6.5</v>
      </c>
      <c r="I27" s="5">
        <v>15</v>
      </c>
      <c r="J27" s="5" t="str">
        <f t="shared" si="3"/>
        <v>BOD / Operation / Bagi Kopi - Cimahi Tengah</v>
      </c>
      <c r="K27" s="5" t="b">
        <v>0</v>
      </c>
      <c r="L27" s="5" t="b">
        <v>0</v>
      </c>
      <c r="M27" s="5" t="b">
        <v>0</v>
      </c>
      <c r="V27" s="7"/>
      <c r="X27" s="7"/>
      <c r="Y27" s="7"/>
    </row>
    <row r="28" spans="1:25" x14ac:dyDescent="0.2">
      <c r="A28" s="5" t="s">
        <v>14</v>
      </c>
      <c r="B28" s="5" t="s">
        <v>22</v>
      </c>
      <c r="C28" s="5" t="s">
        <v>10</v>
      </c>
      <c r="D28" s="5" t="str">
        <f t="shared" si="0"/>
        <v>11:00 - 19:00</v>
      </c>
      <c r="E28" s="5" t="str">
        <f t="shared" ref="E28:F28" si="29">REPT("0",2-LEN(ROUNDDOWN(H28,0)))&amp;ROUNDDOWN(H28,0)&amp;":"&amp;REPT("0",2-LEN(((H28-ROUNDDOWN(H28,0))*60)))&amp;((H28-ROUNDDOWN(H28,0))*60)</f>
        <v>11:00</v>
      </c>
      <c r="F28" s="5" t="str">
        <f t="shared" si="29"/>
        <v>19:00</v>
      </c>
      <c r="G28" s="5" t="str">
        <f t="shared" si="2"/>
        <v>MIDDLE 1-CIMAHI TENGAH</v>
      </c>
      <c r="H28" s="5">
        <v>11</v>
      </c>
      <c r="I28" s="5">
        <v>19</v>
      </c>
      <c r="J28" s="5" t="str">
        <f t="shared" si="3"/>
        <v>BOD / Operation / Bagi Kopi - Cimahi Tengah</v>
      </c>
      <c r="K28" s="5" t="b">
        <v>0</v>
      </c>
      <c r="L28" s="5" t="b">
        <v>0</v>
      </c>
      <c r="M28" s="5" t="b">
        <v>0</v>
      </c>
      <c r="V28" s="7"/>
      <c r="X28" s="7"/>
      <c r="Y28" s="7"/>
    </row>
    <row r="29" spans="1:25" x14ac:dyDescent="0.2">
      <c r="A29" s="5" t="s">
        <v>14</v>
      </c>
      <c r="B29" s="5" t="s">
        <v>22</v>
      </c>
      <c r="C29" s="5" t="s">
        <v>17</v>
      </c>
      <c r="D29" s="5" t="str">
        <f t="shared" si="0"/>
        <v>15:00 - 23:00</v>
      </c>
      <c r="E29" s="5" t="str">
        <f t="shared" ref="E29:F29" si="30">REPT("0",2-LEN(ROUNDDOWN(H29,0)))&amp;ROUNDDOWN(H29,0)&amp;":"&amp;REPT("0",2-LEN(((H29-ROUNDDOWN(H29,0))*60)))&amp;((H29-ROUNDDOWN(H29,0))*60)</f>
        <v>15:00</v>
      </c>
      <c r="F29" s="5" t="str">
        <f t="shared" si="30"/>
        <v>23:00</v>
      </c>
      <c r="G29" s="5" t="str">
        <f t="shared" si="2"/>
        <v>MIDDLE 2-CIMAHI TENGAH</v>
      </c>
      <c r="H29" s="5">
        <v>15</v>
      </c>
      <c r="I29" s="5">
        <v>23</v>
      </c>
      <c r="J29" s="5" t="str">
        <f t="shared" si="3"/>
        <v>BOD / Operation / Bagi Kopi - Cimahi Tengah</v>
      </c>
      <c r="K29" s="5" t="b">
        <v>0</v>
      </c>
      <c r="L29" s="5" t="b">
        <v>0</v>
      </c>
      <c r="M29" s="5" t="b">
        <v>0</v>
      </c>
      <c r="V29" s="7"/>
      <c r="X29" s="7"/>
      <c r="Y29" s="7"/>
    </row>
    <row r="30" spans="1:25" x14ac:dyDescent="0.2">
      <c r="A30" s="5" t="s">
        <v>14</v>
      </c>
      <c r="B30" s="5" t="s">
        <v>22</v>
      </c>
      <c r="C30" s="5" t="s">
        <v>12</v>
      </c>
      <c r="D30" s="5" t="str">
        <f t="shared" si="0"/>
        <v>19:00 - 03:00</v>
      </c>
      <c r="E30" s="5" t="str">
        <f t="shared" ref="E30:F30" si="31">REPT("0",2-LEN(ROUNDDOWN(H30,0)))&amp;ROUNDDOWN(H30,0)&amp;":"&amp;REPT("0",2-LEN(((H30-ROUNDDOWN(H30,0))*60)))&amp;((H30-ROUNDDOWN(H30,0))*60)</f>
        <v>19:00</v>
      </c>
      <c r="F30" s="5" t="str">
        <f t="shared" si="31"/>
        <v>03:00</v>
      </c>
      <c r="G30" s="5" t="str">
        <f t="shared" si="2"/>
        <v>CLOSING-CIMAHI TENGAH</v>
      </c>
      <c r="H30" s="5">
        <v>19</v>
      </c>
      <c r="I30" s="5">
        <v>3</v>
      </c>
      <c r="J30" s="5" t="str">
        <f t="shared" si="3"/>
        <v>BOD / Operation / Bagi Kopi - Cimahi Tengah</v>
      </c>
      <c r="K30" s="5" t="b">
        <v>0</v>
      </c>
      <c r="L30" s="5" t="b">
        <v>0</v>
      </c>
      <c r="M30" s="5" t="b">
        <v>0</v>
      </c>
      <c r="V30" s="7"/>
      <c r="X30" s="7"/>
      <c r="Y30" s="7"/>
    </row>
    <row r="31" spans="1:25" x14ac:dyDescent="0.2">
      <c r="A31" s="5" t="s">
        <v>4</v>
      </c>
      <c r="B31" s="5" t="s">
        <v>23</v>
      </c>
      <c r="C31" s="5" t="s">
        <v>6</v>
      </c>
      <c r="D31" s="5" t="str">
        <f t="shared" si="0"/>
        <v/>
      </c>
      <c r="E31" s="5" t="str">
        <f t="shared" ref="E31:F31" si="32">REPT("0",2-LEN(ROUNDDOWN(H31,0)))&amp;ROUNDDOWN(H31,0)&amp;":"&amp;REPT("0",2-LEN(((H31-ROUNDDOWN(H31,0))*60)))&amp;((H31-ROUNDDOWN(H31,0))*60)</f>
        <v>00:00</v>
      </c>
      <c r="F31" s="5" t="str">
        <f t="shared" si="32"/>
        <v>00:00</v>
      </c>
      <c r="G31" s="5" t="str">
        <f t="shared" si="2"/>
        <v>DAY OFF-CIPUTAT JOMBANG</v>
      </c>
      <c r="H31" s="5">
        <v>0</v>
      </c>
      <c r="I31" s="5">
        <v>0</v>
      </c>
      <c r="J31" s="5" t="str">
        <f t="shared" si="3"/>
        <v>BOD / Operation / Bagi Kopi - Ciputat Jombang</v>
      </c>
      <c r="K31" s="5" t="b">
        <v>1</v>
      </c>
      <c r="L31" s="5" t="b">
        <v>0</v>
      </c>
      <c r="M31" s="5" t="b">
        <v>1</v>
      </c>
      <c r="V31" s="7"/>
      <c r="X31" s="7"/>
      <c r="Y31" s="7"/>
    </row>
    <row r="32" spans="1:25" x14ac:dyDescent="0.2">
      <c r="A32" s="5" t="s">
        <v>4</v>
      </c>
      <c r="B32" s="5" t="s">
        <v>23</v>
      </c>
      <c r="C32" s="5" t="s">
        <v>8</v>
      </c>
      <c r="D32" s="5" t="str">
        <f t="shared" si="0"/>
        <v>06:30 - 14:30</v>
      </c>
      <c r="E32" s="5" t="str">
        <f t="shared" ref="E32:F32" si="33">REPT("0",2-LEN(ROUNDDOWN(H32,0)))&amp;ROUNDDOWN(H32,0)&amp;":"&amp;REPT("0",2-LEN(((H32-ROUNDDOWN(H32,0))*60)))&amp;((H32-ROUNDDOWN(H32,0))*60)</f>
        <v>06:30</v>
      </c>
      <c r="F32" s="5" t="str">
        <f t="shared" si="33"/>
        <v>14:30</v>
      </c>
      <c r="G32" s="5" t="str">
        <f t="shared" si="2"/>
        <v>OPENING-CIPUTAT JOMBANG</v>
      </c>
      <c r="H32" s="5">
        <v>6.5</v>
      </c>
      <c r="I32" s="5">
        <v>14.5</v>
      </c>
      <c r="J32" s="5" t="str">
        <f t="shared" si="3"/>
        <v>BOD / Operation / Bagi Kopi - Ciputat Jombang</v>
      </c>
      <c r="K32" s="5" t="b">
        <v>0</v>
      </c>
      <c r="L32" s="5" t="b">
        <v>0</v>
      </c>
      <c r="M32" s="5" t="b">
        <v>0</v>
      </c>
      <c r="V32" s="7"/>
      <c r="X32" s="7"/>
      <c r="Y32" s="7"/>
    </row>
    <row r="33" spans="1:25" x14ac:dyDescent="0.2">
      <c r="A33" s="5" t="s">
        <v>4</v>
      </c>
      <c r="B33" s="5" t="s">
        <v>23</v>
      </c>
      <c r="C33" s="5" t="s">
        <v>10</v>
      </c>
      <c r="D33" s="5" t="str">
        <f t="shared" si="0"/>
        <v>11:00 - 19:00</v>
      </c>
      <c r="E33" s="5" t="str">
        <f t="shared" ref="E33:F33" si="34">REPT("0",2-LEN(ROUNDDOWN(H33,0)))&amp;ROUNDDOWN(H33,0)&amp;":"&amp;REPT("0",2-LEN(((H33-ROUNDDOWN(H33,0))*60)))&amp;((H33-ROUNDDOWN(H33,0))*60)</f>
        <v>11:00</v>
      </c>
      <c r="F33" s="5" t="str">
        <f t="shared" si="34"/>
        <v>19:00</v>
      </c>
      <c r="G33" s="5" t="str">
        <f t="shared" si="2"/>
        <v>MIDDLE 1-CIPUTAT JOMBANG</v>
      </c>
      <c r="H33" s="5">
        <v>11</v>
      </c>
      <c r="I33" s="5">
        <v>19</v>
      </c>
      <c r="J33" s="5" t="str">
        <f t="shared" si="3"/>
        <v>BOD / Operation / Bagi Kopi - Ciputat Jombang</v>
      </c>
      <c r="K33" s="5" t="b">
        <v>0</v>
      </c>
      <c r="L33" s="5" t="b">
        <v>0</v>
      </c>
      <c r="M33" s="5" t="b">
        <v>0</v>
      </c>
      <c r="V33" s="7"/>
      <c r="X33" s="7"/>
      <c r="Y33" s="7"/>
    </row>
    <row r="34" spans="1:25" x14ac:dyDescent="0.2">
      <c r="A34" s="5" t="s">
        <v>4</v>
      </c>
      <c r="B34" s="5" t="s">
        <v>23</v>
      </c>
      <c r="C34" s="5" t="s">
        <v>17</v>
      </c>
      <c r="D34" s="5" t="str">
        <f t="shared" si="0"/>
        <v>15:00 - 23:00</v>
      </c>
      <c r="E34" s="5" t="str">
        <f t="shared" ref="E34:F34" si="35">REPT("0",2-LEN(ROUNDDOWN(H34,0)))&amp;ROUNDDOWN(H34,0)&amp;":"&amp;REPT("0",2-LEN(((H34-ROUNDDOWN(H34,0))*60)))&amp;((H34-ROUNDDOWN(H34,0))*60)</f>
        <v>15:00</v>
      </c>
      <c r="F34" s="5" t="str">
        <f t="shared" si="35"/>
        <v>23:00</v>
      </c>
      <c r="G34" s="5" t="str">
        <f t="shared" si="2"/>
        <v>MIDDLE 2-CIPUTAT JOMBANG</v>
      </c>
      <c r="H34" s="5">
        <v>15</v>
      </c>
      <c r="I34" s="5">
        <v>23</v>
      </c>
      <c r="J34" s="5" t="str">
        <f t="shared" si="3"/>
        <v>BOD / Operation / Bagi Kopi - Ciputat Jombang</v>
      </c>
      <c r="K34" s="5" t="b">
        <v>0</v>
      </c>
      <c r="L34" s="5" t="b">
        <v>0</v>
      </c>
      <c r="M34" s="5" t="b">
        <v>0</v>
      </c>
      <c r="V34" s="7"/>
      <c r="X34" s="7"/>
      <c r="Y34" s="7"/>
    </row>
    <row r="35" spans="1:25" x14ac:dyDescent="0.2">
      <c r="A35" s="5" t="s">
        <v>4</v>
      </c>
      <c r="B35" s="5" t="s">
        <v>23</v>
      </c>
      <c r="C35" s="5" t="s">
        <v>12</v>
      </c>
      <c r="D35" s="5" t="str">
        <f t="shared" si="0"/>
        <v>19:00 - 03:00</v>
      </c>
      <c r="E35" s="5" t="str">
        <f t="shared" ref="E35:F35" si="36">REPT("0",2-LEN(ROUNDDOWN(H35,0)))&amp;ROUNDDOWN(H35,0)&amp;":"&amp;REPT("0",2-LEN(((H35-ROUNDDOWN(H35,0))*60)))&amp;((H35-ROUNDDOWN(H35,0))*60)</f>
        <v>19:00</v>
      </c>
      <c r="F35" s="5" t="str">
        <f t="shared" si="36"/>
        <v>03:00</v>
      </c>
      <c r="G35" s="5" t="str">
        <f t="shared" si="2"/>
        <v>CLOSING-CIPUTAT JOMBANG</v>
      </c>
      <c r="H35" s="5">
        <v>19</v>
      </c>
      <c r="I35" s="5">
        <v>3</v>
      </c>
      <c r="J35" s="5" t="str">
        <f t="shared" si="3"/>
        <v>BOD / Operation / Bagi Kopi - Ciputat Jombang</v>
      </c>
      <c r="K35" s="5" t="b">
        <v>0</v>
      </c>
      <c r="L35" s="5" t="b">
        <v>0</v>
      </c>
      <c r="M35" s="5" t="b">
        <v>0</v>
      </c>
      <c r="V35" s="7"/>
      <c r="X35" s="7"/>
      <c r="Y35" s="7"/>
    </row>
    <row r="36" spans="1:25" x14ac:dyDescent="0.2">
      <c r="A36" s="5" t="s">
        <v>4</v>
      </c>
      <c r="B36" s="5" t="s">
        <v>24</v>
      </c>
      <c r="C36" s="5" t="s">
        <v>6</v>
      </c>
      <c r="D36" s="5" t="str">
        <f t="shared" si="0"/>
        <v/>
      </c>
      <c r="E36" s="5" t="str">
        <f t="shared" ref="E36:F36" si="37">REPT("0",2-LEN(ROUNDDOWN(H36,0)))&amp;ROUNDDOWN(H36,0)&amp;":"&amp;REPT("0",2-LEN(((H36-ROUNDDOWN(H36,0))*60)))&amp;((H36-ROUNDDOWN(H36,0))*60)</f>
        <v>00:00</v>
      </c>
      <c r="F36" s="5" t="str">
        <f t="shared" si="37"/>
        <v>00:00</v>
      </c>
      <c r="G36" s="5" t="str">
        <f t="shared" si="2"/>
        <v>DAY OFF-CIPUTAT JUANDA</v>
      </c>
      <c r="H36" s="5">
        <v>0</v>
      </c>
      <c r="I36" s="5">
        <v>0</v>
      </c>
      <c r="J36" s="5" t="str">
        <f t="shared" si="3"/>
        <v>BOD / Operation / Bagi Kopi - Ciputat Juanda</v>
      </c>
      <c r="K36" s="5" t="b">
        <v>1</v>
      </c>
      <c r="L36" s="5" t="b">
        <v>0</v>
      </c>
      <c r="M36" s="5" t="b">
        <v>0</v>
      </c>
      <c r="V36" s="7"/>
      <c r="X36" s="7"/>
      <c r="Y36" s="7"/>
    </row>
    <row r="37" spans="1:25" x14ac:dyDescent="0.2">
      <c r="A37" s="5" t="s">
        <v>4</v>
      </c>
      <c r="B37" s="5" t="s">
        <v>24</v>
      </c>
      <c r="C37" s="5" t="s">
        <v>8</v>
      </c>
      <c r="D37" s="5" t="str">
        <f t="shared" si="0"/>
        <v>06:30 - 14:30</v>
      </c>
      <c r="E37" s="5" t="str">
        <f t="shared" ref="E37:F37" si="38">REPT("0",2-LEN(ROUNDDOWN(H37,0)))&amp;ROUNDDOWN(H37,0)&amp;":"&amp;REPT("0",2-LEN(((H37-ROUNDDOWN(H37,0))*60)))&amp;((H37-ROUNDDOWN(H37,0))*60)</f>
        <v>06:30</v>
      </c>
      <c r="F37" s="5" t="str">
        <f t="shared" si="38"/>
        <v>14:30</v>
      </c>
      <c r="G37" s="5" t="str">
        <f t="shared" si="2"/>
        <v>OPENING-CIPUTAT JUANDA</v>
      </c>
      <c r="H37" s="5">
        <v>6.5</v>
      </c>
      <c r="I37" s="5">
        <v>14.5</v>
      </c>
      <c r="J37" s="5" t="str">
        <f t="shared" si="3"/>
        <v>BOD / Operation / Bagi Kopi - Ciputat Juanda</v>
      </c>
      <c r="K37" s="5" t="b">
        <v>0</v>
      </c>
      <c r="L37" s="5" t="b">
        <v>0</v>
      </c>
      <c r="M37" s="5" t="b">
        <v>0</v>
      </c>
      <c r="V37" s="7"/>
      <c r="X37" s="7"/>
      <c r="Y37" s="7"/>
    </row>
    <row r="38" spans="1:25" x14ac:dyDescent="0.2">
      <c r="A38" s="5" t="s">
        <v>4</v>
      </c>
      <c r="B38" s="5" t="s">
        <v>24</v>
      </c>
      <c r="C38" s="5" t="s">
        <v>10</v>
      </c>
      <c r="D38" s="5" t="str">
        <f t="shared" si="0"/>
        <v>11:00 - 19:00</v>
      </c>
      <c r="E38" s="5" t="str">
        <f t="shared" ref="E38:F38" si="39">REPT("0",2-LEN(ROUNDDOWN(H38,0)))&amp;ROUNDDOWN(H38,0)&amp;":"&amp;REPT("0",2-LEN(((H38-ROUNDDOWN(H38,0))*60)))&amp;((H38-ROUNDDOWN(H38,0))*60)</f>
        <v>11:00</v>
      </c>
      <c r="F38" s="5" t="str">
        <f t="shared" si="39"/>
        <v>19:00</v>
      </c>
      <c r="G38" s="5" t="str">
        <f t="shared" si="2"/>
        <v>MIDDLE 1-CIPUTAT JUANDA</v>
      </c>
      <c r="H38" s="5">
        <v>11</v>
      </c>
      <c r="I38" s="5">
        <v>19</v>
      </c>
      <c r="J38" s="5" t="str">
        <f t="shared" si="3"/>
        <v>BOD / Operation / Bagi Kopi - Ciputat Juanda</v>
      </c>
      <c r="K38" s="5" t="b">
        <v>0</v>
      </c>
      <c r="L38" s="5" t="b">
        <v>0</v>
      </c>
      <c r="M38" s="5" t="b">
        <v>0</v>
      </c>
      <c r="V38" s="7"/>
      <c r="X38" s="7"/>
      <c r="Y38" s="7"/>
    </row>
    <row r="39" spans="1:25" x14ac:dyDescent="0.2">
      <c r="A39" s="5" t="s">
        <v>4</v>
      </c>
      <c r="B39" s="5" t="s">
        <v>24</v>
      </c>
      <c r="C39" s="5" t="s">
        <v>17</v>
      </c>
      <c r="D39" s="5" t="str">
        <f t="shared" si="0"/>
        <v>15:00 - 23:00</v>
      </c>
      <c r="E39" s="5" t="str">
        <f t="shared" ref="E39:F39" si="40">REPT("0",2-LEN(ROUNDDOWN(H39,0)))&amp;ROUNDDOWN(H39,0)&amp;":"&amp;REPT("0",2-LEN(((H39-ROUNDDOWN(H39,0))*60)))&amp;((H39-ROUNDDOWN(H39,0))*60)</f>
        <v>15:00</v>
      </c>
      <c r="F39" s="5" t="str">
        <f t="shared" si="40"/>
        <v>23:00</v>
      </c>
      <c r="G39" s="5" t="str">
        <f t="shared" si="2"/>
        <v>MIDDLE 2-CIPUTAT JUANDA</v>
      </c>
      <c r="H39" s="5">
        <v>15</v>
      </c>
      <c r="I39" s="5">
        <v>23</v>
      </c>
      <c r="J39" s="5" t="str">
        <f t="shared" si="3"/>
        <v>BOD / Operation / Bagi Kopi - Ciputat Juanda</v>
      </c>
      <c r="K39" s="5" t="b">
        <v>0</v>
      </c>
      <c r="L39" s="5" t="b">
        <v>0</v>
      </c>
      <c r="M39" s="5" t="b">
        <v>0</v>
      </c>
      <c r="V39" s="7"/>
      <c r="X39" s="7"/>
      <c r="Y39" s="7"/>
    </row>
    <row r="40" spans="1:25" x14ac:dyDescent="0.2">
      <c r="A40" s="5" t="s">
        <v>4</v>
      </c>
      <c r="B40" s="5" t="s">
        <v>24</v>
      </c>
      <c r="C40" s="5" t="s">
        <v>12</v>
      </c>
      <c r="D40" s="5" t="str">
        <f t="shared" si="0"/>
        <v>19:00 - 03:00</v>
      </c>
      <c r="E40" s="5" t="str">
        <f t="shared" ref="E40:F40" si="41">REPT("0",2-LEN(ROUNDDOWN(H40,0)))&amp;ROUNDDOWN(H40,0)&amp;":"&amp;REPT("0",2-LEN(((H40-ROUNDDOWN(H40,0))*60)))&amp;((H40-ROUNDDOWN(H40,0))*60)</f>
        <v>19:00</v>
      </c>
      <c r="F40" s="5" t="str">
        <f t="shared" si="41"/>
        <v>03:00</v>
      </c>
      <c r="G40" s="5" t="str">
        <f t="shared" si="2"/>
        <v>CLOSING-CIPUTAT JUANDA</v>
      </c>
      <c r="H40" s="5">
        <v>19</v>
      </c>
      <c r="I40" s="5">
        <v>3</v>
      </c>
      <c r="J40" s="5" t="str">
        <f t="shared" si="3"/>
        <v>BOD / Operation / Bagi Kopi - Ciputat Juanda</v>
      </c>
      <c r="K40" s="5" t="b">
        <v>0</v>
      </c>
      <c r="L40" s="5" t="b">
        <v>0</v>
      </c>
      <c r="M40" s="5" t="b">
        <v>0</v>
      </c>
      <c r="V40" s="7"/>
      <c r="X40" s="7"/>
      <c r="Y40" s="7"/>
    </row>
    <row r="41" spans="1:25" x14ac:dyDescent="0.2">
      <c r="A41" s="5" t="s">
        <v>25</v>
      </c>
      <c r="B41" s="5" t="s">
        <v>26</v>
      </c>
      <c r="C41" s="5" t="s">
        <v>6</v>
      </c>
      <c r="D41" s="5" t="str">
        <f t="shared" si="0"/>
        <v/>
      </c>
      <c r="E41" s="5" t="str">
        <f t="shared" ref="E41:F41" si="42">REPT("0",2-LEN(ROUNDDOWN(H41,0)))&amp;ROUNDDOWN(H41,0)&amp;":"&amp;REPT("0",2-LEN(((H41-ROUNDDOWN(H41,0))*60)))&amp;((H41-ROUNDDOWN(H41,0))*60)</f>
        <v>00:00</v>
      </c>
      <c r="F41" s="5" t="str">
        <f t="shared" si="42"/>
        <v>00:00</v>
      </c>
      <c r="G41" s="5" t="str">
        <f t="shared" si="2"/>
        <v>DAY OFF-CITRALAND</v>
      </c>
      <c r="H41" s="5">
        <v>0</v>
      </c>
      <c r="I41" s="5">
        <v>0</v>
      </c>
      <c r="J41" s="5" t="str">
        <f t="shared" si="3"/>
        <v>BOD / Operation / Bagi Kopi - Citraland</v>
      </c>
      <c r="K41" s="5" t="b">
        <v>1</v>
      </c>
      <c r="L41" s="5" t="b">
        <v>0</v>
      </c>
      <c r="M41" s="5" t="b">
        <v>1</v>
      </c>
      <c r="V41" s="7"/>
      <c r="X41" s="7"/>
      <c r="Y41" s="7"/>
    </row>
    <row r="42" spans="1:25" x14ac:dyDescent="0.2">
      <c r="A42" s="5" t="s">
        <v>25</v>
      </c>
      <c r="B42" s="5" t="s">
        <v>26</v>
      </c>
      <c r="C42" s="5" t="s">
        <v>8</v>
      </c>
      <c r="D42" s="5" t="str">
        <f t="shared" si="0"/>
        <v>06:30 - 15:00</v>
      </c>
      <c r="E42" s="5" t="str">
        <f t="shared" ref="E42:F42" si="43">REPT("0",2-LEN(ROUNDDOWN(H42,0)))&amp;ROUNDDOWN(H42,0)&amp;":"&amp;REPT("0",2-LEN(((H42-ROUNDDOWN(H42,0))*60)))&amp;((H42-ROUNDDOWN(H42,0))*60)</f>
        <v>06:30</v>
      </c>
      <c r="F42" s="5" t="str">
        <f t="shared" si="43"/>
        <v>15:00</v>
      </c>
      <c r="G42" s="5" t="str">
        <f t="shared" si="2"/>
        <v>OPENING-CITRALAND</v>
      </c>
      <c r="H42" s="5">
        <v>6.5</v>
      </c>
      <c r="I42" s="5">
        <v>15</v>
      </c>
      <c r="J42" s="5" t="str">
        <f t="shared" si="3"/>
        <v>BOD / Operation / Bagi Kopi - Citraland</v>
      </c>
      <c r="K42" s="5" t="b">
        <v>0</v>
      </c>
      <c r="L42" s="5" t="b">
        <v>0</v>
      </c>
      <c r="M42" s="5" t="b">
        <v>0</v>
      </c>
      <c r="V42" s="7"/>
      <c r="X42" s="7"/>
      <c r="Y42" s="7"/>
    </row>
    <row r="43" spans="1:25" x14ac:dyDescent="0.2">
      <c r="A43" s="5" t="s">
        <v>25</v>
      </c>
      <c r="B43" s="5" t="s">
        <v>26</v>
      </c>
      <c r="C43" s="5" t="s">
        <v>10</v>
      </c>
      <c r="D43" s="5" t="str">
        <f t="shared" si="0"/>
        <v>11:00 - 19:00</v>
      </c>
      <c r="E43" s="5" t="str">
        <f t="shared" ref="E43:F43" si="44">REPT("0",2-LEN(ROUNDDOWN(H43,0)))&amp;ROUNDDOWN(H43,0)&amp;":"&amp;REPT("0",2-LEN(((H43-ROUNDDOWN(H43,0))*60)))&amp;((H43-ROUNDDOWN(H43,0))*60)</f>
        <v>11:00</v>
      </c>
      <c r="F43" s="5" t="str">
        <f t="shared" si="44"/>
        <v>19:00</v>
      </c>
      <c r="G43" s="5" t="str">
        <f t="shared" si="2"/>
        <v>MIDDLE 1-CITRALAND</v>
      </c>
      <c r="H43" s="5">
        <v>11</v>
      </c>
      <c r="I43" s="5">
        <v>19</v>
      </c>
      <c r="J43" s="5" t="str">
        <f t="shared" si="3"/>
        <v>BOD / Operation / Bagi Kopi - Citraland</v>
      </c>
      <c r="K43" s="5" t="b">
        <v>0</v>
      </c>
      <c r="L43" s="5" t="b">
        <v>0</v>
      </c>
      <c r="M43" s="5" t="b">
        <v>0</v>
      </c>
      <c r="V43" s="7"/>
      <c r="X43" s="7"/>
      <c r="Y43" s="7"/>
    </row>
    <row r="44" spans="1:25" x14ac:dyDescent="0.2">
      <c r="A44" s="5" t="s">
        <v>25</v>
      </c>
      <c r="B44" s="5" t="s">
        <v>26</v>
      </c>
      <c r="C44" s="5" t="s">
        <v>17</v>
      </c>
      <c r="D44" s="5" t="str">
        <f t="shared" si="0"/>
        <v>14:00 - 22:00</v>
      </c>
      <c r="E44" s="5" t="str">
        <f t="shared" ref="E44:F44" si="45">REPT("0",2-LEN(ROUNDDOWN(H44,0)))&amp;ROUNDDOWN(H44,0)&amp;":"&amp;REPT("0",2-LEN(((H44-ROUNDDOWN(H44,0))*60)))&amp;((H44-ROUNDDOWN(H44,0))*60)</f>
        <v>14:00</v>
      </c>
      <c r="F44" s="5" t="str">
        <f t="shared" si="45"/>
        <v>22:00</v>
      </c>
      <c r="G44" s="5" t="str">
        <f t="shared" si="2"/>
        <v>MIDDLE 2-CITRALAND</v>
      </c>
      <c r="H44" s="5">
        <v>14</v>
      </c>
      <c r="I44" s="5">
        <v>22</v>
      </c>
      <c r="J44" s="5" t="str">
        <f t="shared" si="3"/>
        <v>BOD / Operation / Bagi Kopi - Citraland</v>
      </c>
      <c r="K44" s="5" t="b">
        <v>0</v>
      </c>
      <c r="L44" s="5" t="b">
        <v>0</v>
      </c>
      <c r="M44" s="5" t="b">
        <v>0</v>
      </c>
      <c r="V44" s="7"/>
      <c r="X44" s="7"/>
      <c r="Y44" s="7"/>
    </row>
    <row r="45" spans="1:25" x14ac:dyDescent="0.2">
      <c r="A45" s="5" t="s">
        <v>25</v>
      </c>
      <c r="B45" s="5" t="s">
        <v>26</v>
      </c>
      <c r="C45" s="5" t="s">
        <v>12</v>
      </c>
      <c r="D45" s="5" t="str">
        <f t="shared" si="0"/>
        <v>17:00 - 01:00</v>
      </c>
      <c r="E45" s="5" t="str">
        <f t="shared" ref="E45:F45" si="46">REPT("0",2-LEN(ROUNDDOWN(H45,0)))&amp;ROUNDDOWN(H45,0)&amp;":"&amp;REPT("0",2-LEN(((H45-ROUNDDOWN(H45,0))*60)))&amp;((H45-ROUNDDOWN(H45,0))*60)</f>
        <v>17:00</v>
      </c>
      <c r="F45" s="5" t="str">
        <f t="shared" si="46"/>
        <v>01:00</v>
      </c>
      <c r="G45" s="5" t="str">
        <f t="shared" si="2"/>
        <v>CLOSING-CITRALAND</v>
      </c>
      <c r="H45" s="5">
        <v>17</v>
      </c>
      <c r="I45" s="5">
        <v>1</v>
      </c>
      <c r="J45" s="5" t="str">
        <f t="shared" si="3"/>
        <v>BOD / Operation / Bagi Kopi - Citraland</v>
      </c>
      <c r="K45" s="5" t="b">
        <v>0</v>
      </c>
      <c r="L45" s="5" t="b">
        <v>0</v>
      </c>
      <c r="M45" s="5" t="b">
        <v>0</v>
      </c>
      <c r="V45" s="7"/>
      <c r="X45" s="7"/>
      <c r="Y45" s="7"/>
    </row>
    <row r="46" spans="1:25" x14ac:dyDescent="0.2">
      <c r="A46" s="5" t="s">
        <v>14</v>
      </c>
      <c r="B46" s="5" t="s">
        <v>29</v>
      </c>
      <c r="C46" s="5" t="s">
        <v>6</v>
      </c>
      <c r="D46" s="5" t="str">
        <f t="shared" si="0"/>
        <v/>
      </c>
      <c r="E46" s="5" t="str">
        <f t="shared" ref="E46:F46" si="47">REPT("0",2-LEN(ROUNDDOWN(H46,0)))&amp;ROUNDDOWN(H46,0)&amp;":"&amp;REPT("0",2-LEN(((H46-ROUNDDOWN(H46,0))*60)))&amp;((H46-ROUNDDOWN(H46,0))*60)</f>
        <v>00:00</v>
      </c>
      <c r="F46" s="5" t="str">
        <f t="shared" si="47"/>
        <v>00:00</v>
      </c>
      <c r="G46" s="5" t="str">
        <f t="shared" si="2"/>
        <v>DAY OFF-CIUMBULEUIT</v>
      </c>
      <c r="H46" s="5">
        <v>0</v>
      </c>
      <c r="I46" s="5">
        <v>0</v>
      </c>
      <c r="J46" s="5" t="str">
        <f t="shared" si="3"/>
        <v>BOD / Operation / Bagi Kopi - Ciumbuleuit</v>
      </c>
      <c r="K46" s="5" t="b">
        <v>1</v>
      </c>
      <c r="L46" s="5" t="b">
        <v>0</v>
      </c>
      <c r="M46" s="5" t="b">
        <v>0</v>
      </c>
      <c r="V46" s="7"/>
      <c r="X46" s="7"/>
      <c r="Y46" s="7"/>
    </row>
    <row r="47" spans="1:25" x14ac:dyDescent="0.2">
      <c r="A47" s="5" t="s">
        <v>14</v>
      </c>
      <c r="B47" s="5" t="s">
        <v>29</v>
      </c>
      <c r="C47" s="5" t="s">
        <v>8</v>
      </c>
      <c r="D47" s="5" t="str">
        <f t="shared" si="0"/>
        <v>06:30 - 15:00</v>
      </c>
      <c r="E47" s="5" t="str">
        <f t="shared" ref="E47:F47" si="48">REPT("0",2-LEN(ROUNDDOWN(H47,0)))&amp;ROUNDDOWN(H47,0)&amp;":"&amp;REPT("0",2-LEN(((H47-ROUNDDOWN(H47,0))*60)))&amp;((H47-ROUNDDOWN(H47,0))*60)</f>
        <v>06:30</v>
      </c>
      <c r="F47" s="5" t="str">
        <f t="shared" si="48"/>
        <v>15:00</v>
      </c>
      <c r="G47" s="5" t="str">
        <f t="shared" si="2"/>
        <v>OPENING-CIUMBULEUIT</v>
      </c>
      <c r="H47" s="5">
        <v>6.5</v>
      </c>
      <c r="I47" s="5">
        <v>15</v>
      </c>
      <c r="J47" s="5" t="str">
        <f t="shared" si="3"/>
        <v>BOD / Operation / Bagi Kopi - Ciumbuleuit</v>
      </c>
      <c r="K47" s="5" t="b">
        <v>0</v>
      </c>
      <c r="L47" s="5" t="b">
        <v>0</v>
      </c>
      <c r="M47" s="5" t="b">
        <v>0</v>
      </c>
      <c r="V47" s="7"/>
      <c r="X47" s="7"/>
      <c r="Y47" s="7"/>
    </row>
    <row r="48" spans="1:25" x14ac:dyDescent="0.2">
      <c r="A48" s="5" t="s">
        <v>14</v>
      </c>
      <c r="B48" s="5" t="s">
        <v>29</v>
      </c>
      <c r="C48" s="5" t="s">
        <v>10</v>
      </c>
      <c r="D48" s="5" t="str">
        <f t="shared" si="0"/>
        <v>11:00 - 19:00</v>
      </c>
      <c r="E48" s="5" t="str">
        <f t="shared" ref="E48:F48" si="49">REPT("0",2-LEN(ROUNDDOWN(H48,0)))&amp;ROUNDDOWN(H48,0)&amp;":"&amp;REPT("0",2-LEN(((H48-ROUNDDOWN(H48,0))*60)))&amp;((H48-ROUNDDOWN(H48,0))*60)</f>
        <v>11:00</v>
      </c>
      <c r="F48" s="5" t="str">
        <f t="shared" si="49"/>
        <v>19:00</v>
      </c>
      <c r="G48" s="5" t="str">
        <f t="shared" si="2"/>
        <v>MIDDLE 1-CIUMBULEUIT</v>
      </c>
      <c r="H48" s="5">
        <v>11</v>
      </c>
      <c r="I48" s="5">
        <v>19</v>
      </c>
      <c r="J48" s="5" t="str">
        <f t="shared" si="3"/>
        <v>BOD / Operation / Bagi Kopi - Ciumbuleuit</v>
      </c>
      <c r="K48" s="5" t="b">
        <v>0</v>
      </c>
      <c r="L48" s="5" t="b">
        <v>0</v>
      </c>
      <c r="M48" s="5" t="b">
        <v>0</v>
      </c>
      <c r="V48" s="7"/>
      <c r="X48" s="7"/>
      <c r="Y48" s="7"/>
    </row>
    <row r="49" spans="1:25" x14ac:dyDescent="0.2">
      <c r="A49" s="5" t="s">
        <v>14</v>
      </c>
      <c r="B49" s="5" t="s">
        <v>29</v>
      </c>
      <c r="C49" s="5" t="s">
        <v>17</v>
      </c>
      <c r="D49" s="5" t="str">
        <f t="shared" si="0"/>
        <v>15:00 - 23:00</v>
      </c>
      <c r="E49" s="5" t="str">
        <f t="shared" ref="E49:F49" si="50">REPT("0",2-LEN(ROUNDDOWN(H49,0)))&amp;ROUNDDOWN(H49,0)&amp;":"&amp;REPT("0",2-LEN(((H49-ROUNDDOWN(H49,0))*60)))&amp;((H49-ROUNDDOWN(H49,0))*60)</f>
        <v>15:00</v>
      </c>
      <c r="F49" s="5" t="str">
        <f t="shared" si="50"/>
        <v>23:00</v>
      </c>
      <c r="G49" s="5" t="str">
        <f t="shared" si="2"/>
        <v>MIDDLE 2-CIUMBULEUIT</v>
      </c>
      <c r="H49" s="5">
        <v>15</v>
      </c>
      <c r="I49" s="5">
        <v>23</v>
      </c>
      <c r="J49" s="5" t="str">
        <f t="shared" si="3"/>
        <v>BOD / Operation / Bagi Kopi - Ciumbuleuit</v>
      </c>
      <c r="K49" s="5" t="b">
        <v>0</v>
      </c>
      <c r="L49" s="5" t="b">
        <v>0</v>
      </c>
      <c r="M49" s="5" t="b">
        <v>0</v>
      </c>
      <c r="V49" s="7"/>
      <c r="X49" s="7"/>
      <c r="Y49" s="7"/>
    </row>
    <row r="50" spans="1:25" x14ac:dyDescent="0.2">
      <c r="A50" s="5" t="s">
        <v>14</v>
      </c>
      <c r="B50" s="5" t="s">
        <v>29</v>
      </c>
      <c r="C50" s="5" t="s">
        <v>12</v>
      </c>
      <c r="D50" s="5" t="str">
        <f t="shared" si="0"/>
        <v>19:00 - 03:00</v>
      </c>
      <c r="E50" s="5" t="str">
        <f t="shared" ref="E50:F50" si="51">REPT("0",2-LEN(ROUNDDOWN(H50,0)))&amp;ROUNDDOWN(H50,0)&amp;":"&amp;REPT("0",2-LEN(((H50-ROUNDDOWN(H50,0))*60)))&amp;((H50-ROUNDDOWN(H50,0))*60)</f>
        <v>19:00</v>
      </c>
      <c r="F50" s="5" t="str">
        <f t="shared" si="51"/>
        <v>03:00</v>
      </c>
      <c r="G50" s="5" t="str">
        <f t="shared" si="2"/>
        <v>CLOSING-CIUMBULEUIT</v>
      </c>
      <c r="H50" s="5">
        <v>19</v>
      </c>
      <c r="I50" s="5">
        <v>3</v>
      </c>
      <c r="J50" s="5" t="str">
        <f t="shared" si="3"/>
        <v>BOD / Operation / Bagi Kopi - Ciumbuleuit</v>
      </c>
      <c r="K50" s="5" t="b">
        <v>0</v>
      </c>
      <c r="L50" s="5" t="b">
        <v>0</v>
      </c>
      <c r="M50" s="5" t="b">
        <v>0</v>
      </c>
      <c r="V50" s="7"/>
      <c r="X50" s="7"/>
      <c r="Y50" s="7"/>
    </row>
    <row r="51" spans="1:25" x14ac:dyDescent="0.2">
      <c r="A51" s="5" t="s">
        <v>14</v>
      </c>
      <c r="B51" s="5" t="s">
        <v>30</v>
      </c>
      <c r="C51" s="5" t="s">
        <v>6</v>
      </c>
      <c r="D51" s="5" t="str">
        <f t="shared" si="0"/>
        <v/>
      </c>
      <c r="E51" s="5" t="str">
        <f t="shared" ref="E51:F51" si="52">REPT("0",2-LEN(ROUNDDOWN(H51,0)))&amp;ROUNDDOWN(H51,0)&amp;":"&amp;REPT("0",2-LEN(((H51-ROUNDDOWN(H51,0))*60)))&amp;((H51-ROUNDDOWN(H51,0))*60)</f>
        <v>00:00</v>
      </c>
      <c r="F51" s="5" t="str">
        <f t="shared" si="52"/>
        <v>00:00</v>
      </c>
      <c r="G51" s="5" t="str">
        <f t="shared" si="2"/>
        <v>DAY OFF-JATINANGOR</v>
      </c>
      <c r="H51" s="5">
        <v>0</v>
      </c>
      <c r="I51" s="5">
        <v>0</v>
      </c>
      <c r="J51" s="5" t="str">
        <f t="shared" si="3"/>
        <v>BOD / Operation / Bagi Kopi - Jatinangor</v>
      </c>
      <c r="K51" s="5" t="b">
        <v>1</v>
      </c>
      <c r="L51" s="5" t="b">
        <v>0</v>
      </c>
      <c r="M51" s="5" t="b">
        <v>1</v>
      </c>
      <c r="V51" s="7"/>
      <c r="X51" s="7"/>
      <c r="Y51" s="7"/>
    </row>
    <row r="52" spans="1:25" x14ac:dyDescent="0.2">
      <c r="A52" s="5" t="s">
        <v>14</v>
      </c>
      <c r="B52" s="5" t="s">
        <v>30</v>
      </c>
      <c r="C52" s="5" t="s">
        <v>8</v>
      </c>
      <c r="D52" s="5" t="str">
        <f t="shared" si="0"/>
        <v>06:30 - 15:00</v>
      </c>
      <c r="E52" s="5" t="str">
        <f t="shared" ref="E52:F52" si="53">REPT("0",2-LEN(ROUNDDOWN(H52,0)))&amp;ROUNDDOWN(H52,0)&amp;":"&amp;REPT("0",2-LEN(((H52-ROUNDDOWN(H52,0))*60)))&amp;((H52-ROUNDDOWN(H52,0))*60)</f>
        <v>06:30</v>
      </c>
      <c r="F52" s="5" t="str">
        <f t="shared" si="53"/>
        <v>15:00</v>
      </c>
      <c r="G52" s="5" t="str">
        <f t="shared" si="2"/>
        <v>OPENING-JATINANGOR</v>
      </c>
      <c r="H52" s="5">
        <v>6.5</v>
      </c>
      <c r="I52" s="5">
        <v>15</v>
      </c>
      <c r="J52" s="5" t="str">
        <f t="shared" si="3"/>
        <v>BOD / Operation / Bagi Kopi - Jatinangor</v>
      </c>
      <c r="K52" s="5" t="b">
        <v>0</v>
      </c>
      <c r="L52" s="5" t="b">
        <v>0</v>
      </c>
      <c r="M52" s="5" t="b">
        <v>0</v>
      </c>
      <c r="V52" s="7"/>
      <c r="X52" s="7"/>
      <c r="Y52" s="7"/>
    </row>
    <row r="53" spans="1:25" x14ac:dyDescent="0.2">
      <c r="A53" s="5" t="s">
        <v>14</v>
      </c>
      <c r="B53" s="5" t="s">
        <v>30</v>
      </c>
      <c r="C53" s="5" t="s">
        <v>10</v>
      </c>
      <c r="D53" s="5" t="str">
        <f t="shared" si="0"/>
        <v>12:00 - 20:00</v>
      </c>
      <c r="E53" s="5" t="str">
        <f t="shared" ref="E53:F53" si="54">REPT("0",2-LEN(ROUNDDOWN(H53,0)))&amp;ROUNDDOWN(H53,0)&amp;":"&amp;REPT("0",2-LEN(((H53-ROUNDDOWN(H53,0))*60)))&amp;((H53-ROUNDDOWN(H53,0))*60)</f>
        <v>12:00</v>
      </c>
      <c r="F53" s="5" t="str">
        <f t="shared" si="54"/>
        <v>20:00</v>
      </c>
      <c r="G53" s="5" t="str">
        <f t="shared" si="2"/>
        <v>MIDDLE 1-JATINANGOR</v>
      </c>
      <c r="H53" s="5">
        <v>12</v>
      </c>
      <c r="I53" s="5">
        <v>20</v>
      </c>
      <c r="J53" s="5" t="str">
        <f t="shared" si="3"/>
        <v>BOD / Operation / Bagi Kopi - Jatinangor</v>
      </c>
      <c r="K53" s="5" t="b">
        <v>0</v>
      </c>
      <c r="L53" s="5" t="b">
        <v>0</v>
      </c>
      <c r="M53" s="5" t="b">
        <v>0</v>
      </c>
      <c r="V53" s="7"/>
      <c r="X53" s="7"/>
      <c r="Y53" s="7"/>
    </row>
    <row r="54" spans="1:25" x14ac:dyDescent="0.2">
      <c r="A54" s="5" t="s">
        <v>14</v>
      </c>
      <c r="B54" s="5" t="s">
        <v>30</v>
      </c>
      <c r="C54" s="5" t="s">
        <v>12</v>
      </c>
      <c r="D54" s="5" t="str">
        <f t="shared" si="0"/>
        <v>16:00 - 00:00</v>
      </c>
      <c r="E54" s="5" t="str">
        <f t="shared" ref="E54:F54" si="55">REPT("0",2-LEN(ROUNDDOWN(H54,0)))&amp;ROUNDDOWN(H54,0)&amp;":"&amp;REPT("0",2-LEN(((H54-ROUNDDOWN(H54,0))*60)))&amp;((H54-ROUNDDOWN(H54,0))*60)</f>
        <v>16:00</v>
      </c>
      <c r="F54" s="5" t="str">
        <f t="shared" si="55"/>
        <v>00:00</v>
      </c>
      <c r="G54" s="5" t="str">
        <f t="shared" si="2"/>
        <v>CLOSING-JATINANGOR</v>
      </c>
      <c r="H54" s="5">
        <v>16</v>
      </c>
      <c r="I54" s="5">
        <v>0</v>
      </c>
      <c r="J54" s="5" t="str">
        <f t="shared" si="3"/>
        <v>BOD / Operation / Bagi Kopi - Jatinangor</v>
      </c>
      <c r="K54" s="5" t="b">
        <v>0</v>
      </c>
      <c r="L54" s="5" t="b">
        <v>0</v>
      </c>
      <c r="M54" s="5" t="b">
        <v>0</v>
      </c>
      <c r="V54" s="7"/>
      <c r="X54" s="7"/>
      <c r="Y54" s="7"/>
    </row>
    <row r="55" spans="1:25" x14ac:dyDescent="0.2">
      <c r="A55" s="5" t="s">
        <v>4</v>
      </c>
      <c r="B55" s="5" t="s">
        <v>31</v>
      </c>
      <c r="C55" s="5" t="s">
        <v>6</v>
      </c>
      <c r="D55" s="5" t="str">
        <f t="shared" si="0"/>
        <v/>
      </c>
      <c r="E55" s="5" t="str">
        <f t="shared" ref="E55:F55" si="56">REPT("0",2-LEN(ROUNDDOWN(H55,0)))&amp;ROUNDDOWN(H55,0)&amp;":"&amp;REPT("0",2-LEN(((H55-ROUNDDOWN(H55,0))*60)))&amp;((H55-ROUNDDOWN(H55,0))*60)</f>
        <v>00:00</v>
      </c>
      <c r="F55" s="5" t="str">
        <f t="shared" si="56"/>
        <v>00:00</v>
      </c>
      <c r="G55" s="5" t="str">
        <f t="shared" si="2"/>
        <v>DAY OFF-KALIMALANG</v>
      </c>
      <c r="H55" s="5">
        <v>0</v>
      </c>
      <c r="I55" s="5">
        <v>0</v>
      </c>
      <c r="J55" s="5" t="str">
        <f t="shared" si="3"/>
        <v>BOD / Operation / Bagi Kopi - Kalimalang</v>
      </c>
      <c r="K55" s="5" t="b">
        <v>1</v>
      </c>
      <c r="L55" s="5" t="b">
        <v>0</v>
      </c>
      <c r="M55" s="5" t="b">
        <v>1</v>
      </c>
      <c r="V55" s="7"/>
      <c r="X55" s="7"/>
      <c r="Y55" s="7"/>
    </row>
    <row r="56" spans="1:25" x14ac:dyDescent="0.2">
      <c r="A56" s="5" t="s">
        <v>4</v>
      </c>
      <c r="B56" s="5" t="s">
        <v>31</v>
      </c>
      <c r="C56" s="5" t="s">
        <v>8</v>
      </c>
      <c r="D56" s="5" t="str">
        <f t="shared" si="0"/>
        <v>06:30 - 14:30</v>
      </c>
      <c r="E56" s="5" t="str">
        <f t="shared" ref="E56:F56" si="57">REPT("0",2-LEN(ROUNDDOWN(H56,0)))&amp;ROUNDDOWN(H56,0)&amp;":"&amp;REPT("0",2-LEN(((H56-ROUNDDOWN(H56,0))*60)))&amp;((H56-ROUNDDOWN(H56,0))*60)</f>
        <v>06:30</v>
      </c>
      <c r="F56" s="5" t="str">
        <f t="shared" si="57"/>
        <v>14:30</v>
      </c>
      <c r="G56" s="5" t="str">
        <f t="shared" si="2"/>
        <v>OPENING-KALIMALANG</v>
      </c>
      <c r="H56" s="5">
        <v>6.5</v>
      </c>
      <c r="I56" s="5">
        <v>14.5</v>
      </c>
      <c r="J56" s="5" t="str">
        <f t="shared" si="3"/>
        <v>BOD / Operation / Bagi Kopi - Kalimalang</v>
      </c>
      <c r="K56" s="5" t="b">
        <v>0</v>
      </c>
      <c r="L56" s="5" t="b">
        <v>0</v>
      </c>
      <c r="M56" s="5" t="b">
        <v>0</v>
      </c>
      <c r="V56" s="7"/>
      <c r="X56" s="7"/>
      <c r="Y56" s="7"/>
    </row>
    <row r="57" spans="1:25" x14ac:dyDescent="0.2">
      <c r="A57" s="5" t="s">
        <v>4</v>
      </c>
      <c r="B57" s="5" t="s">
        <v>31</v>
      </c>
      <c r="C57" s="5" t="s">
        <v>10</v>
      </c>
      <c r="D57" s="5" t="str">
        <f t="shared" si="0"/>
        <v>11:00 - 19:00</v>
      </c>
      <c r="E57" s="5" t="str">
        <f t="shared" ref="E57:F57" si="58">REPT("0",2-LEN(ROUNDDOWN(H57,0)))&amp;ROUNDDOWN(H57,0)&amp;":"&amp;REPT("0",2-LEN(((H57-ROUNDDOWN(H57,0))*60)))&amp;((H57-ROUNDDOWN(H57,0))*60)</f>
        <v>11:00</v>
      </c>
      <c r="F57" s="5" t="str">
        <f t="shared" si="58"/>
        <v>19:00</v>
      </c>
      <c r="G57" s="5" t="str">
        <f t="shared" si="2"/>
        <v>MIDDLE 1-KALIMALANG</v>
      </c>
      <c r="H57" s="5">
        <v>11</v>
      </c>
      <c r="I57" s="5">
        <v>19</v>
      </c>
      <c r="J57" s="5" t="str">
        <f t="shared" si="3"/>
        <v>BOD / Operation / Bagi Kopi - Kalimalang</v>
      </c>
      <c r="K57" s="5" t="b">
        <v>0</v>
      </c>
      <c r="L57" s="5" t="b">
        <v>0</v>
      </c>
      <c r="M57" s="5" t="b">
        <v>0</v>
      </c>
      <c r="V57" s="7"/>
      <c r="X57" s="7"/>
      <c r="Y57" s="7"/>
    </row>
    <row r="58" spans="1:25" x14ac:dyDescent="0.2">
      <c r="A58" s="5" t="s">
        <v>4</v>
      </c>
      <c r="B58" s="5" t="s">
        <v>31</v>
      </c>
      <c r="C58" s="5" t="s">
        <v>17</v>
      </c>
      <c r="D58" s="5" t="str">
        <f t="shared" si="0"/>
        <v>15:00 - 23:00</v>
      </c>
      <c r="E58" s="5" t="str">
        <f t="shared" ref="E58:F58" si="59">REPT("0",2-LEN(ROUNDDOWN(H58,0)))&amp;ROUNDDOWN(H58,0)&amp;":"&amp;REPT("0",2-LEN(((H58-ROUNDDOWN(H58,0))*60)))&amp;((H58-ROUNDDOWN(H58,0))*60)</f>
        <v>15:00</v>
      </c>
      <c r="F58" s="5" t="str">
        <f t="shared" si="59"/>
        <v>23:00</v>
      </c>
      <c r="G58" s="5" t="str">
        <f t="shared" si="2"/>
        <v>MIDDLE 2-KALIMALANG</v>
      </c>
      <c r="H58" s="5">
        <v>15</v>
      </c>
      <c r="I58" s="5">
        <v>23</v>
      </c>
      <c r="J58" s="5" t="str">
        <f t="shared" si="3"/>
        <v>BOD / Operation / Bagi Kopi - Kalimalang</v>
      </c>
      <c r="K58" s="5" t="b">
        <v>0</v>
      </c>
      <c r="L58" s="5" t="b">
        <v>0</v>
      </c>
      <c r="M58" s="5" t="b">
        <v>0</v>
      </c>
      <c r="V58" s="7"/>
      <c r="X58" s="7"/>
      <c r="Y58" s="7"/>
    </row>
    <row r="59" spans="1:25" x14ac:dyDescent="0.2">
      <c r="A59" s="5" t="s">
        <v>4</v>
      </c>
      <c r="B59" s="5" t="s">
        <v>31</v>
      </c>
      <c r="C59" s="5" t="s">
        <v>12</v>
      </c>
      <c r="D59" s="5" t="str">
        <f t="shared" si="0"/>
        <v>19:00 - 03:00</v>
      </c>
      <c r="E59" s="5" t="str">
        <f t="shared" ref="E59:F59" si="60">REPT("0",2-LEN(ROUNDDOWN(H59,0)))&amp;ROUNDDOWN(H59,0)&amp;":"&amp;REPT("0",2-LEN(((H59-ROUNDDOWN(H59,0))*60)))&amp;((H59-ROUNDDOWN(H59,0))*60)</f>
        <v>19:00</v>
      </c>
      <c r="F59" s="5" t="str">
        <f t="shared" si="60"/>
        <v>03:00</v>
      </c>
      <c r="G59" s="5" t="str">
        <f t="shared" si="2"/>
        <v>CLOSING-KALIMALANG</v>
      </c>
      <c r="H59" s="5">
        <v>19</v>
      </c>
      <c r="I59" s="5">
        <v>3</v>
      </c>
      <c r="J59" s="5" t="str">
        <f t="shared" si="3"/>
        <v>BOD / Operation / Bagi Kopi - Kalimalang</v>
      </c>
      <c r="K59" s="5" t="b">
        <v>0</v>
      </c>
      <c r="L59" s="5" t="b">
        <v>0</v>
      </c>
      <c r="M59" s="5" t="b">
        <v>0</v>
      </c>
      <c r="V59" s="7"/>
      <c r="X59" s="7"/>
      <c r="Y59" s="7"/>
    </row>
    <row r="60" spans="1:25" x14ac:dyDescent="0.2">
      <c r="A60" s="5" t="s">
        <v>4</v>
      </c>
      <c r="B60" s="5" t="s">
        <v>32</v>
      </c>
      <c r="C60" s="5" t="s">
        <v>6</v>
      </c>
      <c r="D60" s="5" t="str">
        <f t="shared" si="0"/>
        <v/>
      </c>
      <c r="E60" s="5" t="str">
        <f t="shared" ref="E60:F60" si="61">REPT("0",2-LEN(ROUNDDOWN(H60,0)))&amp;ROUNDDOWN(H60,0)&amp;":"&amp;REPT("0",2-LEN(((H60-ROUNDDOWN(H60,0))*60)))&amp;((H60-ROUNDDOWN(H60,0))*60)</f>
        <v>00:00</v>
      </c>
      <c r="F60" s="5" t="str">
        <f t="shared" si="61"/>
        <v>00:00</v>
      </c>
      <c r="G60" s="5" t="str">
        <f t="shared" si="2"/>
        <v>DAY OFF-KARAWACI</v>
      </c>
      <c r="H60" s="5">
        <v>0</v>
      </c>
      <c r="I60" s="5">
        <v>0</v>
      </c>
      <c r="J60" s="5" t="str">
        <f t="shared" si="3"/>
        <v>BOD / Operation / Bagi Kopi - Karawaci</v>
      </c>
      <c r="K60" s="5" t="b">
        <v>1</v>
      </c>
      <c r="L60" s="5" t="b">
        <v>0</v>
      </c>
      <c r="M60" s="5" t="b">
        <v>0</v>
      </c>
      <c r="V60" s="7"/>
      <c r="X60" s="7"/>
      <c r="Y60" s="7"/>
    </row>
    <row r="61" spans="1:25" x14ac:dyDescent="0.2">
      <c r="A61" s="5" t="s">
        <v>4</v>
      </c>
      <c r="B61" s="5" t="s">
        <v>32</v>
      </c>
      <c r="C61" s="5" t="s">
        <v>8</v>
      </c>
      <c r="D61" s="5" t="str">
        <f t="shared" si="0"/>
        <v>06:30 - 14:30</v>
      </c>
      <c r="E61" s="5" t="str">
        <f t="shared" ref="E61:F61" si="62">REPT("0",2-LEN(ROUNDDOWN(H61,0)))&amp;ROUNDDOWN(H61,0)&amp;":"&amp;REPT("0",2-LEN(((H61-ROUNDDOWN(H61,0))*60)))&amp;((H61-ROUNDDOWN(H61,0))*60)</f>
        <v>06:30</v>
      </c>
      <c r="F61" s="5" t="str">
        <f t="shared" si="62"/>
        <v>14:30</v>
      </c>
      <c r="G61" s="5" t="str">
        <f t="shared" si="2"/>
        <v>OPENING-KARAWACI</v>
      </c>
      <c r="H61" s="5">
        <v>6.5</v>
      </c>
      <c r="I61" s="5">
        <v>14.5</v>
      </c>
      <c r="J61" s="5" t="str">
        <f t="shared" si="3"/>
        <v>BOD / Operation / Bagi Kopi - Karawaci</v>
      </c>
      <c r="K61" s="5" t="b">
        <v>0</v>
      </c>
      <c r="L61" s="5" t="b">
        <v>0</v>
      </c>
      <c r="M61" s="5" t="b">
        <v>0</v>
      </c>
      <c r="V61" s="7"/>
      <c r="X61" s="7"/>
      <c r="Y61" s="7"/>
    </row>
    <row r="62" spans="1:25" x14ac:dyDescent="0.2">
      <c r="A62" s="5" t="s">
        <v>4</v>
      </c>
      <c r="B62" s="5" t="s">
        <v>32</v>
      </c>
      <c r="C62" s="5" t="s">
        <v>10</v>
      </c>
      <c r="D62" s="5" t="str">
        <f t="shared" si="0"/>
        <v>11:00 - 19:00</v>
      </c>
      <c r="E62" s="5" t="str">
        <f t="shared" ref="E62:F62" si="63">REPT("0",2-LEN(ROUNDDOWN(H62,0)))&amp;ROUNDDOWN(H62,0)&amp;":"&amp;REPT("0",2-LEN(((H62-ROUNDDOWN(H62,0))*60)))&amp;((H62-ROUNDDOWN(H62,0))*60)</f>
        <v>11:00</v>
      </c>
      <c r="F62" s="5" t="str">
        <f t="shared" si="63"/>
        <v>19:00</v>
      </c>
      <c r="G62" s="5" t="str">
        <f t="shared" si="2"/>
        <v>MIDDLE 1-KARAWACI</v>
      </c>
      <c r="H62" s="5">
        <v>11</v>
      </c>
      <c r="I62" s="5">
        <v>19</v>
      </c>
      <c r="J62" s="5" t="str">
        <f t="shared" si="3"/>
        <v>BOD / Operation / Bagi Kopi - Karawaci</v>
      </c>
      <c r="K62" s="5" t="b">
        <v>0</v>
      </c>
      <c r="L62" s="5" t="b">
        <v>0</v>
      </c>
      <c r="M62" s="5" t="b">
        <v>0</v>
      </c>
      <c r="V62" s="7"/>
      <c r="X62" s="7"/>
      <c r="Y62" s="7"/>
    </row>
    <row r="63" spans="1:25" x14ac:dyDescent="0.2">
      <c r="A63" s="5" t="s">
        <v>4</v>
      </c>
      <c r="B63" s="5" t="s">
        <v>32</v>
      </c>
      <c r="C63" s="5" t="s">
        <v>17</v>
      </c>
      <c r="D63" s="5" t="str">
        <f t="shared" si="0"/>
        <v>15:00 - 23:00</v>
      </c>
      <c r="E63" s="5" t="str">
        <f t="shared" ref="E63:F63" si="64">REPT("0",2-LEN(ROUNDDOWN(H63,0)))&amp;ROUNDDOWN(H63,0)&amp;":"&amp;REPT("0",2-LEN(((H63-ROUNDDOWN(H63,0))*60)))&amp;((H63-ROUNDDOWN(H63,0))*60)</f>
        <v>15:00</v>
      </c>
      <c r="F63" s="5" t="str">
        <f t="shared" si="64"/>
        <v>23:00</v>
      </c>
      <c r="G63" s="5" t="str">
        <f t="shared" si="2"/>
        <v>MIDDLE 2-KARAWACI</v>
      </c>
      <c r="H63" s="5">
        <v>15</v>
      </c>
      <c r="I63" s="5">
        <v>23</v>
      </c>
      <c r="J63" s="5" t="str">
        <f t="shared" si="3"/>
        <v>BOD / Operation / Bagi Kopi - Karawaci</v>
      </c>
      <c r="K63" s="5" t="b">
        <v>0</v>
      </c>
      <c r="L63" s="5" t="b">
        <v>0</v>
      </c>
      <c r="M63" s="5" t="b">
        <v>0</v>
      </c>
      <c r="V63" s="7"/>
      <c r="X63" s="7"/>
      <c r="Y63" s="7"/>
    </row>
    <row r="64" spans="1:25" x14ac:dyDescent="0.2">
      <c r="A64" s="5" t="s">
        <v>4</v>
      </c>
      <c r="B64" s="5" t="s">
        <v>32</v>
      </c>
      <c r="C64" s="5" t="s">
        <v>12</v>
      </c>
      <c r="D64" s="5" t="str">
        <f t="shared" si="0"/>
        <v>19:00 - 03:00</v>
      </c>
      <c r="E64" s="5" t="str">
        <f t="shared" ref="E64:F64" si="65">REPT("0",2-LEN(ROUNDDOWN(H64,0)))&amp;ROUNDDOWN(H64,0)&amp;":"&amp;REPT("0",2-LEN(((H64-ROUNDDOWN(H64,0))*60)))&amp;((H64-ROUNDDOWN(H64,0))*60)</f>
        <v>19:00</v>
      </c>
      <c r="F64" s="5" t="str">
        <f t="shared" si="65"/>
        <v>03:00</v>
      </c>
      <c r="G64" s="5" t="str">
        <f t="shared" si="2"/>
        <v>CLOSING-KARAWACI</v>
      </c>
      <c r="H64" s="5">
        <v>19</v>
      </c>
      <c r="I64" s="5">
        <v>3</v>
      </c>
      <c r="J64" s="5" t="str">
        <f t="shared" si="3"/>
        <v>BOD / Operation / Bagi Kopi - Karawaci</v>
      </c>
      <c r="K64" s="5" t="b">
        <v>0</v>
      </c>
      <c r="L64" s="5" t="b">
        <v>0</v>
      </c>
      <c r="M64" s="5" t="b">
        <v>0</v>
      </c>
      <c r="V64" s="7"/>
      <c r="X64" s="7"/>
      <c r="Y64" s="7"/>
    </row>
    <row r="65" spans="1:25" x14ac:dyDescent="0.2">
      <c r="A65" s="5" t="s">
        <v>4</v>
      </c>
      <c r="B65" s="5" t="s">
        <v>33</v>
      </c>
      <c r="C65" s="5" t="s">
        <v>6</v>
      </c>
      <c r="D65" s="5" t="str">
        <f t="shared" si="0"/>
        <v/>
      </c>
      <c r="E65" s="5" t="str">
        <f t="shared" ref="E65:F65" si="66">REPT("0",2-LEN(ROUNDDOWN(H65,0)))&amp;ROUNDDOWN(H65,0)&amp;":"&amp;REPT("0",2-LEN(((H65-ROUNDDOWN(H65,0))*60)))&amp;((H65-ROUNDDOWN(H65,0))*60)</f>
        <v>00:00</v>
      </c>
      <c r="F65" s="5" t="str">
        <f t="shared" si="66"/>
        <v>00:00</v>
      </c>
      <c r="G65" s="5" t="str">
        <f t="shared" si="2"/>
        <v>DAY OFF-KAYU PUTIH</v>
      </c>
      <c r="H65" s="5">
        <v>0</v>
      </c>
      <c r="I65" s="5">
        <v>0</v>
      </c>
      <c r="J65" s="5" t="str">
        <f t="shared" si="3"/>
        <v>BOD / Operation / Bagi Kopi - Kayu Putih</v>
      </c>
      <c r="K65" s="5" t="b">
        <v>1</v>
      </c>
      <c r="L65" s="5" t="b">
        <v>0</v>
      </c>
      <c r="M65" s="5" t="b">
        <v>0</v>
      </c>
      <c r="V65" s="7"/>
      <c r="X65" s="7"/>
      <c r="Y65" s="7"/>
    </row>
    <row r="66" spans="1:25" x14ac:dyDescent="0.2">
      <c r="A66" s="5" t="s">
        <v>4</v>
      </c>
      <c r="B66" s="5" t="s">
        <v>33</v>
      </c>
      <c r="C66" s="5" t="s">
        <v>8</v>
      </c>
      <c r="D66" s="5" t="str">
        <f t="shared" si="0"/>
        <v>06:30 - 14:30</v>
      </c>
      <c r="E66" s="5" t="str">
        <f t="shared" ref="E66:F66" si="67">REPT("0",2-LEN(ROUNDDOWN(H66,0)))&amp;ROUNDDOWN(H66,0)&amp;":"&amp;REPT("0",2-LEN(((H66-ROUNDDOWN(H66,0))*60)))&amp;((H66-ROUNDDOWN(H66,0))*60)</f>
        <v>06:30</v>
      </c>
      <c r="F66" s="5" t="str">
        <f t="shared" si="67"/>
        <v>14:30</v>
      </c>
      <c r="G66" s="5" t="str">
        <f t="shared" si="2"/>
        <v>OPENING-KAYU PUTIH</v>
      </c>
      <c r="H66" s="5">
        <v>6.5</v>
      </c>
      <c r="I66" s="5">
        <v>14.5</v>
      </c>
      <c r="J66" s="5" t="str">
        <f t="shared" si="3"/>
        <v>BOD / Operation / Bagi Kopi - Kayu Putih</v>
      </c>
      <c r="K66" s="5" t="b">
        <v>0</v>
      </c>
      <c r="L66" s="5" t="b">
        <v>0</v>
      </c>
      <c r="M66" s="5" t="b">
        <v>0</v>
      </c>
      <c r="V66" s="7"/>
      <c r="X66" s="7"/>
      <c r="Y66" s="7"/>
    </row>
    <row r="67" spans="1:25" x14ac:dyDescent="0.2">
      <c r="A67" s="5" t="s">
        <v>4</v>
      </c>
      <c r="B67" s="5" t="s">
        <v>33</v>
      </c>
      <c r="C67" s="5" t="s">
        <v>10</v>
      </c>
      <c r="D67" s="5" t="str">
        <f t="shared" si="0"/>
        <v>11:00 - 19:00</v>
      </c>
      <c r="E67" s="5" t="str">
        <f t="shared" ref="E67:F67" si="68">REPT("0",2-LEN(ROUNDDOWN(H67,0)))&amp;ROUNDDOWN(H67,0)&amp;":"&amp;REPT("0",2-LEN(((H67-ROUNDDOWN(H67,0))*60)))&amp;((H67-ROUNDDOWN(H67,0))*60)</f>
        <v>11:00</v>
      </c>
      <c r="F67" s="5" t="str">
        <f t="shared" si="68"/>
        <v>19:00</v>
      </c>
      <c r="G67" s="5" t="str">
        <f t="shared" si="2"/>
        <v>MIDDLE 1-KAYU PUTIH</v>
      </c>
      <c r="H67" s="5">
        <v>11</v>
      </c>
      <c r="I67" s="5">
        <v>19</v>
      </c>
      <c r="J67" s="5" t="str">
        <f t="shared" si="3"/>
        <v>BOD / Operation / Bagi Kopi - Kayu Putih</v>
      </c>
      <c r="K67" s="5" t="b">
        <v>0</v>
      </c>
      <c r="L67" s="5" t="b">
        <v>0</v>
      </c>
      <c r="M67" s="5" t="b">
        <v>0</v>
      </c>
      <c r="V67" s="7"/>
      <c r="X67" s="7"/>
      <c r="Y67" s="7"/>
    </row>
    <row r="68" spans="1:25" x14ac:dyDescent="0.2">
      <c r="A68" s="5" t="s">
        <v>4</v>
      </c>
      <c r="B68" s="5" t="s">
        <v>33</v>
      </c>
      <c r="C68" s="5" t="s">
        <v>35</v>
      </c>
      <c r="D68" s="5" t="str">
        <f t="shared" si="0"/>
        <v>12:00 - 20:00</v>
      </c>
      <c r="E68" s="5" t="str">
        <f t="shared" ref="E68:F68" si="69">REPT("0",2-LEN(ROUNDDOWN(H68,0)))&amp;ROUNDDOWN(H68,0)&amp;":"&amp;REPT("0",2-LEN(((H68-ROUNDDOWN(H68,0))*60)))&amp;((H68-ROUNDDOWN(H68,0))*60)</f>
        <v>12:00</v>
      </c>
      <c r="F68" s="5" t="str">
        <f t="shared" si="69"/>
        <v>20:00</v>
      </c>
      <c r="G68" s="5" t="str">
        <f t="shared" si="2"/>
        <v>MIDDLE 1 WEEKEND-KAYU PUTIH</v>
      </c>
      <c r="H68" s="5">
        <v>12</v>
      </c>
      <c r="I68" s="5">
        <v>20</v>
      </c>
      <c r="J68" s="5" t="str">
        <f t="shared" si="3"/>
        <v>BOD / Operation / Bagi Kopi - Kayu Putih</v>
      </c>
      <c r="K68" s="5" t="b">
        <v>0</v>
      </c>
      <c r="L68" s="5" t="b">
        <v>0</v>
      </c>
      <c r="M68" s="5" t="b">
        <v>0</v>
      </c>
      <c r="V68" s="7"/>
      <c r="X68" s="7"/>
      <c r="Y68" s="7"/>
    </row>
    <row r="69" spans="1:25" x14ac:dyDescent="0.2">
      <c r="A69" s="5" t="s">
        <v>4</v>
      </c>
      <c r="B69" s="5" t="s">
        <v>33</v>
      </c>
      <c r="C69" s="5" t="s">
        <v>17</v>
      </c>
      <c r="D69" s="5" t="str">
        <f t="shared" si="0"/>
        <v>15:00 - 23:00</v>
      </c>
      <c r="E69" s="5" t="str">
        <f t="shared" ref="E69:F69" si="70">REPT("0",2-LEN(ROUNDDOWN(H69,0)))&amp;ROUNDDOWN(H69,0)&amp;":"&amp;REPT("0",2-LEN(((H69-ROUNDDOWN(H69,0))*60)))&amp;((H69-ROUNDDOWN(H69,0))*60)</f>
        <v>15:00</v>
      </c>
      <c r="F69" s="5" t="str">
        <f t="shared" si="70"/>
        <v>23:00</v>
      </c>
      <c r="G69" s="5" t="str">
        <f t="shared" si="2"/>
        <v>MIDDLE 2-KAYU PUTIH</v>
      </c>
      <c r="H69" s="5">
        <v>15</v>
      </c>
      <c r="I69" s="5">
        <v>23</v>
      </c>
      <c r="J69" s="5" t="str">
        <f t="shared" si="3"/>
        <v>BOD / Operation / Bagi Kopi - Kayu Putih</v>
      </c>
      <c r="K69" s="5" t="b">
        <v>0</v>
      </c>
      <c r="L69" s="5" t="b">
        <v>0</v>
      </c>
      <c r="M69" s="5" t="b">
        <v>0</v>
      </c>
      <c r="V69" s="7"/>
      <c r="X69" s="7"/>
      <c r="Y69" s="7"/>
    </row>
    <row r="70" spans="1:25" x14ac:dyDescent="0.2">
      <c r="A70" s="5" t="s">
        <v>4</v>
      </c>
      <c r="B70" s="5" t="s">
        <v>33</v>
      </c>
      <c r="C70" s="5" t="s">
        <v>76</v>
      </c>
      <c r="D70" s="5" t="str">
        <f t="shared" si="0"/>
        <v>16:00 - 14:30</v>
      </c>
      <c r="E70" s="5" t="str">
        <f t="shared" ref="E70:F70" si="71">REPT("0",2-LEN(ROUNDDOWN(H70,0)))&amp;ROUNDDOWN(H70,0)&amp;":"&amp;REPT("0",2-LEN(((H70-ROUNDDOWN(H70,0))*60)))&amp;((H70-ROUNDDOWN(H70,0))*60)</f>
        <v>16:00</v>
      </c>
      <c r="F70" s="5" t="str">
        <f t="shared" si="71"/>
        <v>14:30</v>
      </c>
      <c r="G70" s="5" t="str">
        <f t="shared" si="2"/>
        <v>OPENING WEEKEND-KAYU PUTIH</v>
      </c>
      <c r="H70" s="5">
        <v>16</v>
      </c>
      <c r="I70" s="5">
        <v>14.5</v>
      </c>
      <c r="J70" s="5" t="str">
        <f t="shared" si="3"/>
        <v>BOD / Operation / Bagi Kopi - Kayu Putih</v>
      </c>
      <c r="K70" s="5" t="b">
        <v>0</v>
      </c>
      <c r="L70" s="5" t="b">
        <v>0</v>
      </c>
      <c r="M70" s="5" t="b">
        <v>0</v>
      </c>
      <c r="V70" s="7"/>
      <c r="X70" s="7"/>
      <c r="Y70" s="7"/>
    </row>
    <row r="71" spans="1:25" x14ac:dyDescent="0.2">
      <c r="A71" s="5" t="s">
        <v>4</v>
      </c>
      <c r="B71" s="5" t="s">
        <v>33</v>
      </c>
      <c r="C71" s="5" t="s">
        <v>12</v>
      </c>
      <c r="D71" s="5" t="str">
        <f t="shared" si="0"/>
        <v>19:00 - 03:00</v>
      </c>
      <c r="E71" s="5" t="str">
        <f t="shared" ref="E71:F71" si="72">REPT("0",2-LEN(ROUNDDOWN(H71,0)))&amp;ROUNDDOWN(H71,0)&amp;":"&amp;REPT("0",2-LEN(((H71-ROUNDDOWN(H71,0))*60)))&amp;((H71-ROUNDDOWN(H71,0))*60)</f>
        <v>19:00</v>
      </c>
      <c r="F71" s="5" t="str">
        <f t="shared" si="72"/>
        <v>03:00</v>
      </c>
      <c r="G71" s="5" t="str">
        <f t="shared" si="2"/>
        <v>CLOSING-KAYU PUTIH</v>
      </c>
      <c r="H71" s="5">
        <v>19</v>
      </c>
      <c r="I71" s="5">
        <v>3</v>
      </c>
      <c r="J71" s="5" t="str">
        <f t="shared" si="3"/>
        <v>BOD / Operation / Bagi Kopi - Kayu Putih</v>
      </c>
      <c r="K71" s="5" t="b">
        <v>0</v>
      </c>
      <c r="L71" s="5" t="b">
        <v>0</v>
      </c>
      <c r="M71" s="5" t="b">
        <v>0</v>
      </c>
      <c r="V71" s="7"/>
      <c r="X71" s="7"/>
      <c r="Y71" s="7"/>
    </row>
    <row r="72" spans="1:25" x14ac:dyDescent="0.2">
      <c r="A72" s="5" t="s">
        <v>4</v>
      </c>
      <c r="B72" s="5" t="s">
        <v>33</v>
      </c>
      <c r="C72" s="5" t="s">
        <v>38</v>
      </c>
      <c r="D72" s="5" t="str">
        <f t="shared" si="0"/>
        <v>19:00 - 03:00</v>
      </c>
      <c r="E72" s="5" t="str">
        <f t="shared" ref="E72:F72" si="73">REPT("0",2-LEN(ROUNDDOWN(H72,0)))&amp;ROUNDDOWN(H72,0)&amp;":"&amp;REPT("0",2-LEN(((H72-ROUNDDOWN(H72,0))*60)))&amp;((H72-ROUNDDOWN(H72,0))*60)</f>
        <v>19:00</v>
      </c>
      <c r="F72" s="5" t="str">
        <f t="shared" si="73"/>
        <v>03:00</v>
      </c>
      <c r="G72" s="5" t="str">
        <f t="shared" si="2"/>
        <v>CLOSING WEEKEND-KAYU PUTIH</v>
      </c>
      <c r="H72" s="5">
        <v>19</v>
      </c>
      <c r="I72" s="5">
        <v>3</v>
      </c>
      <c r="J72" s="5" t="str">
        <f t="shared" si="3"/>
        <v>BOD / Operation / Bagi Kopi - Kayu Putih</v>
      </c>
      <c r="K72" s="5" t="b">
        <v>0</v>
      </c>
      <c r="L72" s="5" t="b">
        <v>0</v>
      </c>
      <c r="M72" s="5" t="b">
        <v>0</v>
      </c>
      <c r="V72" s="7"/>
      <c r="X72" s="7"/>
      <c r="Y72" s="7"/>
    </row>
    <row r="73" spans="1:25" x14ac:dyDescent="0.2">
      <c r="A73" s="5" t="s">
        <v>4</v>
      </c>
      <c r="B73" s="5" t="s">
        <v>39</v>
      </c>
      <c r="C73" s="5" t="s">
        <v>6</v>
      </c>
      <c r="D73" s="5" t="str">
        <f t="shared" si="0"/>
        <v/>
      </c>
      <c r="E73" s="5" t="str">
        <f t="shared" ref="E73:F73" si="74">REPT("0",2-LEN(ROUNDDOWN(H73,0)))&amp;ROUNDDOWN(H73,0)&amp;":"&amp;REPT("0",2-LEN(((H73-ROUNDDOWN(H73,0))*60)))&amp;((H73-ROUNDDOWN(H73,0))*60)</f>
        <v>00:00</v>
      </c>
      <c r="F73" s="5" t="str">
        <f t="shared" si="74"/>
        <v>00:00</v>
      </c>
      <c r="G73" s="5" t="str">
        <f t="shared" si="2"/>
        <v>DAY OFF-KEMANG UTARA</v>
      </c>
      <c r="H73" s="5">
        <v>0</v>
      </c>
      <c r="I73" s="5">
        <v>0</v>
      </c>
      <c r="J73" s="5" t="str">
        <f t="shared" si="3"/>
        <v>BOD / Operation / Bagi Kopi - Kemang Utara</v>
      </c>
      <c r="K73" s="5" t="b">
        <v>1</v>
      </c>
      <c r="L73" s="5" t="b">
        <v>0</v>
      </c>
      <c r="M73" s="5" t="b">
        <v>1</v>
      </c>
      <c r="V73" s="7"/>
      <c r="X73" s="7"/>
      <c r="Y73" s="7"/>
    </row>
    <row r="74" spans="1:25" x14ac:dyDescent="0.2">
      <c r="A74" s="5" t="s">
        <v>4</v>
      </c>
      <c r="B74" s="5" t="s">
        <v>39</v>
      </c>
      <c r="C74" s="5" t="s">
        <v>8</v>
      </c>
      <c r="D74" s="5" t="str">
        <f t="shared" si="0"/>
        <v>06:30 - 14:30</v>
      </c>
      <c r="E74" s="5" t="str">
        <f t="shared" ref="E74:F74" si="75">REPT("0",2-LEN(ROUNDDOWN(H74,0)))&amp;ROUNDDOWN(H74,0)&amp;":"&amp;REPT("0",2-LEN(((H74-ROUNDDOWN(H74,0))*60)))&amp;((H74-ROUNDDOWN(H74,0))*60)</f>
        <v>06:30</v>
      </c>
      <c r="F74" s="5" t="str">
        <f t="shared" si="75"/>
        <v>14:30</v>
      </c>
      <c r="G74" s="5" t="str">
        <f t="shared" si="2"/>
        <v>OPENING-KEMANG UTARA</v>
      </c>
      <c r="H74" s="5">
        <v>6.5</v>
      </c>
      <c r="I74" s="5">
        <v>14.5</v>
      </c>
      <c r="J74" s="5" t="str">
        <f t="shared" si="3"/>
        <v>BOD / Operation / Bagi Kopi - Kemang Utara</v>
      </c>
      <c r="K74" s="5" t="b">
        <v>0</v>
      </c>
      <c r="L74" s="5" t="b">
        <v>0</v>
      </c>
      <c r="M74" s="5" t="b">
        <v>0</v>
      </c>
      <c r="V74" s="7"/>
      <c r="X74" s="7"/>
      <c r="Y74" s="7"/>
    </row>
    <row r="75" spans="1:25" x14ac:dyDescent="0.2">
      <c r="A75" s="5" t="s">
        <v>4</v>
      </c>
      <c r="B75" s="5" t="s">
        <v>39</v>
      </c>
      <c r="C75" s="5" t="s">
        <v>10</v>
      </c>
      <c r="D75" s="5" t="str">
        <f t="shared" si="0"/>
        <v>11:00 - 19:00</v>
      </c>
      <c r="E75" s="5" t="str">
        <f t="shared" ref="E75:F75" si="76">REPT("0",2-LEN(ROUNDDOWN(H75,0)))&amp;ROUNDDOWN(H75,0)&amp;":"&amp;REPT("0",2-LEN(((H75-ROUNDDOWN(H75,0))*60)))&amp;((H75-ROUNDDOWN(H75,0))*60)</f>
        <v>11:00</v>
      </c>
      <c r="F75" s="5" t="str">
        <f t="shared" si="76"/>
        <v>19:00</v>
      </c>
      <c r="G75" s="5" t="str">
        <f t="shared" si="2"/>
        <v>MIDDLE 1-KEMANG UTARA</v>
      </c>
      <c r="H75" s="5">
        <v>11</v>
      </c>
      <c r="I75" s="5">
        <v>19</v>
      </c>
      <c r="J75" s="5" t="str">
        <f t="shared" si="3"/>
        <v>BOD / Operation / Bagi Kopi - Kemang Utara</v>
      </c>
      <c r="K75" s="5" t="b">
        <v>0</v>
      </c>
      <c r="L75" s="5" t="b">
        <v>0</v>
      </c>
      <c r="M75" s="5" t="b">
        <v>0</v>
      </c>
      <c r="V75" s="7"/>
      <c r="X75" s="7"/>
      <c r="Y75" s="7"/>
    </row>
    <row r="76" spans="1:25" x14ac:dyDescent="0.2">
      <c r="A76" s="5" t="s">
        <v>4</v>
      </c>
      <c r="B76" s="5" t="s">
        <v>39</v>
      </c>
      <c r="C76" s="5" t="s">
        <v>17</v>
      </c>
      <c r="D76" s="5" t="str">
        <f t="shared" si="0"/>
        <v>15:00 - 23:00</v>
      </c>
      <c r="E76" s="5" t="str">
        <f t="shared" ref="E76:F76" si="77">REPT("0",2-LEN(ROUNDDOWN(H76,0)))&amp;ROUNDDOWN(H76,0)&amp;":"&amp;REPT("0",2-LEN(((H76-ROUNDDOWN(H76,0))*60)))&amp;((H76-ROUNDDOWN(H76,0))*60)</f>
        <v>15:00</v>
      </c>
      <c r="F76" s="5" t="str">
        <f t="shared" si="77"/>
        <v>23:00</v>
      </c>
      <c r="G76" s="5" t="str">
        <f t="shared" si="2"/>
        <v>MIDDLE 2-KEMANG UTARA</v>
      </c>
      <c r="H76" s="5">
        <v>15</v>
      </c>
      <c r="I76" s="5">
        <v>23</v>
      </c>
      <c r="J76" s="5" t="str">
        <f t="shared" si="3"/>
        <v>BOD / Operation / Bagi Kopi - Kemang Utara</v>
      </c>
      <c r="K76" s="5" t="b">
        <v>0</v>
      </c>
      <c r="L76" s="5" t="b">
        <v>0</v>
      </c>
      <c r="M76" s="5" t="b">
        <v>0</v>
      </c>
      <c r="V76" s="7"/>
      <c r="X76" s="7"/>
      <c r="Y76" s="7"/>
    </row>
    <row r="77" spans="1:25" x14ac:dyDescent="0.2">
      <c r="A77" s="5" t="s">
        <v>4</v>
      </c>
      <c r="B77" s="5" t="s">
        <v>39</v>
      </c>
      <c r="C77" s="5" t="s">
        <v>12</v>
      </c>
      <c r="D77" s="5" t="str">
        <f t="shared" si="0"/>
        <v>19:00 - 03:00</v>
      </c>
      <c r="E77" s="5" t="str">
        <f t="shared" ref="E77:F77" si="78">REPT("0",2-LEN(ROUNDDOWN(H77,0)))&amp;ROUNDDOWN(H77,0)&amp;":"&amp;REPT("0",2-LEN(((H77-ROUNDDOWN(H77,0))*60)))&amp;((H77-ROUNDDOWN(H77,0))*60)</f>
        <v>19:00</v>
      </c>
      <c r="F77" s="5" t="str">
        <f t="shared" si="78"/>
        <v>03:00</v>
      </c>
      <c r="G77" s="5" t="str">
        <f t="shared" si="2"/>
        <v>CLOSING-KEMANG UTARA</v>
      </c>
      <c r="H77" s="5">
        <v>19</v>
      </c>
      <c r="I77" s="5">
        <v>3</v>
      </c>
      <c r="J77" s="5" t="str">
        <f t="shared" si="3"/>
        <v>BOD / Operation / Bagi Kopi - Kemang Utara</v>
      </c>
      <c r="K77" s="5" t="b">
        <v>0</v>
      </c>
      <c r="L77" s="5" t="b">
        <v>0</v>
      </c>
      <c r="M77" s="5" t="b">
        <v>0</v>
      </c>
      <c r="V77" s="7"/>
      <c r="X77" s="7"/>
      <c r="Y77" s="7"/>
    </row>
    <row r="78" spans="1:25" x14ac:dyDescent="0.2">
      <c r="A78" s="5" t="s">
        <v>14</v>
      </c>
      <c r="B78" s="5" t="s">
        <v>40</v>
      </c>
      <c r="C78" s="5" t="s">
        <v>6</v>
      </c>
      <c r="D78" s="5" t="str">
        <f t="shared" si="0"/>
        <v/>
      </c>
      <c r="E78" s="5" t="str">
        <f t="shared" ref="E78:F78" si="79">REPT("0",2-LEN(ROUNDDOWN(H78,0)))&amp;ROUNDDOWN(H78,0)&amp;":"&amp;REPT("0",2-LEN(((H78-ROUNDDOWN(H78,0))*60)))&amp;((H78-ROUNDDOWN(H78,0))*60)</f>
        <v>00:00</v>
      </c>
      <c r="F78" s="5" t="str">
        <f t="shared" si="79"/>
        <v>00:00</v>
      </c>
      <c r="G78" s="5" t="str">
        <f t="shared" si="2"/>
        <v>DAY OFF-KIARA ARTHA</v>
      </c>
      <c r="H78" s="5">
        <v>0</v>
      </c>
      <c r="I78" s="5">
        <v>0</v>
      </c>
      <c r="J78" s="5" t="str">
        <f t="shared" si="3"/>
        <v>BOD / Operation / Bagi Kopi - Kiara Artha</v>
      </c>
      <c r="K78" s="5" t="b">
        <v>1</v>
      </c>
      <c r="L78" s="5" t="b">
        <v>0</v>
      </c>
      <c r="M78" s="5" t="b">
        <v>1</v>
      </c>
      <c r="V78" s="7"/>
      <c r="X78" s="7"/>
      <c r="Y78" s="7"/>
    </row>
    <row r="79" spans="1:25" x14ac:dyDescent="0.2">
      <c r="A79" s="5" t="s">
        <v>14</v>
      </c>
      <c r="B79" s="5" t="s">
        <v>40</v>
      </c>
      <c r="C79" s="5" t="s">
        <v>8</v>
      </c>
      <c r="D79" s="5" t="str">
        <f t="shared" si="0"/>
        <v>06:30 - 15:00</v>
      </c>
      <c r="E79" s="5" t="str">
        <f t="shared" ref="E79:F79" si="80">REPT("0",2-LEN(ROUNDDOWN(H79,0)))&amp;ROUNDDOWN(H79,0)&amp;":"&amp;REPT("0",2-LEN(((H79-ROUNDDOWN(H79,0))*60)))&amp;((H79-ROUNDDOWN(H79,0))*60)</f>
        <v>06:30</v>
      </c>
      <c r="F79" s="5" t="str">
        <f t="shared" si="80"/>
        <v>15:00</v>
      </c>
      <c r="G79" s="5" t="str">
        <f t="shared" si="2"/>
        <v>OPENING-KIARA ARTHA</v>
      </c>
      <c r="H79" s="5">
        <v>6.5</v>
      </c>
      <c r="I79" s="5">
        <v>15</v>
      </c>
      <c r="J79" s="5" t="str">
        <f t="shared" si="3"/>
        <v>BOD / Operation / Bagi Kopi - Kiara Artha</v>
      </c>
      <c r="K79" s="5" t="b">
        <v>0</v>
      </c>
      <c r="L79" s="5" t="b">
        <v>0</v>
      </c>
      <c r="M79" s="5" t="b">
        <v>0</v>
      </c>
      <c r="V79" s="7"/>
      <c r="X79" s="7"/>
      <c r="Y79" s="7"/>
    </row>
    <row r="80" spans="1:25" x14ac:dyDescent="0.2">
      <c r="A80" s="5" t="s">
        <v>14</v>
      </c>
      <c r="B80" s="5" t="s">
        <v>40</v>
      </c>
      <c r="C80" s="5" t="s">
        <v>10</v>
      </c>
      <c r="D80" s="5" t="str">
        <f t="shared" si="0"/>
        <v>09:30 - 18:00</v>
      </c>
      <c r="E80" s="5" t="str">
        <f t="shared" ref="E80:F80" si="81">REPT("0",2-LEN(ROUNDDOWN(H80,0)))&amp;ROUNDDOWN(H80,0)&amp;":"&amp;REPT("0",2-LEN(((H80-ROUNDDOWN(H80,0))*60)))&amp;((H80-ROUNDDOWN(H80,0))*60)</f>
        <v>09:30</v>
      </c>
      <c r="F80" s="5" t="str">
        <f t="shared" si="81"/>
        <v>18:00</v>
      </c>
      <c r="G80" s="5" t="str">
        <f t="shared" si="2"/>
        <v>MIDDLE 1-KIARA ARTHA</v>
      </c>
      <c r="H80" s="5">
        <v>9.5</v>
      </c>
      <c r="I80" s="5">
        <v>18</v>
      </c>
      <c r="J80" s="5" t="str">
        <f t="shared" si="3"/>
        <v>BOD / Operation / Bagi Kopi - Kiara Artha</v>
      </c>
      <c r="K80" s="5" t="b">
        <v>0</v>
      </c>
      <c r="L80" s="5" t="b">
        <v>0</v>
      </c>
      <c r="M80" s="5" t="b">
        <v>0</v>
      </c>
      <c r="V80" s="7"/>
      <c r="X80" s="7"/>
      <c r="Y80" s="7"/>
    </row>
    <row r="81" spans="1:25" x14ac:dyDescent="0.2">
      <c r="A81" s="5" t="s">
        <v>14</v>
      </c>
      <c r="B81" s="5" t="s">
        <v>40</v>
      </c>
      <c r="C81" s="5" t="s">
        <v>17</v>
      </c>
      <c r="D81" s="5" t="str">
        <f t="shared" si="0"/>
        <v>15:00 - 23:00</v>
      </c>
      <c r="E81" s="5" t="str">
        <f t="shared" ref="E81:F81" si="82">REPT("0",2-LEN(ROUNDDOWN(H81,0)))&amp;ROUNDDOWN(H81,0)&amp;":"&amp;REPT("0",2-LEN(((H81-ROUNDDOWN(H81,0))*60)))&amp;((H81-ROUNDDOWN(H81,0))*60)</f>
        <v>15:00</v>
      </c>
      <c r="F81" s="5" t="str">
        <f t="shared" si="82"/>
        <v>23:00</v>
      </c>
      <c r="G81" s="5" t="str">
        <f t="shared" si="2"/>
        <v>MIDDLE 2-KIARA ARTHA</v>
      </c>
      <c r="H81" s="5">
        <v>15</v>
      </c>
      <c r="I81" s="5">
        <v>23</v>
      </c>
      <c r="J81" s="5" t="str">
        <f t="shared" si="3"/>
        <v>BOD / Operation / Bagi Kopi - Kiara Artha</v>
      </c>
      <c r="K81" s="5" t="b">
        <v>0</v>
      </c>
      <c r="L81" s="5" t="b">
        <v>0</v>
      </c>
      <c r="M81" s="5" t="b">
        <v>0</v>
      </c>
      <c r="V81" s="7"/>
      <c r="X81" s="7"/>
      <c r="Y81" s="7"/>
    </row>
    <row r="82" spans="1:25" x14ac:dyDescent="0.2">
      <c r="A82" s="5" t="s">
        <v>14</v>
      </c>
      <c r="B82" s="5" t="s">
        <v>40</v>
      </c>
      <c r="C82" s="5" t="s">
        <v>12</v>
      </c>
      <c r="D82" s="5" t="str">
        <f t="shared" si="0"/>
        <v>19:00 - 03:00</v>
      </c>
      <c r="E82" s="5" t="str">
        <f t="shared" ref="E82:F82" si="83">REPT("0",2-LEN(ROUNDDOWN(H82,0)))&amp;ROUNDDOWN(H82,0)&amp;":"&amp;REPT("0",2-LEN(((H82-ROUNDDOWN(H82,0))*60)))&amp;((H82-ROUNDDOWN(H82,0))*60)</f>
        <v>19:00</v>
      </c>
      <c r="F82" s="5" t="str">
        <f t="shared" si="83"/>
        <v>03:00</v>
      </c>
      <c r="G82" s="5" t="str">
        <f t="shared" si="2"/>
        <v>CLOSING-KIARA ARTHA</v>
      </c>
      <c r="H82" s="5">
        <v>19</v>
      </c>
      <c r="I82" s="5">
        <v>3</v>
      </c>
      <c r="J82" s="5" t="str">
        <f t="shared" si="3"/>
        <v>BOD / Operation / Bagi Kopi - Kiara Artha</v>
      </c>
      <c r="K82" s="5" t="b">
        <v>0</v>
      </c>
      <c r="L82" s="5" t="b">
        <v>0</v>
      </c>
      <c r="M82" s="5" t="b">
        <v>0</v>
      </c>
      <c r="V82" s="7"/>
      <c r="X82" s="7"/>
      <c r="Y82" s="7"/>
    </row>
    <row r="83" spans="1:25" x14ac:dyDescent="0.2">
      <c r="A83" s="5" t="s">
        <v>14</v>
      </c>
      <c r="B83" s="5" t="s">
        <v>42</v>
      </c>
      <c r="C83" s="5" t="s">
        <v>6</v>
      </c>
      <c r="D83" s="5" t="str">
        <f t="shared" si="0"/>
        <v/>
      </c>
      <c r="E83" s="5" t="str">
        <f t="shared" ref="E83:F83" si="84">REPT("0",2-LEN(ROUNDDOWN(H83,0)))&amp;ROUNDDOWN(H83,0)&amp;":"&amp;REPT("0",2-LEN(((H83-ROUNDDOWN(H83,0))*60)))&amp;((H83-ROUNDDOWN(H83,0))*60)</f>
        <v>00:00</v>
      </c>
      <c r="F83" s="5" t="str">
        <f t="shared" si="84"/>
        <v>00:00</v>
      </c>
      <c r="G83" s="5" t="str">
        <f t="shared" si="2"/>
        <v>DAY OFF-KOTA WISATA</v>
      </c>
      <c r="H83" s="5">
        <v>0</v>
      </c>
      <c r="I83" s="5">
        <v>0</v>
      </c>
      <c r="J83" s="5" t="str">
        <f t="shared" si="3"/>
        <v>BOD / Operation / Bagi Kopi - Kota Wisata</v>
      </c>
      <c r="K83" s="5" t="b">
        <v>1</v>
      </c>
      <c r="L83" s="5" t="b">
        <v>0</v>
      </c>
      <c r="M83" s="5" t="b">
        <v>1</v>
      </c>
      <c r="V83" s="7"/>
      <c r="X83" s="7"/>
      <c r="Y83" s="7"/>
    </row>
    <row r="84" spans="1:25" x14ac:dyDescent="0.2">
      <c r="A84" s="5" t="s">
        <v>14</v>
      </c>
      <c r="B84" s="5" t="s">
        <v>42</v>
      </c>
      <c r="C84" s="5" t="s">
        <v>8</v>
      </c>
      <c r="D84" s="5" t="str">
        <f t="shared" si="0"/>
        <v>06:30 - 15:00</v>
      </c>
      <c r="E84" s="5" t="str">
        <f t="shared" ref="E84:F84" si="85">REPT("0",2-LEN(ROUNDDOWN(H84,0)))&amp;ROUNDDOWN(H84,0)&amp;":"&amp;REPT("0",2-LEN(((H84-ROUNDDOWN(H84,0))*60)))&amp;((H84-ROUNDDOWN(H84,0))*60)</f>
        <v>06:30</v>
      </c>
      <c r="F84" s="5" t="str">
        <f t="shared" si="85"/>
        <v>15:00</v>
      </c>
      <c r="G84" s="5" t="str">
        <f t="shared" si="2"/>
        <v>OPENING-KOTA WISATA</v>
      </c>
      <c r="H84" s="5">
        <v>6.5</v>
      </c>
      <c r="I84" s="5">
        <v>15</v>
      </c>
      <c r="J84" s="5" t="str">
        <f t="shared" si="3"/>
        <v>BOD / Operation / Bagi Kopi - Kota Wisata</v>
      </c>
      <c r="K84" s="5" t="b">
        <v>0</v>
      </c>
      <c r="L84" s="5" t="b">
        <v>0</v>
      </c>
      <c r="M84" s="5" t="b">
        <v>0</v>
      </c>
      <c r="V84" s="7"/>
      <c r="X84" s="7"/>
      <c r="Y84" s="7"/>
    </row>
    <row r="85" spans="1:25" x14ac:dyDescent="0.2">
      <c r="A85" s="5" t="s">
        <v>14</v>
      </c>
      <c r="B85" s="5" t="s">
        <v>42</v>
      </c>
      <c r="C85" s="5" t="s">
        <v>10</v>
      </c>
      <c r="D85" s="5" t="str">
        <f t="shared" si="0"/>
        <v>09:30 - 18:00</v>
      </c>
      <c r="E85" s="5" t="str">
        <f t="shared" ref="E85:F85" si="86">REPT("0",2-LEN(ROUNDDOWN(H85,0)))&amp;ROUNDDOWN(H85,0)&amp;":"&amp;REPT("0",2-LEN(((H85-ROUNDDOWN(H85,0))*60)))&amp;((H85-ROUNDDOWN(H85,0))*60)</f>
        <v>09:30</v>
      </c>
      <c r="F85" s="5" t="str">
        <f t="shared" si="86"/>
        <v>18:00</v>
      </c>
      <c r="G85" s="5" t="str">
        <f t="shared" si="2"/>
        <v>MIDDLE 1-KOTA WISATA</v>
      </c>
      <c r="H85" s="5">
        <v>9.5</v>
      </c>
      <c r="I85" s="5">
        <v>18</v>
      </c>
      <c r="J85" s="5" t="str">
        <f t="shared" si="3"/>
        <v>BOD / Operation / Bagi Kopi - Kota Wisata</v>
      </c>
      <c r="K85" s="5" t="b">
        <v>0</v>
      </c>
      <c r="L85" s="5" t="b">
        <v>0</v>
      </c>
      <c r="M85" s="5" t="b">
        <v>0</v>
      </c>
      <c r="V85" s="7"/>
      <c r="X85" s="7"/>
      <c r="Y85" s="7"/>
    </row>
    <row r="86" spans="1:25" x14ac:dyDescent="0.2">
      <c r="A86" s="5" t="s">
        <v>14</v>
      </c>
      <c r="B86" s="5" t="s">
        <v>42</v>
      </c>
      <c r="C86" s="5" t="s">
        <v>17</v>
      </c>
      <c r="D86" s="5" t="str">
        <f t="shared" si="0"/>
        <v>15:00 - 23:00</v>
      </c>
      <c r="E86" s="5" t="str">
        <f t="shared" ref="E86:F86" si="87">REPT("0",2-LEN(ROUNDDOWN(H86,0)))&amp;ROUNDDOWN(H86,0)&amp;":"&amp;REPT("0",2-LEN(((H86-ROUNDDOWN(H86,0))*60)))&amp;((H86-ROUNDDOWN(H86,0))*60)</f>
        <v>15:00</v>
      </c>
      <c r="F86" s="5" t="str">
        <f t="shared" si="87"/>
        <v>23:00</v>
      </c>
      <c r="G86" s="5" t="str">
        <f t="shared" si="2"/>
        <v>MIDDLE 2-KOTA WISATA</v>
      </c>
      <c r="H86" s="5">
        <v>15</v>
      </c>
      <c r="I86" s="5">
        <v>23</v>
      </c>
      <c r="J86" s="5" t="str">
        <f t="shared" si="3"/>
        <v>BOD / Operation / Bagi Kopi - Kota Wisata</v>
      </c>
      <c r="K86" s="5" t="b">
        <v>0</v>
      </c>
      <c r="L86" s="5" t="b">
        <v>0</v>
      </c>
      <c r="M86" s="5" t="b">
        <v>0</v>
      </c>
      <c r="V86" s="7"/>
      <c r="X86" s="7"/>
      <c r="Y86" s="7"/>
    </row>
    <row r="87" spans="1:25" x14ac:dyDescent="0.2">
      <c r="A87" s="5" t="s">
        <v>14</v>
      </c>
      <c r="B87" s="5" t="s">
        <v>42</v>
      </c>
      <c r="C87" s="5" t="s">
        <v>43</v>
      </c>
      <c r="D87" s="5" t="str">
        <f t="shared" si="0"/>
        <v>16:00 - 00:00</v>
      </c>
      <c r="E87" s="5" t="str">
        <f t="shared" ref="E87:F87" si="88">REPT("0",2-LEN(ROUNDDOWN(H87,0)))&amp;ROUNDDOWN(H87,0)&amp;":"&amp;REPT("0",2-LEN(((H87-ROUNDDOWN(H87,0))*60)))&amp;((H87-ROUNDDOWN(H87,0))*60)</f>
        <v>16:00</v>
      </c>
      <c r="F87" s="5" t="str">
        <f t="shared" si="88"/>
        <v>00:00</v>
      </c>
      <c r="G87" s="5" t="s">
        <v>77</v>
      </c>
      <c r="H87" s="5">
        <v>16</v>
      </c>
      <c r="I87" s="5">
        <v>0</v>
      </c>
      <c r="J87" s="5" t="str">
        <f t="shared" si="3"/>
        <v>BOD / Operation / Bagi Kopi - Kota Wisata</v>
      </c>
      <c r="K87" s="5" t="b">
        <v>0</v>
      </c>
      <c r="L87" s="5" t="b">
        <v>0</v>
      </c>
      <c r="M87" s="5" t="b">
        <v>0</v>
      </c>
      <c r="V87" s="7"/>
      <c r="X87" s="7"/>
      <c r="Y87" s="7"/>
    </row>
    <row r="88" spans="1:25" x14ac:dyDescent="0.2">
      <c r="A88" s="5" t="s">
        <v>14</v>
      </c>
      <c r="B88" s="5" t="s">
        <v>42</v>
      </c>
      <c r="C88" s="5" t="s">
        <v>45</v>
      </c>
      <c r="D88" s="5" t="str">
        <f t="shared" si="0"/>
        <v>19:00 - 03:00</v>
      </c>
      <c r="E88" s="5" t="str">
        <f t="shared" ref="E88:F88" si="89">REPT("0",2-LEN(ROUNDDOWN(H88,0)))&amp;ROUNDDOWN(H88,0)&amp;":"&amp;REPT("0",2-LEN(((H88-ROUNDDOWN(H88,0))*60)))&amp;((H88-ROUNDDOWN(H88,0))*60)</f>
        <v>19:00</v>
      </c>
      <c r="F88" s="5" t="str">
        <f t="shared" si="89"/>
        <v>03:00</v>
      </c>
      <c r="G88" s="5" t="str">
        <f t="shared" ref="G88:G159" si="90">C88&amp;"-"&amp;UPPER(SUBSTITUTE(B88,"Bagi Kopi - ",""))</f>
        <v>CLOSING 2-KOTA WISATA</v>
      </c>
      <c r="H88" s="5">
        <v>19</v>
      </c>
      <c r="I88" s="5">
        <v>3</v>
      </c>
      <c r="J88" s="5" t="str">
        <f t="shared" si="3"/>
        <v>BOD / Operation / Bagi Kopi - Kota Wisata</v>
      </c>
      <c r="K88" s="5" t="b">
        <v>0</v>
      </c>
      <c r="L88" s="5" t="b">
        <v>0</v>
      </c>
      <c r="M88" s="5" t="b">
        <v>0</v>
      </c>
      <c r="V88" s="7"/>
      <c r="X88" s="7"/>
      <c r="Y88" s="7"/>
    </row>
    <row r="89" spans="1:25" x14ac:dyDescent="0.2">
      <c r="A89" s="5" t="s">
        <v>14</v>
      </c>
      <c r="B89" s="5" t="s">
        <v>46</v>
      </c>
      <c r="C89" s="5" t="s">
        <v>6</v>
      </c>
      <c r="D89" s="5" t="str">
        <f t="shared" si="0"/>
        <v/>
      </c>
      <c r="E89" s="5" t="str">
        <f t="shared" ref="E89:F89" si="91">REPT("0",2-LEN(ROUNDDOWN(H89,0)))&amp;ROUNDDOWN(H89,0)&amp;":"&amp;REPT("0",2-LEN(((H89-ROUNDDOWN(H89,0))*60)))&amp;((H89-ROUNDDOWN(H89,0))*60)</f>
        <v>00:00</v>
      </c>
      <c r="F89" s="5" t="str">
        <f t="shared" si="91"/>
        <v>00:00</v>
      </c>
      <c r="G89" s="5" t="str">
        <f t="shared" si="90"/>
        <v>DAY OFF-KRANGGAN</v>
      </c>
      <c r="H89" s="5">
        <v>0</v>
      </c>
      <c r="I89" s="5">
        <v>0</v>
      </c>
      <c r="J89" s="5" t="str">
        <f t="shared" si="3"/>
        <v>BOD / Operation / Bagi Kopi - Kranggan</v>
      </c>
      <c r="K89" s="5" t="b">
        <v>1</v>
      </c>
      <c r="L89" s="5" t="b">
        <v>0</v>
      </c>
      <c r="M89" s="5" t="b">
        <v>1</v>
      </c>
      <c r="V89" s="7"/>
      <c r="X89" s="7"/>
      <c r="Y89" s="7"/>
    </row>
    <row r="90" spans="1:25" x14ac:dyDescent="0.2">
      <c r="A90" s="5" t="s">
        <v>14</v>
      </c>
      <c r="B90" s="5" t="s">
        <v>46</v>
      </c>
      <c r="C90" s="5" t="s">
        <v>8</v>
      </c>
      <c r="D90" s="5" t="str">
        <f t="shared" si="0"/>
        <v>06:30 - 15:00</v>
      </c>
      <c r="E90" s="5" t="str">
        <f t="shared" ref="E90:F90" si="92">REPT("0",2-LEN(ROUNDDOWN(H90,0)))&amp;ROUNDDOWN(H90,0)&amp;":"&amp;REPT("0",2-LEN(((H90-ROUNDDOWN(H90,0))*60)))&amp;((H90-ROUNDDOWN(H90,0))*60)</f>
        <v>06:30</v>
      </c>
      <c r="F90" s="5" t="str">
        <f t="shared" si="92"/>
        <v>15:00</v>
      </c>
      <c r="G90" s="5" t="str">
        <f t="shared" si="90"/>
        <v>OPENING-KRANGGAN</v>
      </c>
      <c r="H90" s="5">
        <v>6.5</v>
      </c>
      <c r="I90" s="5">
        <v>15</v>
      </c>
      <c r="J90" s="5" t="str">
        <f t="shared" si="3"/>
        <v>BOD / Operation / Bagi Kopi - Kranggan</v>
      </c>
      <c r="K90" s="5" t="b">
        <v>0</v>
      </c>
      <c r="L90" s="5" t="b">
        <v>0</v>
      </c>
      <c r="M90" s="5" t="b">
        <v>0</v>
      </c>
      <c r="V90" s="7"/>
      <c r="X90" s="7"/>
      <c r="Y90" s="7"/>
    </row>
    <row r="91" spans="1:25" x14ac:dyDescent="0.2">
      <c r="A91" s="5" t="s">
        <v>14</v>
      </c>
      <c r="B91" s="5" t="s">
        <v>46</v>
      </c>
      <c r="C91" s="5" t="s">
        <v>10</v>
      </c>
      <c r="D91" s="5" t="str">
        <f t="shared" si="0"/>
        <v>11:00 - 19:00</v>
      </c>
      <c r="E91" s="5" t="str">
        <f t="shared" ref="E91:F91" si="93">REPT("0",2-LEN(ROUNDDOWN(H91,0)))&amp;ROUNDDOWN(H91,0)&amp;":"&amp;REPT("0",2-LEN(((H91-ROUNDDOWN(H91,0))*60)))&amp;((H91-ROUNDDOWN(H91,0))*60)</f>
        <v>11:00</v>
      </c>
      <c r="F91" s="5" t="str">
        <f t="shared" si="93"/>
        <v>19:00</v>
      </c>
      <c r="G91" s="5" t="str">
        <f t="shared" si="90"/>
        <v>MIDDLE 1-KRANGGAN</v>
      </c>
      <c r="H91" s="5">
        <v>11</v>
      </c>
      <c r="I91" s="5">
        <v>19</v>
      </c>
      <c r="J91" s="5" t="str">
        <f t="shared" si="3"/>
        <v>BOD / Operation / Bagi Kopi - Kranggan</v>
      </c>
      <c r="K91" s="5" t="b">
        <v>0</v>
      </c>
      <c r="L91" s="5" t="b">
        <v>0</v>
      </c>
      <c r="M91" s="5" t="b">
        <v>0</v>
      </c>
      <c r="V91" s="7"/>
      <c r="X91" s="7"/>
      <c r="Y91" s="7"/>
    </row>
    <row r="92" spans="1:25" x14ac:dyDescent="0.2">
      <c r="A92" s="5" t="s">
        <v>14</v>
      </c>
      <c r="B92" s="5" t="s">
        <v>46</v>
      </c>
      <c r="C92" s="5" t="s">
        <v>17</v>
      </c>
      <c r="D92" s="5" t="str">
        <f t="shared" si="0"/>
        <v>15:00 - 23:00</v>
      </c>
      <c r="E92" s="5" t="str">
        <f t="shared" ref="E92:F92" si="94">REPT("0",2-LEN(ROUNDDOWN(H92,0)))&amp;ROUNDDOWN(H92,0)&amp;":"&amp;REPT("0",2-LEN(((H92-ROUNDDOWN(H92,0))*60)))&amp;((H92-ROUNDDOWN(H92,0))*60)</f>
        <v>15:00</v>
      </c>
      <c r="F92" s="5" t="str">
        <f t="shared" si="94"/>
        <v>23:00</v>
      </c>
      <c r="G92" s="5" t="str">
        <f t="shared" si="90"/>
        <v>MIDDLE 2-KRANGGAN</v>
      </c>
      <c r="H92" s="5">
        <v>15</v>
      </c>
      <c r="I92" s="5">
        <v>23</v>
      </c>
      <c r="J92" s="5" t="str">
        <f t="shared" si="3"/>
        <v>BOD / Operation / Bagi Kopi - Kranggan</v>
      </c>
      <c r="K92" s="5" t="b">
        <v>0</v>
      </c>
      <c r="L92" s="5" t="b">
        <v>0</v>
      </c>
      <c r="M92" s="5" t="b">
        <v>0</v>
      </c>
      <c r="V92" s="7"/>
      <c r="X92" s="7"/>
      <c r="Y92" s="7"/>
    </row>
    <row r="93" spans="1:25" x14ac:dyDescent="0.2">
      <c r="A93" s="5" t="s">
        <v>14</v>
      </c>
      <c r="B93" s="5" t="s">
        <v>46</v>
      </c>
      <c r="C93" s="5" t="s">
        <v>12</v>
      </c>
      <c r="D93" s="5" t="str">
        <f t="shared" si="0"/>
        <v>19:00 - 03:00</v>
      </c>
      <c r="E93" s="5" t="str">
        <f t="shared" ref="E93:F93" si="95">REPT("0",2-LEN(ROUNDDOWN(H93,0)))&amp;ROUNDDOWN(H93,0)&amp;":"&amp;REPT("0",2-LEN(((H93-ROUNDDOWN(H93,0))*60)))&amp;((H93-ROUNDDOWN(H93,0))*60)</f>
        <v>19:00</v>
      </c>
      <c r="F93" s="5" t="str">
        <f t="shared" si="95"/>
        <v>03:00</v>
      </c>
      <c r="G93" s="5" t="str">
        <f t="shared" si="90"/>
        <v>CLOSING-KRANGGAN</v>
      </c>
      <c r="H93" s="5">
        <v>19</v>
      </c>
      <c r="I93" s="5">
        <v>3</v>
      </c>
      <c r="J93" s="5" t="str">
        <f t="shared" si="3"/>
        <v>BOD / Operation / Bagi Kopi - Kranggan</v>
      </c>
      <c r="K93" s="5" t="b">
        <v>0</v>
      </c>
      <c r="L93" s="5" t="b">
        <v>0</v>
      </c>
      <c r="M93" s="5" t="b">
        <v>0</v>
      </c>
      <c r="V93" s="7"/>
      <c r="X93" s="7"/>
      <c r="Y93" s="7"/>
    </row>
    <row r="94" spans="1:25" x14ac:dyDescent="0.2">
      <c r="A94" s="5" t="s">
        <v>4</v>
      </c>
      <c r="B94" s="5" t="s">
        <v>47</v>
      </c>
      <c r="C94" s="5" t="s">
        <v>6</v>
      </c>
      <c r="D94" s="5" t="str">
        <f t="shared" si="0"/>
        <v/>
      </c>
      <c r="E94" s="5" t="str">
        <f t="shared" ref="E94:F94" si="96">REPT("0",2-LEN(ROUNDDOWN(H94,0)))&amp;ROUNDDOWN(H94,0)&amp;":"&amp;REPT("0",2-LEN(((H94-ROUNDDOWN(H94,0))*60)))&amp;((H94-ROUNDDOWN(H94,0))*60)</f>
        <v>00:00</v>
      </c>
      <c r="F94" s="5" t="str">
        <f t="shared" si="96"/>
        <v>00:00</v>
      </c>
      <c r="G94" s="5" t="str">
        <f t="shared" si="90"/>
        <v>DAY OFF-LEBAK BULUS</v>
      </c>
      <c r="H94" s="5">
        <v>0</v>
      </c>
      <c r="I94" s="5">
        <v>0</v>
      </c>
      <c r="J94" s="5" t="str">
        <f t="shared" si="3"/>
        <v>BOD / Operation / Bagi Kopi - Lebak Bulus</v>
      </c>
      <c r="K94" s="5" t="b">
        <v>1</v>
      </c>
      <c r="L94" s="5" t="b">
        <v>0</v>
      </c>
      <c r="M94" s="5" t="b">
        <v>1</v>
      </c>
      <c r="V94" s="7"/>
      <c r="X94" s="7"/>
      <c r="Y94" s="7"/>
    </row>
    <row r="95" spans="1:25" x14ac:dyDescent="0.2">
      <c r="A95" s="5" t="s">
        <v>4</v>
      </c>
      <c r="B95" s="5" t="s">
        <v>47</v>
      </c>
      <c r="C95" s="5" t="s">
        <v>8</v>
      </c>
      <c r="D95" s="5" t="str">
        <f t="shared" si="0"/>
        <v>06:30 - 14:30</v>
      </c>
      <c r="E95" s="5" t="str">
        <f t="shared" ref="E95:F95" si="97">REPT("0",2-LEN(ROUNDDOWN(H95,0)))&amp;ROUNDDOWN(H95,0)&amp;":"&amp;REPT("0",2-LEN(((H95-ROUNDDOWN(H95,0))*60)))&amp;((H95-ROUNDDOWN(H95,0))*60)</f>
        <v>06:30</v>
      </c>
      <c r="F95" s="5" t="str">
        <f t="shared" si="97"/>
        <v>14:30</v>
      </c>
      <c r="G95" s="5" t="str">
        <f t="shared" si="90"/>
        <v>OPENING-LEBAK BULUS</v>
      </c>
      <c r="H95" s="5">
        <v>6.5</v>
      </c>
      <c r="I95" s="5">
        <v>14.5</v>
      </c>
      <c r="J95" s="5" t="str">
        <f t="shared" si="3"/>
        <v>BOD / Operation / Bagi Kopi - Lebak Bulus</v>
      </c>
      <c r="K95" s="5" t="b">
        <v>0</v>
      </c>
      <c r="L95" s="5" t="b">
        <v>0</v>
      </c>
      <c r="M95" s="5" t="b">
        <v>0</v>
      </c>
      <c r="V95" s="7"/>
      <c r="X95" s="7"/>
      <c r="Y95" s="7"/>
    </row>
    <row r="96" spans="1:25" x14ac:dyDescent="0.2">
      <c r="A96" s="5" t="s">
        <v>4</v>
      </c>
      <c r="B96" s="5" t="s">
        <v>47</v>
      </c>
      <c r="C96" s="5" t="s">
        <v>10</v>
      </c>
      <c r="D96" s="5" t="str">
        <f t="shared" si="0"/>
        <v>11:00 - 19:00</v>
      </c>
      <c r="E96" s="5" t="str">
        <f t="shared" ref="E96:F96" si="98">REPT("0",2-LEN(ROUNDDOWN(H96,0)))&amp;ROUNDDOWN(H96,0)&amp;":"&amp;REPT("0",2-LEN(((H96-ROUNDDOWN(H96,0))*60)))&amp;((H96-ROUNDDOWN(H96,0))*60)</f>
        <v>11:00</v>
      </c>
      <c r="F96" s="5" t="str">
        <f t="shared" si="98"/>
        <v>19:00</v>
      </c>
      <c r="G96" s="5" t="str">
        <f t="shared" si="90"/>
        <v>MIDDLE 1-LEBAK BULUS</v>
      </c>
      <c r="H96" s="5">
        <v>11</v>
      </c>
      <c r="I96" s="5">
        <v>19</v>
      </c>
      <c r="J96" s="5" t="str">
        <f t="shared" si="3"/>
        <v>BOD / Operation / Bagi Kopi - Lebak Bulus</v>
      </c>
      <c r="K96" s="5" t="b">
        <v>0</v>
      </c>
      <c r="L96" s="5" t="b">
        <v>0</v>
      </c>
      <c r="M96" s="5" t="b">
        <v>0</v>
      </c>
      <c r="V96" s="7"/>
      <c r="X96" s="7"/>
      <c r="Y96" s="7"/>
    </row>
    <row r="97" spans="1:25" x14ac:dyDescent="0.2">
      <c r="A97" s="5" t="s">
        <v>4</v>
      </c>
      <c r="B97" s="5" t="s">
        <v>47</v>
      </c>
      <c r="C97" s="5" t="s">
        <v>17</v>
      </c>
      <c r="D97" s="5" t="str">
        <f t="shared" si="0"/>
        <v>15:00 - 23:00</v>
      </c>
      <c r="E97" s="5" t="str">
        <f t="shared" ref="E97:F97" si="99">REPT("0",2-LEN(ROUNDDOWN(H97,0)))&amp;ROUNDDOWN(H97,0)&amp;":"&amp;REPT("0",2-LEN(((H97-ROUNDDOWN(H97,0))*60)))&amp;((H97-ROUNDDOWN(H97,0))*60)</f>
        <v>15:00</v>
      </c>
      <c r="F97" s="5" t="str">
        <f t="shared" si="99"/>
        <v>23:00</v>
      </c>
      <c r="G97" s="5" t="str">
        <f t="shared" si="90"/>
        <v>MIDDLE 2-LEBAK BULUS</v>
      </c>
      <c r="H97" s="5">
        <v>15</v>
      </c>
      <c r="I97" s="5">
        <v>23</v>
      </c>
      <c r="J97" s="5" t="str">
        <f t="shared" si="3"/>
        <v>BOD / Operation / Bagi Kopi - Lebak Bulus</v>
      </c>
      <c r="K97" s="5" t="b">
        <v>0</v>
      </c>
      <c r="L97" s="5" t="b">
        <v>0</v>
      </c>
      <c r="M97" s="5" t="b">
        <v>0</v>
      </c>
      <c r="V97" s="7"/>
      <c r="X97" s="7"/>
      <c r="Y97" s="7"/>
    </row>
    <row r="98" spans="1:25" x14ac:dyDescent="0.2">
      <c r="A98" s="5" t="s">
        <v>4</v>
      </c>
      <c r="B98" s="5" t="s">
        <v>47</v>
      </c>
      <c r="C98" s="5" t="s">
        <v>12</v>
      </c>
      <c r="D98" s="5" t="str">
        <f t="shared" si="0"/>
        <v>19:00 - 03:00</v>
      </c>
      <c r="E98" s="5" t="str">
        <f t="shared" ref="E98:F98" si="100">REPT("0",2-LEN(ROUNDDOWN(H98,0)))&amp;ROUNDDOWN(H98,0)&amp;":"&amp;REPT("0",2-LEN(((H98-ROUNDDOWN(H98,0))*60)))&amp;((H98-ROUNDDOWN(H98,0))*60)</f>
        <v>19:00</v>
      </c>
      <c r="F98" s="5" t="str">
        <f t="shared" si="100"/>
        <v>03:00</v>
      </c>
      <c r="G98" s="5" t="str">
        <f t="shared" si="90"/>
        <v>CLOSING-LEBAK BULUS</v>
      </c>
      <c r="H98" s="5">
        <v>19</v>
      </c>
      <c r="I98" s="5">
        <v>3</v>
      </c>
      <c r="J98" s="5" t="str">
        <f t="shared" si="3"/>
        <v>BOD / Operation / Bagi Kopi - Lebak Bulus</v>
      </c>
      <c r="K98" s="5" t="b">
        <v>0</v>
      </c>
      <c r="L98" s="5" t="b">
        <v>0</v>
      </c>
      <c r="M98" s="5" t="b">
        <v>0</v>
      </c>
      <c r="V98" s="7"/>
      <c r="X98" s="7"/>
      <c r="Y98" s="7"/>
    </row>
    <row r="99" spans="1:25" x14ac:dyDescent="0.2">
      <c r="A99" s="5" t="s">
        <v>14</v>
      </c>
      <c r="B99" s="5" t="s">
        <v>48</v>
      </c>
      <c r="C99" s="5" t="s">
        <v>6</v>
      </c>
      <c r="D99" s="5" t="str">
        <f t="shared" si="0"/>
        <v/>
      </c>
      <c r="E99" s="5" t="str">
        <f t="shared" ref="E99:F99" si="101">REPT("0",2-LEN(ROUNDDOWN(H99,0)))&amp;ROUNDDOWN(H99,0)&amp;":"&amp;REPT("0",2-LEN(((H99-ROUNDDOWN(H99,0))*60)))&amp;((H99-ROUNDDOWN(H99,0))*60)</f>
        <v>00:00</v>
      </c>
      <c r="F99" s="5" t="str">
        <f t="shared" si="101"/>
        <v>00:00</v>
      </c>
      <c r="G99" s="5" t="str">
        <f t="shared" si="90"/>
        <v>DAY OFF-LENTENG AGUNG</v>
      </c>
      <c r="H99" s="5">
        <v>0</v>
      </c>
      <c r="I99" s="5">
        <v>0</v>
      </c>
      <c r="J99" s="5" t="str">
        <f t="shared" si="3"/>
        <v>BOD / Operation / Bagi Kopi - Lenteng Agung</v>
      </c>
      <c r="K99" s="5" t="b">
        <v>1</v>
      </c>
      <c r="L99" s="5" t="b">
        <v>0</v>
      </c>
      <c r="M99" s="5" t="b">
        <v>1</v>
      </c>
      <c r="V99" s="7"/>
      <c r="X99" s="7"/>
      <c r="Y99" s="7"/>
    </row>
    <row r="100" spans="1:25" x14ac:dyDescent="0.2">
      <c r="A100" s="5" t="s">
        <v>14</v>
      </c>
      <c r="B100" s="5" t="s">
        <v>48</v>
      </c>
      <c r="C100" s="5" t="s">
        <v>8</v>
      </c>
      <c r="D100" s="5" t="str">
        <f t="shared" si="0"/>
        <v>06:30 - 15:00</v>
      </c>
      <c r="E100" s="5" t="str">
        <f t="shared" ref="E100:F100" si="102">REPT("0",2-LEN(ROUNDDOWN(H100,0)))&amp;ROUNDDOWN(H100,0)&amp;":"&amp;REPT("0",2-LEN(((H100-ROUNDDOWN(H100,0))*60)))&amp;((H100-ROUNDDOWN(H100,0))*60)</f>
        <v>06:30</v>
      </c>
      <c r="F100" s="5" t="str">
        <f t="shared" si="102"/>
        <v>15:00</v>
      </c>
      <c r="G100" s="5" t="str">
        <f t="shared" si="90"/>
        <v>OPENING-LENTENG AGUNG</v>
      </c>
      <c r="H100" s="5">
        <v>6.5</v>
      </c>
      <c r="I100" s="5">
        <v>15</v>
      </c>
      <c r="J100" s="5" t="str">
        <f t="shared" si="3"/>
        <v>BOD / Operation / Bagi Kopi - Lenteng Agung</v>
      </c>
      <c r="K100" s="5" t="b">
        <v>0</v>
      </c>
      <c r="L100" s="5" t="b">
        <v>0</v>
      </c>
      <c r="M100" s="5" t="b">
        <v>0</v>
      </c>
      <c r="V100" s="7"/>
      <c r="X100" s="7"/>
      <c r="Y100" s="7"/>
    </row>
    <row r="101" spans="1:25" x14ac:dyDescent="0.2">
      <c r="A101" s="5" t="s">
        <v>14</v>
      </c>
      <c r="B101" s="5" t="s">
        <v>48</v>
      </c>
      <c r="C101" s="5" t="s">
        <v>10</v>
      </c>
      <c r="D101" s="5" t="str">
        <f t="shared" si="0"/>
        <v>11:00 - 19:00</v>
      </c>
      <c r="E101" s="5" t="str">
        <f t="shared" ref="E101:F101" si="103">REPT("0",2-LEN(ROUNDDOWN(H101,0)))&amp;ROUNDDOWN(H101,0)&amp;":"&amp;REPT("0",2-LEN(((H101-ROUNDDOWN(H101,0))*60)))&amp;((H101-ROUNDDOWN(H101,0))*60)</f>
        <v>11:00</v>
      </c>
      <c r="F101" s="5" t="str">
        <f t="shared" si="103"/>
        <v>19:00</v>
      </c>
      <c r="G101" s="5" t="str">
        <f t="shared" si="90"/>
        <v>MIDDLE 1-LENTENG AGUNG</v>
      </c>
      <c r="H101" s="5">
        <v>11</v>
      </c>
      <c r="I101" s="5">
        <v>19</v>
      </c>
      <c r="J101" s="5" t="str">
        <f t="shared" si="3"/>
        <v>BOD / Operation / Bagi Kopi - Lenteng Agung</v>
      </c>
      <c r="K101" s="5" t="b">
        <v>0</v>
      </c>
      <c r="L101" s="5" t="b">
        <v>0</v>
      </c>
      <c r="M101" s="5" t="b">
        <v>0</v>
      </c>
      <c r="V101" s="7"/>
      <c r="X101" s="7"/>
      <c r="Y101" s="7"/>
    </row>
    <row r="102" spans="1:25" x14ac:dyDescent="0.2">
      <c r="A102" s="5" t="s">
        <v>14</v>
      </c>
      <c r="B102" s="5" t="s">
        <v>48</v>
      </c>
      <c r="C102" s="5" t="s">
        <v>17</v>
      </c>
      <c r="D102" s="5" t="str">
        <f t="shared" si="0"/>
        <v>15:00 - 23:00</v>
      </c>
      <c r="E102" s="5" t="str">
        <f t="shared" ref="E102:F102" si="104">REPT("0",2-LEN(ROUNDDOWN(H102,0)))&amp;ROUNDDOWN(H102,0)&amp;":"&amp;REPT("0",2-LEN(((H102-ROUNDDOWN(H102,0))*60)))&amp;((H102-ROUNDDOWN(H102,0))*60)</f>
        <v>15:00</v>
      </c>
      <c r="F102" s="5" t="str">
        <f t="shared" si="104"/>
        <v>23:00</v>
      </c>
      <c r="G102" s="5" t="str">
        <f t="shared" si="90"/>
        <v>MIDDLE 2-LENTENG AGUNG</v>
      </c>
      <c r="H102" s="5">
        <v>15</v>
      </c>
      <c r="I102" s="5">
        <v>23</v>
      </c>
      <c r="J102" s="5" t="str">
        <f t="shared" si="3"/>
        <v>BOD / Operation / Bagi Kopi - Lenteng Agung</v>
      </c>
      <c r="K102" s="5" t="b">
        <v>0</v>
      </c>
      <c r="L102" s="5" t="b">
        <v>0</v>
      </c>
      <c r="M102" s="5" t="b">
        <v>0</v>
      </c>
      <c r="V102" s="7"/>
      <c r="X102" s="7"/>
      <c r="Y102" s="7"/>
    </row>
    <row r="103" spans="1:25" x14ac:dyDescent="0.2">
      <c r="A103" s="5" t="s">
        <v>14</v>
      </c>
      <c r="B103" s="5" t="s">
        <v>48</v>
      </c>
      <c r="C103" s="5" t="s">
        <v>12</v>
      </c>
      <c r="D103" s="5" t="str">
        <f t="shared" si="0"/>
        <v>19:00 - 03:00</v>
      </c>
      <c r="E103" s="5" t="str">
        <f t="shared" ref="E103:F103" si="105">REPT("0",2-LEN(ROUNDDOWN(H103,0)))&amp;ROUNDDOWN(H103,0)&amp;":"&amp;REPT("0",2-LEN(((H103-ROUNDDOWN(H103,0))*60)))&amp;((H103-ROUNDDOWN(H103,0))*60)</f>
        <v>19:00</v>
      </c>
      <c r="F103" s="5" t="str">
        <f t="shared" si="105"/>
        <v>03:00</v>
      </c>
      <c r="G103" s="5" t="str">
        <f t="shared" si="90"/>
        <v>CLOSING-LENTENG AGUNG</v>
      </c>
      <c r="H103" s="5">
        <v>19</v>
      </c>
      <c r="I103" s="5">
        <v>3</v>
      </c>
      <c r="J103" s="5" t="str">
        <f t="shared" si="3"/>
        <v>BOD / Operation / Bagi Kopi - Lenteng Agung</v>
      </c>
      <c r="K103" s="5" t="b">
        <v>0</v>
      </c>
      <c r="L103" s="5" t="b">
        <v>0</v>
      </c>
      <c r="M103" s="5" t="b">
        <v>0</v>
      </c>
      <c r="V103" s="7"/>
      <c r="X103" s="7"/>
      <c r="Y103" s="7"/>
    </row>
    <row r="104" spans="1:25" x14ac:dyDescent="0.2">
      <c r="A104" s="5" t="s">
        <v>14</v>
      </c>
      <c r="B104" s="5" t="s">
        <v>49</v>
      </c>
      <c r="C104" s="5" t="s">
        <v>6</v>
      </c>
      <c r="D104" s="5" t="str">
        <f t="shared" si="0"/>
        <v/>
      </c>
      <c r="E104" s="5" t="str">
        <f t="shared" ref="E104:F104" si="106">REPT("0",2-LEN(ROUNDDOWN(H104,0)))&amp;ROUNDDOWN(H104,0)&amp;":"&amp;REPT("0",2-LEN(((H104-ROUNDDOWN(H104,0))*60)))&amp;((H104-ROUNDDOWN(H104,0))*60)</f>
        <v>00:00</v>
      </c>
      <c r="F104" s="5" t="str">
        <f t="shared" si="106"/>
        <v>00:00</v>
      </c>
      <c r="G104" s="5" t="str">
        <f t="shared" si="90"/>
        <v>DAY OFF-MARGONDA RAYA</v>
      </c>
      <c r="H104" s="5">
        <v>0</v>
      </c>
      <c r="I104" s="5">
        <v>0</v>
      </c>
      <c r="J104" s="5" t="str">
        <f t="shared" si="3"/>
        <v>BOD / Operation / Bagi Kopi - Margonda Raya</v>
      </c>
      <c r="K104" s="5" t="b">
        <v>1</v>
      </c>
      <c r="L104" s="5" t="b">
        <v>0</v>
      </c>
      <c r="M104" s="5" t="b">
        <v>0</v>
      </c>
      <c r="V104" s="7"/>
      <c r="X104" s="7"/>
      <c r="Y104" s="7"/>
    </row>
    <row r="105" spans="1:25" x14ac:dyDescent="0.2">
      <c r="A105" s="5" t="s">
        <v>14</v>
      </c>
      <c r="B105" s="5" t="s">
        <v>49</v>
      </c>
      <c r="C105" s="5" t="s">
        <v>8</v>
      </c>
      <c r="D105" s="5" t="str">
        <f t="shared" si="0"/>
        <v>06:30 - 15:00</v>
      </c>
      <c r="E105" s="5" t="str">
        <f t="shared" ref="E105:F105" si="107">REPT("0",2-LEN(ROUNDDOWN(H105,0)))&amp;ROUNDDOWN(H105,0)&amp;":"&amp;REPT("0",2-LEN(((H105-ROUNDDOWN(H105,0))*60)))&amp;((H105-ROUNDDOWN(H105,0))*60)</f>
        <v>06:30</v>
      </c>
      <c r="F105" s="5" t="str">
        <f t="shared" si="107"/>
        <v>15:00</v>
      </c>
      <c r="G105" s="5" t="str">
        <f t="shared" si="90"/>
        <v>OPENING-MARGONDA RAYA</v>
      </c>
      <c r="H105" s="5">
        <v>6.5</v>
      </c>
      <c r="I105" s="5">
        <v>15</v>
      </c>
      <c r="J105" s="5" t="str">
        <f t="shared" si="3"/>
        <v>BOD / Operation / Bagi Kopi - Margonda Raya</v>
      </c>
      <c r="K105" s="5" t="b">
        <v>0</v>
      </c>
      <c r="L105" s="5" t="b">
        <v>0</v>
      </c>
      <c r="M105" s="5" t="b">
        <v>0</v>
      </c>
      <c r="V105" s="7"/>
      <c r="X105" s="7"/>
      <c r="Y105" s="7"/>
    </row>
    <row r="106" spans="1:25" x14ac:dyDescent="0.2">
      <c r="A106" s="5" t="s">
        <v>14</v>
      </c>
      <c r="B106" s="5" t="s">
        <v>49</v>
      </c>
      <c r="C106" s="5" t="s">
        <v>10</v>
      </c>
      <c r="D106" s="5" t="str">
        <f t="shared" si="0"/>
        <v>12:00 - 20:00</v>
      </c>
      <c r="E106" s="5" t="str">
        <f t="shared" ref="E106:F106" si="108">REPT("0",2-LEN(ROUNDDOWN(H106,0)))&amp;ROUNDDOWN(H106,0)&amp;":"&amp;REPT("0",2-LEN(((H106-ROUNDDOWN(H106,0))*60)))&amp;((H106-ROUNDDOWN(H106,0))*60)</f>
        <v>12:00</v>
      </c>
      <c r="F106" s="5" t="str">
        <f t="shared" si="108"/>
        <v>20:00</v>
      </c>
      <c r="G106" s="5" t="str">
        <f t="shared" si="90"/>
        <v>MIDDLE 1-MARGONDA RAYA</v>
      </c>
      <c r="H106" s="5">
        <v>12</v>
      </c>
      <c r="I106" s="5">
        <v>20</v>
      </c>
      <c r="J106" s="5" t="str">
        <f t="shared" si="3"/>
        <v>BOD / Operation / Bagi Kopi - Margonda Raya</v>
      </c>
      <c r="K106" s="5" t="b">
        <v>0</v>
      </c>
      <c r="L106" s="5" t="b">
        <v>0</v>
      </c>
      <c r="M106" s="5" t="b">
        <v>0</v>
      </c>
      <c r="V106" s="7"/>
      <c r="X106" s="7"/>
      <c r="Y106" s="7"/>
    </row>
    <row r="107" spans="1:25" x14ac:dyDescent="0.2">
      <c r="A107" s="5" t="s">
        <v>14</v>
      </c>
      <c r="B107" s="5" t="s">
        <v>49</v>
      </c>
      <c r="C107" s="5" t="s">
        <v>12</v>
      </c>
      <c r="D107" s="5" t="str">
        <f t="shared" si="0"/>
        <v>16:00 - 00:00</v>
      </c>
      <c r="E107" s="5" t="str">
        <f t="shared" ref="E107:F107" si="109">REPT("0",2-LEN(ROUNDDOWN(H107,0)))&amp;ROUNDDOWN(H107,0)&amp;":"&amp;REPT("0",2-LEN(((H107-ROUNDDOWN(H107,0))*60)))&amp;((H107-ROUNDDOWN(H107,0))*60)</f>
        <v>16:00</v>
      </c>
      <c r="F107" s="5" t="str">
        <f t="shared" si="109"/>
        <v>00:00</v>
      </c>
      <c r="G107" s="5" t="str">
        <f t="shared" si="90"/>
        <v>CLOSING-MARGONDA RAYA</v>
      </c>
      <c r="H107" s="5">
        <v>16</v>
      </c>
      <c r="I107" s="5">
        <v>0</v>
      </c>
      <c r="J107" s="5" t="str">
        <f t="shared" si="3"/>
        <v>BOD / Operation / Bagi Kopi - Margonda Raya</v>
      </c>
      <c r="K107" s="5" t="b">
        <v>0</v>
      </c>
      <c r="L107" s="5" t="b">
        <v>0</v>
      </c>
      <c r="M107" s="5" t="b">
        <v>0</v>
      </c>
      <c r="V107" s="7"/>
      <c r="X107" s="7"/>
      <c r="Y107" s="7"/>
    </row>
    <row r="108" spans="1:25" x14ac:dyDescent="0.2">
      <c r="A108" s="5" t="s">
        <v>25</v>
      </c>
      <c r="B108" s="5" t="s">
        <v>51</v>
      </c>
      <c r="C108" s="5" t="s">
        <v>6</v>
      </c>
      <c r="D108" s="5" t="str">
        <f t="shared" si="0"/>
        <v/>
      </c>
      <c r="E108" s="5" t="str">
        <f t="shared" ref="E108:F108" si="110">REPT("0",2-LEN(ROUNDDOWN(H108,0)))&amp;ROUNDDOWN(H108,0)&amp;":"&amp;REPT("0",2-LEN(((H108-ROUNDDOWN(H108,0))*60)))&amp;((H108-ROUNDDOWN(H108,0))*60)</f>
        <v>00:00</v>
      </c>
      <c r="F108" s="5" t="str">
        <f t="shared" si="110"/>
        <v>00:00</v>
      </c>
      <c r="G108" s="5" t="str">
        <f t="shared" si="90"/>
        <v>DAY OFF-MARGOREJO</v>
      </c>
      <c r="H108" s="5">
        <v>0</v>
      </c>
      <c r="I108" s="5">
        <v>0</v>
      </c>
      <c r="J108" s="5" t="str">
        <f t="shared" si="3"/>
        <v>BOD / Operation / Bagi Kopi - Margorejo</v>
      </c>
      <c r="K108" s="5" t="b">
        <v>1</v>
      </c>
      <c r="L108" s="5" t="b">
        <v>0</v>
      </c>
      <c r="M108" s="5" t="b">
        <v>1</v>
      </c>
      <c r="V108" s="7"/>
      <c r="X108" s="7"/>
      <c r="Y108" s="7"/>
    </row>
    <row r="109" spans="1:25" x14ac:dyDescent="0.2">
      <c r="A109" s="5" t="s">
        <v>25</v>
      </c>
      <c r="B109" s="5" t="s">
        <v>51</v>
      </c>
      <c r="C109" s="5" t="s">
        <v>8</v>
      </c>
      <c r="D109" s="5" t="str">
        <f t="shared" si="0"/>
        <v>08:30 - 16:30</v>
      </c>
      <c r="E109" s="5" t="str">
        <f t="shared" ref="E109:F109" si="111">REPT("0",2-LEN(ROUNDDOWN(H109,0)))&amp;ROUNDDOWN(H109,0)&amp;":"&amp;REPT("0",2-LEN(((H109-ROUNDDOWN(H109,0))*60)))&amp;((H109-ROUNDDOWN(H109,0))*60)</f>
        <v>08:30</v>
      </c>
      <c r="F109" s="5" t="str">
        <f t="shared" si="111"/>
        <v>16:30</v>
      </c>
      <c r="G109" s="5" t="str">
        <f t="shared" si="90"/>
        <v>OPENING-MARGOREJO</v>
      </c>
      <c r="H109" s="5">
        <v>8.5</v>
      </c>
      <c r="I109" s="5">
        <v>16.5</v>
      </c>
      <c r="J109" s="5" t="str">
        <f t="shared" si="3"/>
        <v>BOD / Operation / Bagi Kopi - Margorejo</v>
      </c>
      <c r="K109" s="5" t="b">
        <v>0</v>
      </c>
      <c r="L109" s="5" t="b">
        <v>0</v>
      </c>
      <c r="M109" s="5" t="b">
        <v>0</v>
      </c>
      <c r="V109" s="7"/>
      <c r="X109" s="7"/>
      <c r="Y109" s="7"/>
    </row>
    <row r="110" spans="1:25" x14ac:dyDescent="0.2">
      <c r="A110" s="5" t="s">
        <v>25</v>
      </c>
      <c r="B110" s="5" t="s">
        <v>51</v>
      </c>
      <c r="C110" s="5" t="s">
        <v>10</v>
      </c>
      <c r="D110" s="5" t="str">
        <f t="shared" si="0"/>
        <v>12:00 - 20:00</v>
      </c>
      <c r="E110" s="5" t="str">
        <f t="shared" ref="E110:F110" si="112">REPT("0",2-LEN(ROUNDDOWN(H110,0)))&amp;ROUNDDOWN(H110,0)&amp;":"&amp;REPT("0",2-LEN(((H110-ROUNDDOWN(H110,0))*60)))&amp;((H110-ROUNDDOWN(H110,0))*60)</f>
        <v>12:00</v>
      </c>
      <c r="F110" s="5" t="str">
        <f t="shared" si="112"/>
        <v>20:00</v>
      </c>
      <c r="G110" s="5" t="str">
        <f t="shared" si="90"/>
        <v>MIDDLE 1-MARGOREJO</v>
      </c>
      <c r="H110" s="5">
        <v>12</v>
      </c>
      <c r="I110" s="5">
        <v>20</v>
      </c>
      <c r="J110" s="5" t="str">
        <f t="shared" si="3"/>
        <v>BOD / Operation / Bagi Kopi - Margorejo</v>
      </c>
      <c r="K110" s="5" t="b">
        <v>0</v>
      </c>
      <c r="L110" s="5" t="b">
        <v>0</v>
      </c>
      <c r="M110" s="5" t="b">
        <v>0</v>
      </c>
      <c r="V110" s="7"/>
      <c r="X110" s="7"/>
      <c r="Y110" s="7"/>
    </row>
    <row r="111" spans="1:25" x14ac:dyDescent="0.2">
      <c r="A111" s="5" t="s">
        <v>25</v>
      </c>
      <c r="B111" s="5" t="s">
        <v>51</v>
      </c>
      <c r="C111" s="5" t="s">
        <v>17</v>
      </c>
      <c r="D111" s="5" t="str">
        <f t="shared" si="0"/>
        <v>15:00 - 23:00</v>
      </c>
      <c r="E111" s="5" t="str">
        <f t="shared" ref="E111:F111" si="113">REPT("0",2-LEN(ROUNDDOWN(H111,0)))&amp;ROUNDDOWN(H111,0)&amp;":"&amp;REPT("0",2-LEN(((H111-ROUNDDOWN(H111,0))*60)))&amp;((H111-ROUNDDOWN(H111,0))*60)</f>
        <v>15:00</v>
      </c>
      <c r="F111" s="5" t="str">
        <f t="shared" si="113"/>
        <v>23:00</v>
      </c>
      <c r="G111" s="5" t="str">
        <f t="shared" si="90"/>
        <v>MIDDLE 2-MARGOREJO</v>
      </c>
      <c r="H111" s="5">
        <v>15</v>
      </c>
      <c r="I111" s="5">
        <v>23</v>
      </c>
      <c r="J111" s="5" t="str">
        <f t="shared" si="3"/>
        <v>BOD / Operation / Bagi Kopi - Margorejo</v>
      </c>
      <c r="K111" s="5" t="b">
        <v>0</v>
      </c>
      <c r="L111" s="5" t="b">
        <v>0</v>
      </c>
      <c r="M111" s="5" t="b">
        <v>0</v>
      </c>
      <c r="V111" s="7"/>
      <c r="X111" s="7"/>
      <c r="Y111" s="7"/>
    </row>
    <row r="112" spans="1:25" x14ac:dyDescent="0.2">
      <c r="A112" s="5" t="s">
        <v>25</v>
      </c>
      <c r="B112" s="5" t="s">
        <v>51</v>
      </c>
      <c r="C112" s="5" t="s">
        <v>12</v>
      </c>
      <c r="D112" s="5" t="str">
        <f t="shared" si="0"/>
        <v>18:00 - 02:00</v>
      </c>
      <c r="E112" s="5" t="str">
        <f t="shared" ref="E112:F112" si="114">REPT("0",2-LEN(ROUNDDOWN(H112,0)))&amp;ROUNDDOWN(H112,0)&amp;":"&amp;REPT("0",2-LEN(((H112-ROUNDDOWN(H112,0))*60)))&amp;((H112-ROUNDDOWN(H112,0))*60)</f>
        <v>18:00</v>
      </c>
      <c r="F112" s="5" t="str">
        <f t="shared" si="114"/>
        <v>02:00</v>
      </c>
      <c r="G112" s="5" t="str">
        <f t="shared" si="90"/>
        <v>CLOSING-MARGOREJO</v>
      </c>
      <c r="H112" s="5">
        <v>18</v>
      </c>
      <c r="I112" s="5">
        <v>2</v>
      </c>
      <c r="J112" s="5" t="str">
        <f t="shared" si="3"/>
        <v>BOD / Operation / Bagi Kopi - Margorejo</v>
      </c>
      <c r="K112" s="5" t="b">
        <v>0</v>
      </c>
      <c r="L112" s="5" t="b">
        <v>0</v>
      </c>
      <c r="M112" s="5" t="b">
        <v>0</v>
      </c>
      <c r="V112" s="7"/>
      <c r="X112" s="7"/>
      <c r="Y112" s="7"/>
    </row>
    <row r="113" spans="1:25" x14ac:dyDescent="0.2">
      <c r="A113" s="5" t="s">
        <v>14</v>
      </c>
      <c r="B113" s="5" t="s">
        <v>54</v>
      </c>
      <c r="C113" s="5" t="s">
        <v>6</v>
      </c>
      <c r="D113" s="5" t="str">
        <f t="shared" si="0"/>
        <v/>
      </c>
      <c r="E113" s="5" t="str">
        <f t="shared" ref="E113:F113" si="115">REPT("0",2-LEN(ROUNDDOWN(H113,0)))&amp;ROUNDDOWN(H113,0)&amp;":"&amp;REPT("0",2-LEN(((H113-ROUNDDOWN(H113,0))*60)))&amp;((H113-ROUNDDOWN(H113,0))*60)</f>
        <v>00:00</v>
      </c>
      <c r="F113" s="5" t="str">
        <f t="shared" si="115"/>
        <v>00:00</v>
      </c>
      <c r="G113" s="5" t="str">
        <f t="shared" si="90"/>
        <v>DAY OFF-MELONG</v>
      </c>
      <c r="H113" s="5">
        <v>0</v>
      </c>
      <c r="I113" s="5">
        <v>0</v>
      </c>
      <c r="J113" s="5" t="str">
        <f t="shared" si="3"/>
        <v>BOD / Operation / Bagi Kopi - Melong</v>
      </c>
      <c r="K113" s="5" t="b">
        <v>1</v>
      </c>
      <c r="L113" s="5" t="b">
        <v>0</v>
      </c>
      <c r="M113" s="5" t="b">
        <v>1</v>
      </c>
      <c r="V113" s="7"/>
      <c r="X113" s="7"/>
      <c r="Y113" s="7"/>
    </row>
    <row r="114" spans="1:25" x14ac:dyDescent="0.2">
      <c r="A114" s="5" t="s">
        <v>14</v>
      </c>
      <c r="B114" s="5" t="s">
        <v>54</v>
      </c>
      <c r="C114" s="5" t="s">
        <v>8</v>
      </c>
      <c r="D114" s="5" t="str">
        <f t="shared" si="0"/>
        <v>06:30 - 15:00</v>
      </c>
      <c r="E114" s="5" t="str">
        <f t="shared" ref="E114:F114" si="116">REPT("0",2-LEN(ROUNDDOWN(H114,0)))&amp;ROUNDDOWN(H114,0)&amp;":"&amp;REPT("0",2-LEN(((H114-ROUNDDOWN(H114,0))*60)))&amp;((H114-ROUNDDOWN(H114,0))*60)</f>
        <v>06:30</v>
      </c>
      <c r="F114" s="5" t="str">
        <f t="shared" si="116"/>
        <v>15:00</v>
      </c>
      <c r="G114" s="5" t="str">
        <f t="shared" si="90"/>
        <v>OPENING-MELONG</v>
      </c>
      <c r="H114" s="5">
        <v>6.5</v>
      </c>
      <c r="I114" s="5">
        <v>15</v>
      </c>
      <c r="J114" s="5" t="str">
        <f t="shared" si="3"/>
        <v>BOD / Operation / Bagi Kopi - Melong</v>
      </c>
      <c r="K114" s="5" t="b">
        <v>0</v>
      </c>
      <c r="L114" s="5" t="b">
        <v>0</v>
      </c>
      <c r="M114" s="5" t="b">
        <v>0</v>
      </c>
      <c r="V114" s="7"/>
      <c r="X114" s="7"/>
      <c r="Y114" s="7"/>
    </row>
    <row r="115" spans="1:25" x14ac:dyDescent="0.2">
      <c r="A115" s="5" t="s">
        <v>14</v>
      </c>
      <c r="B115" s="5" t="s">
        <v>54</v>
      </c>
      <c r="C115" s="5" t="s">
        <v>10</v>
      </c>
      <c r="D115" s="5" t="str">
        <f t="shared" si="0"/>
        <v>09:30 - 18:00</v>
      </c>
      <c r="E115" s="5" t="str">
        <f t="shared" ref="E115:F115" si="117">REPT("0",2-LEN(ROUNDDOWN(H115,0)))&amp;ROUNDDOWN(H115,0)&amp;":"&amp;REPT("0",2-LEN(((H115-ROUNDDOWN(H115,0))*60)))&amp;((H115-ROUNDDOWN(H115,0))*60)</f>
        <v>09:30</v>
      </c>
      <c r="F115" s="5" t="str">
        <f t="shared" si="117"/>
        <v>18:00</v>
      </c>
      <c r="G115" s="5" t="str">
        <f t="shared" si="90"/>
        <v>MIDDLE 1-MELONG</v>
      </c>
      <c r="H115" s="5">
        <v>9.5</v>
      </c>
      <c r="I115" s="5">
        <v>18</v>
      </c>
      <c r="J115" s="5" t="str">
        <f t="shared" si="3"/>
        <v>BOD / Operation / Bagi Kopi - Melong</v>
      </c>
      <c r="K115" s="5" t="b">
        <v>0</v>
      </c>
      <c r="L115" s="5" t="b">
        <v>0</v>
      </c>
      <c r="M115" s="5" t="b">
        <v>0</v>
      </c>
      <c r="V115" s="7"/>
      <c r="X115" s="7"/>
      <c r="Y115" s="7"/>
    </row>
    <row r="116" spans="1:25" x14ac:dyDescent="0.2">
      <c r="A116" s="5" t="s">
        <v>14</v>
      </c>
      <c r="B116" s="5" t="s">
        <v>54</v>
      </c>
      <c r="C116" s="5" t="s">
        <v>17</v>
      </c>
      <c r="D116" s="5" t="str">
        <f t="shared" si="0"/>
        <v>15:00 - 23:00</v>
      </c>
      <c r="E116" s="5" t="str">
        <f t="shared" ref="E116:F116" si="118">REPT("0",2-LEN(ROUNDDOWN(H116,0)))&amp;ROUNDDOWN(H116,0)&amp;":"&amp;REPT("0",2-LEN(((H116-ROUNDDOWN(H116,0))*60)))&amp;((H116-ROUNDDOWN(H116,0))*60)</f>
        <v>15:00</v>
      </c>
      <c r="F116" s="5" t="str">
        <f t="shared" si="118"/>
        <v>23:00</v>
      </c>
      <c r="G116" s="5" t="str">
        <f t="shared" si="90"/>
        <v>MIDDLE 2-MELONG</v>
      </c>
      <c r="H116" s="5">
        <v>15</v>
      </c>
      <c r="I116" s="5">
        <v>23</v>
      </c>
      <c r="J116" s="5" t="str">
        <f t="shared" si="3"/>
        <v>BOD / Operation / Bagi Kopi - Melong</v>
      </c>
      <c r="K116" s="5" t="b">
        <v>0</v>
      </c>
      <c r="L116" s="5" t="b">
        <v>0</v>
      </c>
      <c r="M116" s="5" t="b">
        <v>0</v>
      </c>
      <c r="V116" s="7"/>
      <c r="X116" s="7"/>
      <c r="Y116" s="7"/>
    </row>
    <row r="117" spans="1:25" x14ac:dyDescent="0.2">
      <c r="A117" s="5" t="s">
        <v>14</v>
      </c>
      <c r="B117" s="5" t="s">
        <v>54</v>
      </c>
      <c r="C117" s="5" t="s">
        <v>12</v>
      </c>
      <c r="D117" s="5" t="str">
        <f t="shared" si="0"/>
        <v>19:00 - 03:00</v>
      </c>
      <c r="E117" s="5" t="str">
        <f t="shared" ref="E117:F117" si="119">REPT("0",2-LEN(ROUNDDOWN(H117,0)))&amp;ROUNDDOWN(H117,0)&amp;":"&amp;REPT("0",2-LEN(((H117-ROUNDDOWN(H117,0))*60)))&amp;((H117-ROUNDDOWN(H117,0))*60)</f>
        <v>19:00</v>
      </c>
      <c r="F117" s="5" t="str">
        <f t="shared" si="119"/>
        <v>03:00</v>
      </c>
      <c r="G117" s="5" t="str">
        <f t="shared" si="90"/>
        <v>CLOSING-MELONG</v>
      </c>
      <c r="H117" s="5">
        <v>19</v>
      </c>
      <c r="I117" s="5">
        <v>3</v>
      </c>
      <c r="J117" s="5" t="str">
        <f t="shared" si="3"/>
        <v>BOD / Operation / Bagi Kopi - Melong</v>
      </c>
      <c r="K117" s="5" t="b">
        <v>0</v>
      </c>
      <c r="L117" s="5" t="b">
        <v>0</v>
      </c>
      <c r="M117" s="5" t="b">
        <v>0</v>
      </c>
      <c r="V117" s="7"/>
      <c r="X117" s="7"/>
      <c r="Y117" s="7"/>
    </row>
    <row r="118" spans="1:25" x14ac:dyDescent="0.2">
      <c r="A118" s="5" t="s">
        <v>14</v>
      </c>
      <c r="B118" s="5" t="s">
        <v>55</v>
      </c>
      <c r="C118" s="5" t="s">
        <v>6</v>
      </c>
      <c r="D118" s="5" t="str">
        <f t="shared" si="0"/>
        <v/>
      </c>
      <c r="E118" s="5" t="str">
        <f t="shared" ref="E118:F118" si="120">REPT("0",2-LEN(ROUNDDOWN(H118,0)))&amp;ROUNDDOWN(H118,0)&amp;":"&amp;REPT("0",2-LEN(((H118-ROUNDDOWN(H118,0))*60)))&amp;((H118-ROUNDDOWN(H118,0))*60)</f>
        <v>00:00</v>
      </c>
      <c r="F118" s="5" t="str">
        <f t="shared" si="120"/>
        <v>00:00</v>
      </c>
      <c r="G118" s="5" t="str">
        <f t="shared" si="90"/>
        <v>DAY OFF-METRO</v>
      </c>
      <c r="H118" s="5">
        <v>0</v>
      </c>
      <c r="I118" s="5">
        <v>0</v>
      </c>
      <c r="J118" s="5" t="str">
        <f t="shared" si="3"/>
        <v>BOD / Operation / Bagi Kopi - Metro</v>
      </c>
      <c r="K118" s="5" t="b">
        <v>1</v>
      </c>
      <c r="L118" s="5" t="b">
        <v>0</v>
      </c>
      <c r="M118" s="5" t="b">
        <v>1</v>
      </c>
      <c r="V118" s="7"/>
      <c r="X118" s="7"/>
      <c r="Y118" s="7"/>
    </row>
    <row r="119" spans="1:25" x14ac:dyDescent="0.2">
      <c r="A119" s="5" t="s">
        <v>14</v>
      </c>
      <c r="B119" s="5" t="s">
        <v>55</v>
      </c>
      <c r="C119" s="5" t="s">
        <v>8</v>
      </c>
      <c r="D119" s="5" t="str">
        <f t="shared" si="0"/>
        <v>06:30 - 15:00</v>
      </c>
      <c r="E119" s="5" t="str">
        <f t="shared" ref="E119:F119" si="121">REPT("0",2-LEN(ROUNDDOWN(H119,0)))&amp;ROUNDDOWN(H119,0)&amp;":"&amp;REPT("0",2-LEN(((H119-ROUNDDOWN(H119,0))*60)))&amp;((H119-ROUNDDOWN(H119,0))*60)</f>
        <v>06:30</v>
      </c>
      <c r="F119" s="5" t="str">
        <f t="shared" si="121"/>
        <v>15:00</v>
      </c>
      <c r="G119" s="5" t="str">
        <f t="shared" si="90"/>
        <v>OPENING-METRO</v>
      </c>
      <c r="H119" s="5">
        <v>6.5</v>
      </c>
      <c r="I119" s="5">
        <v>15</v>
      </c>
      <c r="J119" s="5" t="str">
        <f t="shared" si="3"/>
        <v>BOD / Operation / Bagi Kopi - Metro</v>
      </c>
      <c r="K119" s="5" t="b">
        <v>0</v>
      </c>
      <c r="L119" s="5" t="b">
        <v>0</v>
      </c>
      <c r="M119" s="5" t="b">
        <v>0</v>
      </c>
      <c r="V119" s="7"/>
      <c r="X119" s="7"/>
      <c r="Y119" s="7"/>
    </row>
    <row r="120" spans="1:25" x14ac:dyDescent="0.2">
      <c r="A120" s="5" t="s">
        <v>14</v>
      </c>
      <c r="B120" s="5" t="s">
        <v>55</v>
      </c>
      <c r="C120" s="5" t="s">
        <v>10</v>
      </c>
      <c r="D120" s="5" t="str">
        <f t="shared" si="0"/>
        <v>09:30 - 18:00</v>
      </c>
      <c r="E120" s="5" t="str">
        <f t="shared" ref="E120:F120" si="122">REPT("0",2-LEN(ROUNDDOWN(H120,0)))&amp;ROUNDDOWN(H120,0)&amp;":"&amp;REPT("0",2-LEN(((H120-ROUNDDOWN(H120,0))*60)))&amp;((H120-ROUNDDOWN(H120,0))*60)</f>
        <v>09:30</v>
      </c>
      <c r="F120" s="5" t="str">
        <f t="shared" si="122"/>
        <v>18:00</v>
      </c>
      <c r="G120" s="5" t="str">
        <f t="shared" si="90"/>
        <v>MIDDLE 1-METRO</v>
      </c>
      <c r="H120" s="5">
        <v>9.5</v>
      </c>
      <c r="I120" s="5">
        <v>18</v>
      </c>
      <c r="J120" s="5" t="str">
        <f t="shared" si="3"/>
        <v>BOD / Operation / Bagi Kopi - Metro</v>
      </c>
      <c r="K120" s="5" t="b">
        <v>0</v>
      </c>
      <c r="L120" s="5" t="b">
        <v>0</v>
      </c>
      <c r="M120" s="5" t="b">
        <v>0</v>
      </c>
      <c r="V120" s="7"/>
      <c r="X120" s="7"/>
      <c r="Y120" s="7"/>
    </row>
    <row r="121" spans="1:25" x14ac:dyDescent="0.2">
      <c r="A121" s="5" t="s">
        <v>14</v>
      </c>
      <c r="B121" s="5" t="s">
        <v>55</v>
      </c>
      <c r="C121" s="5" t="s">
        <v>17</v>
      </c>
      <c r="D121" s="5" t="str">
        <f t="shared" si="0"/>
        <v>15:00 - 23:00</v>
      </c>
      <c r="E121" s="5" t="str">
        <f t="shared" ref="E121:F121" si="123">REPT("0",2-LEN(ROUNDDOWN(H121,0)))&amp;ROUNDDOWN(H121,0)&amp;":"&amp;REPT("0",2-LEN(((H121-ROUNDDOWN(H121,0))*60)))&amp;((H121-ROUNDDOWN(H121,0))*60)</f>
        <v>15:00</v>
      </c>
      <c r="F121" s="5" t="str">
        <f t="shared" si="123"/>
        <v>23:00</v>
      </c>
      <c r="G121" s="5" t="str">
        <f t="shared" si="90"/>
        <v>MIDDLE 2-METRO</v>
      </c>
      <c r="H121" s="5">
        <v>15</v>
      </c>
      <c r="I121" s="5">
        <v>23</v>
      </c>
      <c r="J121" s="5" t="str">
        <f t="shared" si="3"/>
        <v>BOD / Operation / Bagi Kopi - Metro</v>
      </c>
      <c r="K121" s="5" t="b">
        <v>0</v>
      </c>
      <c r="L121" s="5" t="b">
        <v>0</v>
      </c>
      <c r="M121" s="5" t="b">
        <v>0</v>
      </c>
      <c r="V121" s="7"/>
      <c r="X121" s="7"/>
      <c r="Y121" s="7"/>
    </row>
    <row r="122" spans="1:25" x14ac:dyDescent="0.2">
      <c r="A122" s="5" t="s">
        <v>14</v>
      </c>
      <c r="B122" s="5" t="s">
        <v>55</v>
      </c>
      <c r="C122" s="5" t="s">
        <v>12</v>
      </c>
      <c r="D122" s="5" t="str">
        <f t="shared" si="0"/>
        <v>19:00 - 03:00</v>
      </c>
      <c r="E122" s="5" t="str">
        <f t="shared" ref="E122:F122" si="124">REPT("0",2-LEN(ROUNDDOWN(H122,0)))&amp;ROUNDDOWN(H122,0)&amp;":"&amp;REPT("0",2-LEN(((H122-ROUNDDOWN(H122,0))*60)))&amp;((H122-ROUNDDOWN(H122,0))*60)</f>
        <v>19:00</v>
      </c>
      <c r="F122" s="5" t="str">
        <f t="shared" si="124"/>
        <v>03:00</v>
      </c>
      <c r="G122" s="5" t="str">
        <f t="shared" si="90"/>
        <v>CLOSING-METRO</v>
      </c>
      <c r="H122" s="5">
        <v>19</v>
      </c>
      <c r="I122" s="5">
        <v>3</v>
      </c>
      <c r="J122" s="5" t="str">
        <f t="shared" si="3"/>
        <v>BOD / Operation / Bagi Kopi - Metro</v>
      </c>
      <c r="K122" s="5" t="b">
        <v>0</v>
      </c>
      <c r="L122" s="5" t="b">
        <v>0</v>
      </c>
      <c r="M122" s="5" t="b">
        <v>0</v>
      </c>
      <c r="V122" s="7"/>
      <c r="X122" s="7"/>
      <c r="Y122" s="7"/>
    </row>
    <row r="123" spans="1:25" x14ac:dyDescent="0.2">
      <c r="A123" s="5" t="s">
        <v>4</v>
      </c>
      <c r="B123" s="5" t="s">
        <v>56</v>
      </c>
      <c r="C123" s="5" t="s">
        <v>6</v>
      </c>
      <c r="D123" s="5" t="str">
        <f t="shared" si="0"/>
        <v/>
      </c>
      <c r="E123" s="5" t="str">
        <f t="shared" ref="E123:F123" si="125">REPT("0",2-LEN(ROUNDDOWN(H123,0)))&amp;ROUNDDOWN(H123,0)&amp;":"&amp;REPT("0",2-LEN(((H123-ROUNDDOWN(H123,0))*60)))&amp;((H123-ROUNDDOWN(H123,0))*60)</f>
        <v>00:00</v>
      </c>
      <c r="F123" s="5" t="str">
        <f t="shared" si="125"/>
        <v>00:00</v>
      </c>
      <c r="G123" s="5" t="str">
        <f t="shared" si="90"/>
        <v>DAY OFF-PAMULANG</v>
      </c>
      <c r="H123" s="5">
        <v>0</v>
      </c>
      <c r="I123" s="5">
        <v>0</v>
      </c>
      <c r="J123" s="5" t="str">
        <f t="shared" si="3"/>
        <v>BOD / Operation / Bagi Kopi - Pamulang</v>
      </c>
      <c r="K123" s="5" t="b">
        <v>1</v>
      </c>
      <c r="L123" s="5" t="b">
        <v>0</v>
      </c>
      <c r="M123" s="5" t="b">
        <v>1</v>
      </c>
      <c r="V123" s="7"/>
      <c r="X123" s="7"/>
      <c r="Y123" s="7"/>
    </row>
    <row r="124" spans="1:25" x14ac:dyDescent="0.2">
      <c r="A124" s="5" t="s">
        <v>4</v>
      </c>
      <c r="B124" s="5" t="s">
        <v>56</v>
      </c>
      <c r="C124" s="5" t="s">
        <v>8</v>
      </c>
      <c r="D124" s="5" t="str">
        <f t="shared" si="0"/>
        <v>06:30 - 14:30</v>
      </c>
      <c r="E124" s="5" t="str">
        <f t="shared" ref="E124:F124" si="126">REPT("0",2-LEN(ROUNDDOWN(H124,0)))&amp;ROUNDDOWN(H124,0)&amp;":"&amp;REPT("0",2-LEN(((H124-ROUNDDOWN(H124,0))*60)))&amp;((H124-ROUNDDOWN(H124,0))*60)</f>
        <v>06:30</v>
      </c>
      <c r="F124" s="5" t="str">
        <f t="shared" si="126"/>
        <v>14:30</v>
      </c>
      <c r="G124" s="5" t="str">
        <f t="shared" si="90"/>
        <v>OPENING-PAMULANG</v>
      </c>
      <c r="H124" s="5">
        <v>6.5</v>
      </c>
      <c r="I124" s="5">
        <v>14.5</v>
      </c>
      <c r="J124" s="5" t="str">
        <f t="shared" si="3"/>
        <v>BOD / Operation / Bagi Kopi - Pamulang</v>
      </c>
      <c r="K124" s="5" t="b">
        <v>0</v>
      </c>
      <c r="L124" s="5" t="b">
        <v>0</v>
      </c>
      <c r="M124" s="5" t="b">
        <v>0</v>
      </c>
      <c r="V124" s="7"/>
      <c r="X124" s="7"/>
      <c r="Y124" s="7"/>
    </row>
    <row r="125" spans="1:25" x14ac:dyDescent="0.2">
      <c r="A125" s="5" t="s">
        <v>4</v>
      </c>
      <c r="B125" s="5" t="s">
        <v>56</v>
      </c>
      <c r="C125" s="5" t="s">
        <v>10</v>
      </c>
      <c r="D125" s="5" t="str">
        <f t="shared" si="0"/>
        <v>11:00 - 19:00</v>
      </c>
      <c r="E125" s="5" t="str">
        <f t="shared" ref="E125:F125" si="127">REPT("0",2-LEN(ROUNDDOWN(H125,0)))&amp;ROUNDDOWN(H125,0)&amp;":"&amp;REPT("0",2-LEN(((H125-ROUNDDOWN(H125,0))*60)))&amp;((H125-ROUNDDOWN(H125,0))*60)</f>
        <v>11:00</v>
      </c>
      <c r="F125" s="5" t="str">
        <f t="shared" si="127"/>
        <v>19:00</v>
      </c>
      <c r="G125" s="5" t="str">
        <f t="shared" si="90"/>
        <v>MIDDLE 1-PAMULANG</v>
      </c>
      <c r="H125" s="5">
        <v>11</v>
      </c>
      <c r="I125" s="5">
        <v>19</v>
      </c>
      <c r="J125" s="5" t="str">
        <f t="shared" si="3"/>
        <v>BOD / Operation / Bagi Kopi - Pamulang</v>
      </c>
      <c r="K125" s="5" t="b">
        <v>0</v>
      </c>
      <c r="L125" s="5" t="b">
        <v>0</v>
      </c>
      <c r="M125" s="5" t="b">
        <v>0</v>
      </c>
      <c r="V125" s="7"/>
      <c r="X125" s="7"/>
      <c r="Y125" s="7"/>
    </row>
    <row r="126" spans="1:25" x14ac:dyDescent="0.2">
      <c r="A126" s="5" t="s">
        <v>4</v>
      </c>
      <c r="B126" s="5" t="s">
        <v>56</v>
      </c>
      <c r="C126" s="5" t="s">
        <v>17</v>
      </c>
      <c r="D126" s="5" t="str">
        <f t="shared" si="0"/>
        <v>15:00 - 23:00</v>
      </c>
      <c r="E126" s="5" t="str">
        <f t="shared" ref="E126:F126" si="128">REPT("0",2-LEN(ROUNDDOWN(H126,0)))&amp;ROUNDDOWN(H126,0)&amp;":"&amp;REPT("0",2-LEN(((H126-ROUNDDOWN(H126,0))*60)))&amp;((H126-ROUNDDOWN(H126,0))*60)</f>
        <v>15:00</v>
      </c>
      <c r="F126" s="5" t="str">
        <f t="shared" si="128"/>
        <v>23:00</v>
      </c>
      <c r="G126" s="5" t="str">
        <f t="shared" si="90"/>
        <v>MIDDLE 2-PAMULANG</v>
      </c>
      <c r="H126" s="5">
        <v>15</v>
      </c>
      <c r="I126" s="5">
        <v>23</v>
      </c>
      <c r="J126" s="5" t="str">
        <f t="shared" si="3"/>
        <v>BOD / Operation / Bagi Kopi - Pamulang</v>
      </c>
      <c r="K126" s="5" t="b">
        <v>0</v>
      </c>
      <c r="L126" s="5" t="b">
        <v>0</v>
      </c>
      <c r="M126" s="5" t="b">
        <v>0</v>
      </c>
      <c r="V126" s="7"/>
      <c r="X126" s="7"/>
      <c r="Y126" s="7"/>
    </row>
    <row r="127" spans="1:25" x14ac:dyDescent="0.2">
      <c r="A127" s="5" t="s">
        <v>4</v>
      </c>
      <c r="B127" s="5" t="s">
        <v>56</v>
      </c>
      <c r="C127" s="5" t="s">
        <v>12</v>
      </c>
      <c r="D127" s="5" t="str">
        <f t="shared" si="0"/>
        <v>19:00 - 03:00</v>
      </c>
      <c r="E127" s="5" t="str">
        <f t="shared" ref="E127:F127" si="129">REPT("0",2-LEN(ROUNDDOWN(H127,0)))&amp;ROUNDDOWN(H127,0)&amp;":"&amp;REPT("0",2-LEN(((H127-ROUNDDOWN(H127,0))*60)))&amp;((H127-ROUNDDOWN(H127,0))*60)</f>
        <v>19:00</v>
      </c>
      <c r="F127" s="5" t="str">
        <f t="shared" si="129"/>
        <v>03:00</v>
      </c>
      <c r="G127" s="5" t="str">
        <f t="shared" si="90"/>
        <v>CLOSING-PAMULANG</v>
      </c>
      <c r="H127" s="5">
        <v>19</v>
      </c>
      <c r="I127" s="5">
        <v>3</v>
      </c>
      <c r="J127" s="5" t="str">
        <f t="shared" si="3"/>
        <v>BOD / Operation / Bagi Kopi - Pamulang</v>
      </c>
      <c r="K127" s="5" t="b">
        <v>0</v>
      </c>
      <c r="L127" s="5" t="b">
        <v>0</v>
      </c>
      <c r="M127" s="5" t="b">
        <v>0</v>
      </c>
      <c r="V127" s="7"/>
      <c r="X127" s="7"/>
      <c r="Y127" s="7"/>
    </row>
    <row r="128" spans="1:25" x14ac:dyDescent="0.2">
      <c r="A128" s="5" t="s">
        <v>14</v>
      </c>
      <c r="B128" s="5" t="s">
        <v>57</v>
      </c>
      <c r="C128" s="5" t="s">
        <v>6</v>
      </c>
      <c r="D128" s="5" t="str">
        <f t="shared" si="0"/>
        <v/>
      </c>
      <c r="E128" s="5" t="str">
        <f t="shared" ref="E128:F128" si="130">REPT("0",2-LEN(ROUNDDOWN(H128,0)))&amp;ROUNDDOWN(H128,0)&amp;":"&amp;REPT("0",2-LEN(((H128-ROUNDDOWN(H128,0))*60)))&amp;((H128-ROUNDDOWN(H128,0))*60)</f>
        <v>00:00</v>
      </c>
      <c r="F128" s="5" t="str">
        <f t="shared" si="130"/>
        <v>00:00</v>
      </c>
      <c r="G128" s="5" t="str">
        <f t="shared" si="90"/>
        <v>DAY OFF-PEKAYON</v>
      </c>
      <c r="H128" s="5">
        <v>0</v>
      </c>
      <c r="I128" s="5">
        <v>0</v>
      </c>
      <c r="J128" s="5" t="str">
        <f t="shared" si="3"/>
        <v>BOD / Operation / Bagi Kopi - Pekayon</v>
      </c>
      <c r="K128" s="5" t="b">
        <v>1</v>
      </c>
      <c r="L128" s="5" t="b">
        <v>0</v>
      </c>
      <c r="M128" s="5" t="b">
        <v>0</v>
      </c>
      <c r="V128" s="7"/>
      <c r="X128" s="7"/>
      <c r="Y128" s="7"/>
    </row>
    <row r="129" spans="1:25" x14ac:dyDescent="0.2">
      <c r="A129" s="5" t="s">
        <v>14</v>
      </c>
      <c r="B129" s="5" t="s">
        <v>57</v>
      </c>
      <c r="C129" s="5" t="s">
        <v>8</v>
      </c>
      <c r="D129" s="5" t="str">
        <f t="shared" si="0"/>
        <v>06:30 - 15:00</v>
      </c>
      <c r="E129" s="5" t="str">
        <f t="shared" ref="E129:F129" si="131">REPT("0",2-LEN(ROUNDDOWN(H129,0)))&amp;ROUNDDOWN(H129,0)&amp;":"&amp;REPT("0",2-LEN(((H129-ROUNDDOWN(H129,0))*60)))&amp;((H129-ROUNDDOWN(H129,0))*60)</f>
        <v>06:30</v>
      </c>
      <c r="F129" s="5" t="str">
        <f t="shared" si="131"/>
        <v>15:00</v>
      </c>
      <c r="G129" s="5" t="str">
        <f t="shared" si="90"/>
        <v>OPENING-PEKAYON</v>
      </c>
      <c r="H129" s="5">
        <v>6.5</v>
      </c>
      <c r="I129" s="5">
        <v>15</v>
      </c>
      <c r="J129" s="5" t="str">
        <f t="shared" si="3"/>
        <v>BOD / Operation / Bagi Kopi - Pekayon</v>
      </c>
      <c r="K129" s="5" t="b">
        <v>0</v>
      </c>
      <c r="L129" s="5" t="b">
        <v>0</v>
      </c>
      <c r="M129" s="5" t="b">
        <v>0</v>
      </c>
      <c r="V129" s="7"/>
      <c r="X129" s="7"/>
      <c r="Y129" s="7"/>
    </row>
    <row r="130" spans="1:25" x14ac:dyDescent="0.2">
      <c r="A130" s="5" t="s">
        <v>14</v>
      </c>
      <c r="B130" s="5" t="s">
        <v>57</v>
      </c>
      <c r="C130" s="5" t="s">
        <v>10</v>
      </c>
      <c r="D130" s="5" t="str">
        <f t="shared" si="0"/>
        <v>11:00 - 19:00</v>
      </c>
      <c r="E130" s="5" t="str">
        <f t="shared" ref="E130:F130" si="132">REPT("0",2-LEN(ROUNDDOWN(H130,0)))&amp;ROUNDDOWN(H130,0)&amp;":"&amp;REPT("0",2-LEN(((H130-ROUNDDOWN(H130,0))*60)))&amp;((H130-ROUNDDOWN(H130,0))*60)</f>
        <v>11:00</v>
      </c>
      <c r="F130" s="5" t="str">
        <f t="shared" si="132"/>
        <v>19:00</v>
      </c>
      <c r="G130" s="5" t="str">
        <f t="shared" si="90"/>
        <v>MIDDLE 1-PEKAYON</v>
      </c>
      <c r="H130" s="5">
        <v>11</v>
      </c>
      <c r="I130" s="5">
        <v>19</v>
      </c>
      <c r="J130" s="5" t="str">
        <f t="shared" si="3"/>
        <v>BOD / Operation / Bagi Kopi - Pekayon</v>
      </c>
      <c r="K130" s="5" t="b">
        <v>0</v>
      </c>
      <c r="L130" s="5" t="b">
        <v>0</v>
      </c>
      <c r="M130" s="5" t="b">
        <v>0</v>
      </c>
      <c r="V130" s="7"/>
      <c r="X130" s="7"/>
      <c r="Y130" s="7"/>
    </row>
    <row r="131" spans="1:25" x14ac:dyDescent="0.2">
      <c r="A131" s="5" t="s">
        <v>14</v>
      </c>
      <c r="B131" s="5" t="s">
        <v>57</v>
      </c>
      <c r="C131" s="5" t="s">
        <v>17</v>
      </c>
      <c r="D131" s="5" t="str">
        <f t="shared" si="0"/>
        <v>15:00 - 23:00</v>
      </c>
      <c r="E131" s="5" t="str">
        <f t="shared" ref="E131:F131" si="133">REPT("0",2-LEN(ROUNDDOWN(H131,0)))&amp;ROUNDDOWN(H131,0)&amp;":"&amp;REPT("0",2-LEN(((H131-ROUNDDOWN(H131,0))*60)))&amp;((H131-ROUNDDOWN(H131,0))*60)</f>
        <v>15:00</v>
      </c>
      <c r="F131" s="5" t="str">
        <f t="shared" si="133"/>
        <v>23:00</v>
      </c>
      <c r="G131" s="5" t="str">
        <f t="shared" si="90"/>
        <v>MIDDLE 2-PEKAYON</v>
      </c>
      <c r="H131" s="5">
        <v>15</v>
      </c>
      <c r="I131" s="5">
        <v>23</v>
      </c>
      <c r="J131" s="5" t="str">
        <f t="shared" si="3"/>
        <v>BOD / Operation / Bagi Kopi - Pekayon</v>
      </c>
      <c r="K131" s="5" t="b">
        <v>0</v>
      </c>
      <c r="L131" s="5" t="b">
        <v>0</v>
      </c>
      <c r="M131" s="5" t="b">
        <v>0</v>
      </c>
      <c r="V131" s="7"/>
      <c r="X131" s="7"/>
      <c r="Y131" s="7"/>
    </row>
    <row r="132" spans="1:25" x14ac:dyDescent="0.2">
      <c r="A132" s="5" t="s">
        <v>14</v>
      </c>
      <c r="B132" s="5" t="s">
        <v>57</v>
      </c>
      <c r="C132" s="5" t="s">
        <v>12</v>
      </c>
      <c r="D132" s="5" t="str">
        <f t="shared" si="0"/>
        <v>19:00 - 03:00</v>
      </c>
      <c r="E132" s="5" t="str">
        <f t="shared" ref="E132:F132" si="134">REPT("0",2-LEN(ROUNDDOWN(H132,0)))&amp;ROUNDDOWN(H132,0)&amp;":"&amp;REPT("0",2-LEN(((H132-ROUNDDOWN(H132,0))*60)))&amp;((H132-ROUNDDOWN(H132,0))*60)</f>
        <v>19:00</v>
      </c>
      <c r="F132" s="5" t="str">
        <f t="shared" si="134"/>
        <v>03:00</v>
      </c>
      <c r="G132" s="5" t="str">
        <f t="shared" si="90"/>
        <v>CLOSING-PEKAYON</v>
      </c>
      <c r="H132" s="5">
        <v>19</v>
      </c>
      <c r="I132" s="5">
        <v>3</v>
      </c>
      <c r="J132" s="5" t="str">
        <f t="shared" si="3"/>
        <v>BOD / Operation / Bagi Kopi - Pekayon</v>
      </c>
      <c r="K132" s="5" t="b">
        <v>0</v>
      </c>
      <c r="L132" s="5" t="b">
        <v>0</v>
      </c>
      <c r="M132" s="5" t="b">
        <v>0</v>
      </c>
      <c r="V132" s="7"/>
      <c r="X132" s="7"/>
      <c r="Y132" s="7"/>
    </row>
    <row r="133" spans="1:25" x14ac:dyDescent="0.2">
      <c r="A133" s="5" t="s">
        <v>4</v>
      </c>
      <c r="B133" s="5" t="s">
        <v>58</v>
      </c>
      <c r="C133" s="5" t="s">
        <v>6</v>
      </c>
      <c r="D133" s="5" t="str">
        <f t="shared" si="0"/>
        <v/>
      </c>
      <c r="E133" s="5" t="str">
        <f t="shared" ref="E133:F133" si="135">REPT("0",2-LEN(ROUNDDOWN(H133,0)))&amp;ROUNDDOWN(H133,0)&amp;":"&amp;REPT("0",2-LEN(((H133-ROUNDDOWN(H133,0))*60)))&amp;((H133-ROUNDDOWN(H133,0))*60)</f>
        <v>00:00</v>
      </c>
      <c r="F133" s="5" t="str">
        <f t="shared" si="135"/>
        <v>00:00</v>
      </c>
      <c r="G133" s="5" t="str">
        <f t="shared" si="90"/>
        <v>DAY OFF-PENGUMBEN</v>
      </c>
      <c r="H133" s="5">
        <v>0</v>
      </c>
      <c r="I133" s="5">
        <v>0</v>
      </c>
      <c r="J133" s="5" t="str">
        <f t="shared" si="3"/>
        <v>BOD / Operation / Bagi Kopi - Pengumben</v>
      </c>
      <c r="K133" s="5" t="b">
        <v>1</v>
      </c>
      <c r="L133" s="5" t="b">
        <v>0</v>
      </c>
      <c r="M133" s="5" t="b">
        <v>1</v>
      </c>
      <c r="V133" s="7"/>
      <c r="X133" s="7"/>
      <c r="Y133" s="7"/>
    </row>
    <row r="134" spans="1:25" x14ac:dyDescent="0.2">
      <c r="A134" s="5" t="s">
        <v>4</v>
      </c>
      <c r="B134" s="5" t="s">
        <v>58</v>
      </c>
      <c r="C134" s="5" t="s">
        <v>8</v>
      </c>
      <c r="D134" s="5" t="str">
        <f t="shared" si="0"/>
        <v>06:30 - 14:30</v>
      </c>
      <c r="E134" s="5" t="str">
        <f t="shared" ref="E134:F134" si="136">REPT("0",2-LEN(ROUNDDOWN(H134,0)))&amp;ROUNDDOWN(H134,0)&amp;":"&amp;REPT("0",2-LEN(((H134-ROUNDDOWN(H134,0))*60)))&amp;((H134-ROUNDDOWN(H134,0))*60)</f>
        <v>06:30</v>
      </c>
      <c r="F134" s="5" t="str">
        <f t="shared" si="136"/>
        <v>14:30</v>
      </c>
      <c r="G134" s="5" t="str">
        <f t="shared" si="90"/>
        <v>OPENING-PENGUMBEN</v>
      </c>
      <c r="H134" s="5">
        <v>6.5</v>
      </c>
      <c r="I134" s="5">
        <v>14.5</v>
      </c>
      <c r="J134" s="5" t="str">
        <f t="shared" si="3"/>
        <v>BOD / Operation / Bagi Kopi - Pengumben</v>
      </c>
      <c r="K134" s="5" t="b">
        <v>0</v>
      </c>
      <c r="L134" s="5" t="b">
        <v>0</v>
      </c>
      <c r="M134" s="5" t="b">
        <v>0</v>
      </c>
      <c r="V134" s="7"/>
      <c r="X134" s="7"/>
      <c r="Y134" s="7"/>
    </row>
    <row r="135" spans="1:25" x14ac:dyDescent="0.2">
      <c r="A135" s="5" t="s">
        <v>4</v>
      </c>
      <c r="B135" s="5" t="s">
        <v>58</v>
      </c>
      <c r="C135" s="5" t="s">
        <v>10</v>
      </c>
      <c r="D135" s="5" t="str">
        <f t="shared" si="0"/>
        <v>11:00 - 19:00</v>
      </c>
      <c r="E135" s="5" t="str">
        <f t="shared" ref="E135:F135" si="137">REPT("0",2-LEN(ROUNDDOWN(H135,0)))&amp;ROUNDDOWN(H135,0)&amp;":"&amp;REPT("0",2-LEN(((H135-ROUNDDOWN(H135,0))*60)))&amp;((H135-ROUNDDOWN(H135,0))*60)</f>
        <v>11:00</v>
      </c>
      <c r="F135" s="5" t="str">
        <f t="shared" si="137"/>
        <v>19:00</v>
      </c>
      <c r="G135" s="5" t="str">
        <f t="shared" si="90"/>
        <v>MIDDLE 1-PENGUMBEN</v>
      </c>
      <c r="H135" s="5">
        <v>11</v>
      </c>
      <c r="I135" s="5">
        <v>19</v>
      </c>
      <c r="J135" s="5" t="str">
        <f t="shared" si="3"/>
        <v>BOD / Operation / Bagi Kopi - Pengumben</v>
      </c>
      <c r="K135" s="5" t="b">
        <v>0</v>
      </c>
      <c r="L135" s="5" t="b">
        <v>0</v>
      </c>
      <c r="M135" s="5" t="b">
        <v>0</v>
      </c>
      <c r="V135" s="7"/>
      <c r="X135" s="7"/>
      <c r="Y135" s="7"/>
    </row>
    <row r="136" spans="1:25" x14ac:dyDescent="0.2">
      <c r="A136" s="5" t="s">
        <v>4</v>
      </c>
      <c r="B136" s="5" t="s">
        <v>58</v>
      </c>
      <c r="C136" s="5" t="s">
        <v>17</v>
      </c>
      <c r="D136" s="5" t="str">
        <f t="shared" si="0"/>
        <v>15:00 - 23:00</v>
      </c>
      <c r="E136" s="5" t="str">
        <f t="shared" ref="E136:F136" si="138">REPT("0",2-LEN(ROUNDDOWN(H136,0)))&amp;ROUNDDOWN(H136,0)&amp;":"&amp;REPT("0",2-LEN(((H136-ROUNDDOWN(H136,0))*60)))&amp;((H136-ROUNDDOWN(H136,0))*60)</f>
        <v>15:00</v>
      </c>
      <c r="F136" s="5" t="str">
        <f t="shared" si="138"/>
        <v>23:00</v>
      </c>
      <c r="G136" s="5" t="str">
        <f t="shared" si="90"/>
        <v>MIDDLE 2-PENGUMBEN</v>
      </c>
      <c r="H136" s="5">
        <v>15</v>
      </c>
      <c r="I136" s="5">
        <v>23</v>
      </c>
      <c r="J136" s="5" t="str">
        <f t="shared" si="3"/>
        <v>BOD / Operation / Bagi Kopi - Pengumben</v>
      </c>
      <c r="K136" s="5" t="b">
        <v>0</v>
      </c>
      <c r="L136" s="5" t="b">
        <v>0</v>
      </c>
      <c r="M136" s="5" t="b">
        <v>0</v>
      </c>
      <c r="V136" s="7"/>
      <c r="X136" s="7"/>
      <c r="Y136" s="7"/>
    </row>
    <row r="137" spans="1:25" x14ac:dyDescent="0.2">
      <c r="A137" s="5" t="s">
        <v>4</v>
      </c>
      <c r="B137" s="5" t="s">
        <v>58</v>
      </c>
      <c r="C137" s="5" t="s">
        <v>12</v>
      </c>
      <c r="D137" s="5" t="str">
        <f t="shared" si="0"/>
        <v>19:00 - 03:00</v>
      </c>
      <c r="E137" s="5" t="str">
        <f t="shared" ref="E137:F137" si="139">REPT("0",2-LEN(ROUNDDOWN(H137,0)))&amp;ROUNDDOWN(H137,0)&amp;":"&amp;REPT("0",2-LEN(((H137-ROUNDDOWN(H137,0))*60)))&amp;((H137-ROUNDDOWN(H137,0))*60)</f>
        <v>19:00</v>
      </c>
      <c r="F137" s="5" t="str">
        <f t="shared" si="139"/>
        <v>03:00</v>
      </c>
      <c r="G137" s="5" t="str">
        <f t="shared" si="90"/>
        <v>CLOSING-PENGUMBEN</v>
      </c>
      <c r="H137" s="5">
        <v>19</v>
      </c>
      <c r="I137" s="5">
        <v>3</v>
      </c>
      <c r="J137" s="5" t="str">
        <f t="shared" si="3"/>
        <v>BOD / Operation / Bagi Kopi - Pengumben</v>
      </c>
      <c r="K137" s="5" t="b">
        <v>0</v>
      </c>
      <c r="L137" s="5" t="b">
        <v>0</v>
      </c>
      <c r="M137" s="5" t="b">
        <v>0</v>
      </c>
      <c r="V137" s="7"/>
      <c r="X137" s="7"/>
      <c r="Y137" s="7"/>
    </row>
    <row r="138" spans="1:25" x14ac:dyDescent="0.2">
      <c r="A138" s="5" t="s">
        <v>14</v>
      </c>
      <c r="B138" s="5" t="s">
        <v>59</v>
      </c>
      <c r="C138" s="5" t="s">
        <v>6</v>
      </c>
      <c r="D138" s="5" t="str">
        <f t="shared" si="0"/>
        <v/>
      </c>
      <c r="E138" s="5" t="str">
        <f t="shared" ref="E138:F138" si="140">REPT("0",2-LEN(ROUNDDOWN(H138,0)))&amp;ROUNDDOWN(H138,0)&amp;":"&amp;REPT("0",2-LEN(((H138-ROUNDDOWN(H138,0))*60)))&amp;((H138-ROUNDDOWN(H138,0))*60)</f>
        <v>00:00</v>
      </c>
      <c r="F138" s="5" t="str">
        <f t="shared" si="140"/>
        <v>00:00</v>
      </c>
      <c r="G138" s="5" t="str">
        <f t="shared" si="90"/>
        <v>DAY OFF-PETA</v>
      </c>
      <c r="H138" s="5">
        <v>0</v>
      </c>
      <c r="I138" s="5">
        <v>0</v>
      </c>
      <c r="J138" s="5" t="str">
        <f t="shared" si="3"/>
        <v>BOD / Operation / Bagi Kopi - Peta</v>
      </c>
      <c r="K138" s="5" t="b">
        <v>1</v>
      </c>
      <c r="L138" s="5" t="b">
        <v>0</v>
      </c>
      <c r="M138" s="5" t="b">
        <v>1</v>
      </c>
      <c r="V138" s="7"/>
      <c r="X138" s="7"/>
      <c r="Y138" s="7"/>
    </row>
    <row r="139" spans="1:25" x14ac:dyDescent="0.2">
      <c r="A139" s="5" t="s">
        <v>14</v>
      </c>
      <c r="B139" s="5" t="s">
        <v>59</v>
      </c>
      <c r="C139" s="5" t="s">
        <v>8</v>
      </c>
      <c r="D139" s="5" t="str">
        <f t="shared" si="0"/>
        <v>06:30 - 15:00</v>
      </c>
      <c r="E139" s="5" t="str">
        <f t="shared" ref="E139:F139" si="141">REPT("0",2-LEN(ROUNDDOWN(H139,0)))&amp;ROUNDDOWN(H139,0)&amp;":"&amp;REPT("0",2-LEN(((H139-ROUNDDOWN(H139,0))*60)))&amp;((H139-ROUNDDOWN(H139,0))*60)</f>
        <v>06:30</v>
      </c>
      <c r="F139" s="5" t="str">
        <f t="shared" si="141"/>
        <v>15:00</v>
      </c>
      <c r="G139" s="5" t="str">
        <f t="shared" si="90"/>
        <v>OPENING-PETA</v>
      </c>
      <c r="H139" s="5">
        <v>6.5</v>
      </c>
      <c r="I139" s="5">
        <v>15</v>
      </c>
      <c r="J139" s="5" t="str">
        <f t="shared" si="3"/>
        <v>BOD / Operation / Bagi Kopi - Peta</v>
      </c>
      <c r="K139" s="5" t="b">
        <v>0</v>
      </c>
      <c r="L139" s="5" t="b">
        <v>0</v>
      </c>
      <c r="M139" s="5" t="b">
        <v>0</v>
      </c>
      <c r="V139" s="7"/>
      <c r="X139" s="7"/>
      <c r="Y139" s="7"/>
    </row>
    <row r="140" spans="1:25" x14ac:dyDescent="0.2">
      <c r="A140" s="5" t="s">
        <v>14</v>
      </c>
      <c r="B140" s="5" t="s">
        <v>59</v>
      </c>
      <c r="C140" s="5" t="s">
        <v>10</v>
      </c>
      <c r="D140" s="5" t="str">
        <f t="shared" si="0"/>
        <v>11:00 - 19:00</v>
      </c>
      <c r="E140" s="5" t="str">
        <f t="shared" ref="E140:F140" si="142">REPT("0",2-LEN(ROUNDDOWN(H140,0)))&amp;ROUNDDOWN(H140,0)&amp;":"&amp;REPT("0",2-LEN(((H140-ROUNDDOWN(H140,0))*60)))&amp;((H140-ROUNDDOWN(H140,0))*60)</f>
        <v>11:00</v>
      </c>
      <c r="F140" s="5" t="str">
        <f t="shared" si="142"/>
        <v>19:00</v>
      </c>
      <c r="G140" s="5" t="str">
        <f t="shared" si="90"/>
        <v>MIDDLE 1-PETA</v>
      </c>
      <c r="H140" s="5">
        <v>11</v>
      </c>
      <c r="I140" s="5">
        <v>19</v>
      </c>
      <c r="J140" s="5" t="str">
        <f t="shared" si="3"/>
        <v>BOD / Operation / Bagi Kopi - Peta</v>
      </c>
      <c r="K140" s="5" t="b">
        <v>0</v>
      </c>
      <c r="L140" s="5" t="b">
        <v>0</v>
      </c>
      <c r="M140" s="5" t="b">
        <v>0</v>
      </c>
      <c r="V140" s="7"/>
      <c r="X140" s="7"/>
      <c r="Y140" s="7"/>
    </row>
    <row r="141" spans="1:25" x14ac:dyDescent="0.2">
      <c r="A141" s="5" t="s">
        <v>14</v>
      </c>
      <c r="B141" s="5" t="s">
        <v>59</v>
      </c>
      <c r="C141" s="5" t="s">
        <v>17</v>
      </c>
      <c r="D141" s="5" t="str">
        <f t="shared" si="0"/>
        <v>15:00 - 23:00</v>
      </c>
      <c r="E141" s="5" t="str">
        <f t="shared" ref="E141:F141" si="143">REPT("0",2-LEN(ROUNDDOWN(H141,0)))&amp;ROUNDDOWN(H141,0)&amp;":"&amp;REPT("0",2-LEN(((H141-ROUNDDOWN(H141,0))*60)))&amp;((H141-ROUNDDOWN(H141,0))*60)</f>
        <v>15:00</v>
      </c>
      <c r="F141" s="5" t="str">
        <f t="shared" si="143"/>
        <v>23:00</v>
      </c>
      <c r="G141" s="5" t="str">
        <f t="shared" si="90"/>
        <v>MIDDLE 2-PETA</v>
      </c>
      <c r="H141" s="5">
        <v>15</v>
      </c>
      <c r="I141" s="5">
        <v>23</v>
      </c>
      <c r="J141" s="5" t="str">
        <f t="shared" si="3"/>
        <v>BOD / Operation / Bagi Kopi - Peta</v>
      </c>
      <c r="K141" s="5" t="b">
        <v>0</v>
      </c>
      <c r="L141" s="5" t="b">
        <v>0</v>
      </c>
      <c r="M141" s="5" t="b">
        <v>0</v>
      </c>
      <c r="V141" s="7"/>
      <c r="X141" s="7"/>
      <c r="Y141" s="7"/>
    </row>
    <row r="142" spans="1:25" x14ac:dyDescent="0.2">
      <c r="A142" s="5" t="s">
        <v>14</v>
      </c>
      <c r="B142" s="5" t="s">
        <v>59</v>
      </c>
      <c r="C142" s="5" t="s">
        <v>12</v>
      </c>
      <c r="D142" s="5" t="str">
        <f t="shared" si="0"/>
        <v>19:00 - 03:00</v>
      </c>
      <c r="E142" s="5" t="str">
        <f t="shared" ref="E142:F142" si="144">REPT("0",2-LEN(ROUNDDOWN(H142,0)))&amp;ROUNDDOWN(H142,0)&amp;":"&amp;REPT("0",2-LEN(((H142-ROUNDDOWN(H142,0))*60)))&amp;((H142-ROUNDDOWN(H142,0))*60)</f>
        <v>19:00</v>
      </c>
      <c r="F142" s="5" t="str">
        <f t="shared" si="144"/>
        <v>03:00</v>
      </c>
      <c r="G142" s="5" t="str">
        <f t="shared" si="90"/>
        <v>CLOSING-PETA</v>
      </c>
      <c r="H142" s="5">
        <v>19</v>
      </c>
      <c r="I142" s="5">
        <v>3</v>
      </c>
      <c r="J142" s="5" t="str">
        <f t="shared" si="3"/>
        <v>BOD / Operation / Bagi Kopi - Peta</v>
      </c>
      <c r="K142" s="5" t="b">
        <v>0</v>
      </c>
      <c r="L142" s="5" t="b">
        <v>0</v>
      </c>
      <c r="M142" s="5" t="b">
        <v>0</v>
      </c>
      <c r="V142" s="7"/>
      <c r="X142" s="7"/>
      <c r="Y142" s="7"/>
    </row>
    <row r="143" spans="1:25" x14ac:dyDescent="0.2">
      <c r="A143" s="5" t="s">
        <v>4</v>
      </c>
      <c r="B143" s="5" t="s">
        <v>60</v>
      </c>
      <c r="C143" s="5" t="s">
        <v>6</v>
      </c>
      <c r="D143" s="5" t="str">
        <f t="shared" si="0"/>
        <v/>
      </c>
      <c r="E143" s="5" t="str">
        <f t="shared" ref="E143:F143" si="145">REPT("0",2-LEN(ROUNDDOWN(H143,0)))&amp;ROUNDDOWN(H143,0)&amp;":"&amp;REPT("0",2-LEN(((H143-ROUNDDOWN(H143,0))*60)))&amp;((H143-ROUNDDOWN(H143,0))*60)</f>
        <v>00:00</v>
      </c>
      <c r="F143" s="5" t="str">
        <f t="shared" si="145"/>
        <v>00:00</v>
      </c>
      <c r="G143" s="5" t="str">
        <f t="shared" si="90"/>
        <v>DAY OFF-SETU CIPAYUNG</v>
      </c>
      <c r="H143" s="5">
        <v>0</v>
      </c>
      <c r="I143" s="5">
        <v>0</v>
      </c>
      <c r="J143" s="5" t="str">
        <f t="shared" si="3"/>
        <v>BOD / Operation / Bagi Kopi - Setu Cipayung</v>
      </c>
      <c r="K143" s="5" t="b">
        <v>1</v>
      </c>
      <c r="L143" s="5" t="b">
        <v>0</v>
      </c>
      <c r="M143" s="5" t="b">
        <v>1</v>
      </c>
      <c r="V143" s="7"/>
      <c r="X143" s="7"/>
      <c r="Y143" s="7"/>
    </row>
    <row r="144" spans="1:25" x14ac:dyDescent="0.2">
      <c r="A144" s="5" t="s">
        <v>4</v>
      </c>
      <c r="B144" s="5" t="s">
        <v>60</v>
      </c>
      <c r="C144" s="5" t="s">
        <v>8</v>
      </c>
      <c r="D144" s="5" t="str">
        <f t="shared" si="0"/>
        <v>06:30 - 14:30</v>
      </c>
      <c r="E144" s="5" t="str">
        <f t="shared" ref="E144:F144" si="146">REPT("0",2-LEN(ROUNDDOWN(H144,0)))&amp;ROUNDDOWN(H144,0)&amp;":"&amp;REPT("0",2-LEN(((H144-ROUNDDOWN(H144,0))*60)))&amp;((H144-ROUNDDOWN(H144,0))*60)</f>
        <v>06:30</v>
      </c>
      <c r="F144" s="5" t="str">
        <f t="shared" si="146"/>
        <v>14:30</v>
      </c>
      <c r="G144" s="5" t="str">
        <f t="shared" si="90"/>
        <v>OPENING-SETU CIPAYUNG</v>
      </c>
      <c r="H144" s="5">
        <v>6.5</v>
      </c>
      <c r="I144" s="5">
        <v>14.5</v>
      </c>
      <c r="J144" s="5" t="str">
        <f t="shared" si="3"/>
        <v>BOD / Operation / Bagi Kopi - Setu Cipayung</v>
      </c>
      <c r="K144" s="5" t="b">
        <v>0</v>
      </c>
      <c r="L144" s="5" t="b">
        <v>0</v>
      </c>
      <c r="M144" s="5" t="b">
        <v>0</v>
      </c>
      <c r="V144" s="7"/>
      <c r="X144" s="7"/>
      <c r="Y144" s="7"/>
    </row>
    <row r="145" spans="1:25" x14ac:dyDescent="0.2">
      <c r="A145" s="5" t="s">
        <v>4</v>
      </c>
      <c r="B145" s="5" t="s">
        <v>60</v>
      </c>
      <c r="C145" s="5" t="s">
        <v>10</v>
      </c>
      <c r="D145" s="5" t="str">
        <f t="shared" si="0"/>
        <v>11:00 - 19:00</v>
      </c>
      <c r="E145" s="5" t="str">
        <f t="shared" ref="E145:F145" si="147">REPT("0",2-LEN(ROUNDDOWN(H145,0)))&amp;ROUNDDOWN(H145,0)&amp;":"&amp;REPT("0",2-LEN(((H145-ROUNDDOWN(H145,0))*60)))&amp;((H145-ROUNDDOWN(H145,0))*60)</f>
        <v>11:00</v>
      </c>
      <c r="F145" s="5" t="str">
        <f t="shared" si="147"/>
        <v>19:00</v>
      </c>
      <c r="G145" s="5" t="str">
        <f t="shared" si="90"/>
        <v>MIDDLE 1-SETU CIPAYUNG</v>
      </c>
      <c r="H145" s="5">
        <v>11</v>
      </c>
      <c r="I145" s="5">
        <v>19</v>
      </c>
      <c r="J145" s="5" t="str">
        <f t="shared" si="3"/>
        <v>BOD / Operation / Bagi Kopi - Setu Cipayung</v>
      </c>
      <c r="K145" s="5" t="b">
        <v>0</v>
      </c>
      <c r="L145" s="5" t="b">
        <v>0</v>
      </c>
      <c r="M145" s="5" t="b">
        <v>0</v>
      </c>
      <c r="V145" s="7"/>
      <c r="X145" s="7"/>
      <c r="Y145" s="7"/>
    </row>
    <row r="146" spans="1:25" x14ac:dyDescent="0.2">
      <c r="A146" s="5" t="s">
        <v>4</v>
      </c>
      <c r="B146" s="5" t="s">
        <v>60</v>
      </c>
      <c r="C146" s="5" t="s">
        <v>17</v>
      </c>
      <c r="D146" s="5" t="str">
        <f t="shared" si="0"/>
        <v>15:00 - 23:00</v>
      </c>
      <c r="E146" s="5" t="str">
        <f t="shared" ref="E146:F146" si="148">REPT("0",2-LEN(ROUNDDOWN(H146,0)))&amp;ROUNDDOWN(H146,0)&amp;":"&amp;REPT("0",2-LEN(((H146-ROUNDDOWN(H146,0))*60)))&amp;((H146-ROUNDDOWN(H146,0))*60)</f>
        <v>15:00</v>
      </c>
      <c r="F146" s="5" t="str">
        <f t="shared" si="148"/>
        <v>23:00</v>
      </c>
      <c r="G146" s="5" t="str">
        <f t="shared" si="90"/>
        <v>MIDDLE 2-SETU CIPAYUNG</v>
      </c>
      <c r="H146" s="5">
        <v>15</v>
      </c>
      <c r="I146" s="5">
        <v>23</v>
      </c>
      <c r="J146" s="5" t="str">
        <f t="shared" si="3"/>
        <v>BOD / Operation / Bagi Kopi - Setu Cipayung</v>
      </c>
      <c r="K146" s="5" t="b">
        <v>0</v>
      </c>
      <c r="L146" s="5" t="b">
        <v>0</v>
      </c>
      <c r="M146" s="5" t="b">
        <v>0</v>
      </c>
      <c r="V146" s="7"/>
      <c r="X146" s="7"/>
      <c r="Y146" s="7"/>
    </row>
    <row r="147" spans="1:25" x14ac:dyDescent="0.2">
      <c r="A147" s="5" t="s">
        <v>4</v>
      </c>
      <c r="B147" s="5" t="s">
        <v>60</v>
      </c>
      <c r="C147" s="5" t="s">
        <v>12</v>
      </c>
      <c r="D147" s="5" t="str">
        <f t="shared" si="0"/>
        <v>19:00 - 03:00</v>
      </c>
      <c r="E147" s="5" t="str">
        <f t="shared" ref="E147:F147" si="149">REPT("0",2-LEN(ROUNDDOWN(H147,0)))&amp;ROUNDDOWN(H147,0)&amp;":"&amp;REPT("0",2-LEN(((H147-ROUNDDOWN(H147,0))*60)))&amp;((H147-ROUNDDOWN(H147,0))*60)</f>
        <v>19:00</v>
      </c>
      <c r="F147" s="5" t="str">
        <f t="shared" si="149"/>
        <v>03:00</v>
      </c>
      <c r="G147" s="5" t="str">
        <f t="shared" si="90"/>
        <v>CLOSING-SETU CIPAYUNG</v>
      </c>
      <c r="H147" s="5">
        <v>19</v>
      </c>
      <c r="I147" s="5">
        <v>3</v>
      </c>
      <c r="J147" s="5" t="str">
        <f t="shared" si="3"/>
        <v>BOD / Operation / Bagi Kopi - Setu Cipayung</v>
      </c>
      <c r="K147" s="5" t="b">
        <v>0</v>
      </c>
      <c r="L147" s="5" t="b">
        <v>0</v>
      </c>
      <c r="M147" s="5" t="b">
        <v>0</v>
      </c>
      <c r="V147" s="7"/>
      <c r="X147" s="7"/>
      <c r="Y147" s="7"/>
    </row>
    <row r="148" spans="1:25" x14ac:dyDescent="0.2">
      <c r="A148" s="5" t="s">
        <v>14</v>
      </c>
      <c r="B148" s="5" t="s">
        <v>61</v>
      </c>
      <c r="C148" s="5" t="s">
        <v>6</v>
      </c>
      <c r="D148" s="5" t="str">
        <f t="shared" si="0"/>
        <v/>
      </c>
      <c r="E148" s="5" t="str">
        <f t="shared" ref="E148:F148" si="150">REPT("0",2-LEN(ROUNDDOWN(H148,0)))&amp;ROUNDDOWN(H148,0)&amp;":"&amp;REPT("0",2-LEN(((H148-ROUNDDOWN(H148,0))*60)))&amp;((H148-ROUNDDOWN(H148,0))*60)</f>
        <v>00:00</v>
      </c>
      <c r="F148" s="5" t="str">
        <f t="shared" si="150"/>
        <v>00:00</v>
      </c>
      <c r="G148" s="5" t="str">
        <f t="shared" si="90"/>
        <v>DAY OFF-SUBANG</v>
      </c>
      <c r="H148" s="5">
        <v>0</v>
      </c>
      <c r="I148" s="5">
        <v>0</v>
      </c>
      <c r="J148" s="5" t="str">
        <f t="shared" si="3"/>
        <v>BOD / Operation / Bagi Kopi - Subang</v>
      </c>
      <c r="K148" s="5" t="b">
        <v>1</v>
      </c>
      <c r="L148" s="5" t="b">
        <v>0</v>
      </c>
      <c r="M148" s="5" t="b">
        <v>0</v>
      </c>
      <c r="V148" s="7"/>
      <c r="X148" s="7"/>
      <c r="Y148" s="7"/>
    </row>
    <row r="149" spans="1:25" x14ac:dyDescent="0.2">
      <c r="A149" s="5" t="s">
        <v>14</v>
      </c>
      <c r="B149" s="5" t="s">
        <v>61</v>
      </c>
      <c r="C149" s="5" t="s">
        <v>8</v>
      </c>
      <c r="D149" s="5" t="str">
        <f t="shared" si="0"/>
        <v>08:30 - 17:00</v>
      </c>
      <c r="E149" s="5" t="str">
        <f t="shared" ref="E149:F149" si="151">REPT("0",2-LEN(ROUNDDOWN(H149,0)))&amp;ROUNDDOWN(H149,0)&amp;":"&amp;REPT("0",2-LEN(((H149-ROUNDDOWN(H149,0))*60)))&amp;((H149-ROUNDDOWN(H149,0))*60)</f>
        <v>08:30</v>
      </c>
      <c r="F149" s="5" t="str">
        <f t="shared" si="151"/>
        <v>17:00</v>
      </c>
      <c r="G149" s="5" t="str">
        <f t="shared" si="90"/>
        <v>OPENING-SUBANG</v>
      </c>
      <c r="H149" s="5">
        <v>8.5</v>
      </c>
      <c r="I149" s="5">
        <v>17</v>
      </c>
      <c r="J149" s="5" t="str">
        <f t="shared" si="3"/>
        <v>BOD / Operation / Bagi Kopi - Subang</v>
      </c>
      <c r="K149" s="5" t="b">
        <v>0</v>
      </c>
      <c r="L149" s="5" t="b">
        <v>0</v>
      </c>
      <c r="M149" s="5" t="b">
        <v>0</v>
      </c>
      <c r="V149" s="7"/>
      <c r="X149" s="7"/>
      <c r="Y149" s="7"/>
    </row>
    <row r="150" spans="1:25" x14ac:dyDescent="0.2">
      <c r="A150" s="5" t="s">
        <v>14</v>
      </c>
      <c r="B150" s="5" t="s">
        <v>61</v>
      </c>
      <c r="C150" s="5" t="s">
        <v>10</v>
      </c>
      <c r="D150" s="5" t="str">
        <f t="shared" si="0"/>
        <v>13:00 - 21:00</v>
      </c>
      <c r="E150" s="5" t="str">
        <f t="shared" ref="E150:F150" si="152">REPT("0",2-LEN(ROUNDDOWN(H150,0)))&amp;ROUNDDOWN(H150,0)&amp;":"&amp;REPT("0",2-LEN(((H150-ROUNDDOWN(H150,0))*60)))&amp;((H150-ROUNDDOWN(H150,0))*60)</f>
        <v>13:00</v>
      </c>
      <c r="F150" s="5" t="str">
        <f t="shared" si="152"/>
        <v>21:00</v>
      </c>
      <c r="G150" s="5" t="str">
        <f t="shared" si="90"/>
        <v>MIDDLE 1-SUBANG</v>
      </c>
      <c r="H150" s="5">
        <v>13</v>
      </c>
      <c r="I150" s="5">
        <v>21</v>
      </c>
      <c r="J150" s="5" t="str">
        <f t="shared" si="3"/>
        <v>BOD / Operation / Bagi Kopi - Subang</v>
      </c>
      <c r="K150" s="5" t="b">
        <v>0</v>
      </c>
      <c r="L150" s="5" t="b">
        <v>0</v>
      </c>
      <c r="M150" s="5" t="b">
        <v>0</v>
      </c>
      <c r="V150" s="7"/>
      <c r="X150" s="7"/>
      <c r="Y150" s="7"/>
    </row>
    <row r="151" spans="1:25" x14ac:dyDescent="0.2">
      <c r="A151" s="5" t="s">
        <v>14</v>
      </c>
      <c r="B151" s="5" t="s">
        <v>61</v>
      </c>
      <c r="C151" s="5" t="s">
        <v>12</v>
      </c>
      <c r="D151" s="5" t="str">
        <f t="shared" si="0"/>
        <v>14:00 - 22:00</v>
      </c>
      <c r="E151" s="5" t="str">
        <f t="shared" ref="E151:F151" si="153">REPT("0",2-LEN(ROUNDDOWN(H151,0)))&amp;ROUNDDOWN(H151,0)&amp;":"&amp;REPT("0",2-LEN(((H151-ROUNDDOWN(H151,0))*60)))&amp;((H151-ROUNDDOWN(H151,0))*60)</f>
        <v>14:00</v>
      </c>
      <c r="F151" s="5" t="str">
        <f t="shared" si="153"/>
        <v>22:00</v>
      </c>
      <c r="G151" s="5" t="str">
        <f t="shared" si="90"/>
        <v>CLOSING-SUBANG</v>
      </c>
      <c r="H151" s="5">
        <v>14</v>
      </c>
      <c r="I151" s="5">
        <v>22</v>
      </c>
      <c r="J151" s="5" t="str">
        <f t="shared" si="3"/>
        <v>BOD / Operation / Bagi Kopi - Subang</v>
      </c>
      <c r="K151" s="5" t="b">
        <v>0</v>
      </c>
      <c r="L151" s="5" t="b">
        <v>0</v>
      </c>
      <c r="M151" s="5" t="b">
        <v>0</v>
      </c>
      <c r="V151" s="7"/>
      <c r="X151" s="7"/>
      <c r="Y151" s="7"/>
    </row>
    <row r="152" spans="1:25" x14ac:dyDescent="0.2">
      <c r="A152" s="5" t="s">
        <v>14</v>
      </c>
      <c r="B152" s="5" t="s">
        <v>64</v>
      </c>
      <c r="C152" s="5" t="s">
        <v>6</v>
      </c>
      <c r="D152" s="5" t="str">
        <f t="shared" si="0"/>
        <v/>
      </c>
      <c r="E152" s="5" t="str">
        <f t="shared" ref="E152:F152" si="154">REPT("0",2-LEN(ROUNDDOWN(H152,0)))&amp;ROUNDDOWN(H152,0)&amp;":"&amp;REPT("0",2-LEN(((H152-ROUNDDOWN(H152,0))*60)))&amp;((H152-ROUNDDOWN(H152,0))*60)</f>
        <v>00:00</v>
      </c>
      <c r="F152" s="5" t="str">
        <f t="shared" si="154"/>
        <v>00:00</v>
      </c>
      <c r="G152" s="5" t="str">
        <f t="shared" si="90"/>
        <v>DAY OFF-SULANJANA</v>
      </c>
      <c r="H152" s="5">
        <v>0</v>
      </c>
      <c r="I152" s="5">
        <v>0</v>
      </c>
      <c r="J152" s="5" t="str">
        <f t="shared" si="3"/>
        <v>BOD / Operation / Bagi Kopi - Sulanjana</v>
      </c>
      <c r="K152" s="5" t="b">
        <v>1</v>
      </c>
      <c r="L152" s="5" t="b">
        <v>0</v>
      </c>
      <c r="M152" s="5" t="b">
        <v>1</v>
      </c>
      <c r="V152" s="7"/>
      <c r="X152" s="7"/>
      <c r="Y152" s="7"/>
    </row>
    <row r="153" spans="1:25" x14ac:dyDescent="0.2">
      <c r="A153" s="5" t="s">
        <v>14</v>
      </c>
      <c r="B153" s="5" t="s">
        <v>64</v>
      </c>
      <c r="C153" s="5" t="s">
        <v>8</v>
      </c>
      <c r="D153" s="5" t="str">
        <f t="shared" si="0"/>
        <v>08:00 - 16:00</v>
      </c>
      <c r="E153" s="5" t="str">
        <f t="shared" ref="E153:F153" si="155">REPT("0",2-LEN(ROUNDDOWN(H153,0)))&amp;ROUNDDOWN(H153,0)&amp;":"&amp;REPT("0",2-LEN(((H153-ROUNDDOWN(H153,0))*60)))&amp;((H153-ROUNDDOWN(H153,0))*60)</f>
        <v>08:00</v>
      </c>
      <c r="F153" s="5" t="str">
        <f t="shared" si="155"/>
        <v>16:00</v>
      </c>
      <c r="G153" s="5" t="str">
        <f t="shared" si="90"/>
        <v>OPENING-SULANJANA</v>
      </c>
      <c r="H153" s="5">
        <v>8</v>
      </c>
      <c r="I153" s="5">
        <v>16</v>
      </c>
      <c r="J153" s="5" t="str">
        <f t="shared" si="3"/>
        <v>BOD / Operation / Bagi Kopi - Sulanjana</v>
      </c>
      <c r="K153" s="5" t="b">
        <v>0</v>
      </c>
      <c r="L153" s="5" t="b">
        <v>0</v>
      </c>
      <c r="M153" s="5" t="b">
        <v>0</v>
      </c>
      <c r="V153" s="7"/>
      <c r="X153" s="7"/>
      <c r="Y153" s="7"/>
    </row>
    <row r="154" spans="1:25" x14ac:dyDescent="0.2">
      <c r="A154" s="5" t="s">
        <v>14</v>
      </c>
      <c r="B154" s="5" t="s">
        <v>64</v>
      </c>
      <c r="C154" s="5" t="s">
        <v>12</v>
      </c>
      <c r="D154" s="5" t="str">
        <f t="shared" si="0"/>
        <v>13:00 - 21:00</v>
      </c>
      <c r="E154" s="5" t="str">
        <f t="shared" ref="E154:F154" si="156">REPT("0",2-LEN(ROUNDDOWN(H154,0)))&amp;ROUNDDOWN(H154,0)&amp;":"&amp;REPT("0",2-LEN(((H154-ROUNDDOWN(H154,0))*60)))&amp;((H154-ROUNDDOWN(H154,0))*60)</f>
        <v>13:00</v>
      </c>
      <c r="F154" s="5" t="str">
        <f t="shared" si="156"/>
        <v>21:00</v>
      </c>
      <c r="G154" s="5" t="str">
        <f t="shared" si="90"/>
        <v>CLOSING-SULANJANA</v>
      </c>
      <c r="H154" s="5">
        <v>13</v>
      </c>
      <c r="I154" s="5">
        <v>21</v>
      </c>
      <c r="J154" s="5" t="str">
        <f t="shared" si="3"/>
        <v>BOD / Operation / Bagi Kopi - Sulanjana</v>
      </c>
      <c r="K154" s="5" t="b">
        <v>0</v>
      </c>
      <c r="L154" s="5" t="b">
        <v>0</v>
      </c>
      <c r="M154" s="5" t="b">
        <v>0</v>
      </c>
      <c r="V154" s="7"/>
      <c r="X154" s="7"/>
      <c r="Y154" s="7"/>
    </row>
    <row r="155" spans="1:25" x14ac:dyDescent="0.2">
      <c r="A155" s="5" t="s">
        <v>14</v>
      </c>
      <c r="B155" s="5" t="s">
        <v>66</v>
      </c>
      <c r="C155" s="5" t="s">
        <v>6</v>
      </c>
      <c r="D155" s="5" t="str">
        <f t="shared" si="0"/>
        <v/>
      </c>
      <c r="E155" s="5" t="str">
        <f t="shared" ref="E155:F155" si="157">REPT("0",2-LEN(ROUNDDOWN(H155,0)))&amp;ROUNDDOWN(H155,0)&amp;":"&amp;REPT("0",2-LEN(((H155-ROUNDDOWN(H155,0))*60)))&amp;((H155-ROUNDDOWN(H155,0))*60)</f>
        <v>00:00</v>
      </c>
      <c r="F155" s="5" t="str">
        <f t="shared" si="157"/>
        <v>00:00</v>
      </c>
      <c r="G155" s="5" t="str">
        <f t="shared" si="90"/>
        <v>DAY OFF-UJUNG BERUNG</v>
      </c>
      <c r="H155" s="5">
        <v>0</v>
      </c>
      <c r="I155" s="5">
        <v>0</v>
      </c>
      <c r="J155" s="5" t="str">
        <f t="shared" si="3"/>
        <v>BOD / Operation / Bagi Kopi - Ujung Berung</v>
      </c>
      <c r="K155" s="5" t="b">
        <v>1</v>
      </c>
      <c r="L155" s="5" t="b">
        <v>0</v>
      </c>
      <c r="M155" s="5" t="b">
        <v>1</v>
      </c>
      <c r="V155" s="7"/>
      <c r="X155" s="7"/>
      <c r="Y155" s="7"/>
    </row>
    <row r="156" spans="1:25" x14ac:dyDescent="0.2">
      <c r="A156" s="5" t="s">
        <v>14</v>
      </c>
      <c r="B156" s="5" t="s">
        <v>66</v>
      </c>
      <c r="C156" s="5" t="s">
        <v>8</v>
      </c>
      <c r="D156" s="5" t="str">
        <f t="shared" si="0"/>
        <v>06:30 - 15:00</v>
      </c>
      <c r="E156" s="5" t="str">
        <f t="shared" ref="E156:F156" si="158">REPT("0",2-LEN(ROUNDDOWN(H156,0)))&amp;ROUNDDOWN(H156,0)&amp;":"&amp;REPT("0",2-LEN(((H156-ROUNDDOWN(H156,0))*60)))&amp;((H156-ROUNDDOWN(H156,0))*60)</f>
        <v>06:30</v>
      </c>
      <c r="F156" s="5" t="str">
        <f t="shared" si="158"/>
        <v>15:00</v>
      </c>
      <c r="G156" s="5" t="str">
        <f t="shared" si="90"/>
        <v>OPENING-UJUNG BERUNG</v>
      </c>
      <c r="H156" s="5">
        <v>6.5</v>
      </c>
      <c r="I156" s="5">
        <v>15</v>
      </c>
      <c r="J156" s="5" t="str">
        <f t="shared" si="3"/>
        <v>BOD / Operation / Bagi Kopi - Ujung Berung</v>
      </c>
      <c r="K156" s="5" t="b">
        <v>0</v>
      </c>
      <c r="L156" s="5" t="b">
        <v>0</v>
      </c>
      <c r="M156" s="5" t="b">
        <v>0</v>
      </c>
      <c r="V156" s="7"/>
      <c r="X156" s="7"/>
      <c r="Y156" s="7"/>
    </row>
    <row r="157" spans="1:25" x14ac:dyDescent="0.2">
      <c r="A157" s="5" t="s">
        <v>14</v>
      </c>
      <c r="B157" s="5" t="s">
        <v>66</v>
      </c>
      <c r="C157" s="5" t="s">
        <v>10</v>
      </c>
      <c r="D157" s="5" t="str">
        <f t="shared" si="0"/>
        <v>11:00 - 19:00</v>
      </c>
      <c r="E157" s="5" t="str">
        <f t="shared" ref="E157:F157" si="159">REPT("0",2-LEN(ROUNDDOWN(H157,0)))&amp;ROUNDDOWN(H157,0)&amp;":"&amp;REPT("0",2-LEN(((H157-ROUNDDOWN(H157,0))*60)))&amp;((H157-ROUNDDOWN(H157,0))*60)</f>
        <v>11:00</v>
      </c>
      <c r="F157" s="5" t="str">
        <f t="shared" si="159"/>
        <v>19:00</v>
      </c>
      <c r="G157" s="5" t="str">
        <f t="shared" si="90"/>
        <v>MIDDLE 1-UJUNG BERUNG</v>
      </c>
      <c r="H157" s="5">
        <v>11</v>
      </c>
      <c r="I157" s="5">
        <v>19</v>
      </c>
      <c r="J157" s="5" t="str">
        <f t="shared" si="3"/>
        <v>BOD / Operation / Bagi Kopi - Ujung Berung</v>
      </c>
      <c r="K157" s="5" t="b">
        <v>0</v>
      </c>
      <c r="L157" s="5" t="b">
        <v>0</v>
      </c>
      <c r="M157" s="5" t="b">
        <v>0</v>
      </c>
      <c r="V157" s="7"/>
      <c r="X157" s="7"/>
      <c r="Y157" s="7"/>
    </row>
    <row r="158" spans="1:25" x14ac:dyDescent="0.2">
      <c r="A158" s="5" t="s">
        <v>14</v>
      </c>
      <c r="B158" s="5" t="s">
        <v>66</v>
      </c>
      <c r="C158" s="5" t="s">
        <v>17</v>
      </c>
      <c r="D158" s="5" t="str">
        <f t="shared" si="0"/>
        <v>15:00 - 23:00</v>
      </c>
      <c r="E158" s="5" t="str">
        <f t="shared" ref="E158:F158" si="160">REPT("0",2-LEN(ROUNDDOWN(H158,0)))&amp;ROUNDDOWN(H158,0)&amp;":"&amp;REPT("0",2-LEN(((H158-ROUNDDOWN(H158,0))*60)))&amp;((H158-ROUNDDOWN(H158,0))*60)</f>
        <v>15:00</v>
      </c>
      <c r="F158" s="5" t="str">
        <f t="shared" si="160"/>
        <v>23:00</v>
      </c>
      <c r="G158" s="5" t="str">
        <f t="shared" si="90"/>
        <v>MIDDLE 2-UJUNG BERUNG</v>
      </c>
      <c r="H158" s="5">
        <v>15</v>
      </c>
      <c r="I158" s="5">
        <v>23</v>
      </c>
      <c r="J158" s="5" t="str">
        <f t="shared" si="3"/>
        <v>BOD / Operation / Bagi Kopi - Ujung Berung</v>
      </c>
      <c r="K158" s="5" t="b">
        <v>0</v>
      </c>
      <c r="L158" s="5" t="b">
        <v>0</v>
      </c>
      <c r="M158" s="5" t="b">
        <v>0</v>
      </c>
      <c r="V158" s="7"/>
      <c r="X158" s="7"/>
      <c r="Y158" s="7"/>
    </row>
    <row r="159" spans="1:25" x14ac:dyDescent="0.2">
      <c r="A159" s="5" t="s">
        <v>14</v>
      </c>
      <c r="B159" s="5" t="s">
        <v>66</v>
      </c>
      <c r="C159" s="5" t="s">
        <v>12</v>
      </c>
      <c r="D159" s="5" t="str">
        <f t="shared" si="0"/>
        <v>19:00 - 03:00</v>
      </c>
      <c r="E159" s="5" t="str">
        <f t="shared" ref="E159:F159" si="161">REPT("0",2-LEN(ROUNDDOWN(H159,0)))&amp;ROUNDDOWN(H159,0)&amp;":"&amp;REPT("0",2-LEN(((H159-ROUNDDOWN(H159,0))*60)))&amp;((H159-ROUNDDOWN(H159,0))*60)</f>
        <v>19:00</v>
      </c>
      <c r="F159" s="5" t="str">
        <f t="shared" si="161"/>
        <v>03:00</v>
      </c>
      <c r="G159" s="5" t="str">
        <f t="shared" si="90"/>
        <v>CLOSING-UJUNG BERUNG</v>
      </c>
      <c r="H159" s="5">
        <v>19</v>
      </c>
      <c r="I159" s="5">
        <v>3</v>
      </c>
      <c r="J159" s="5" t="str">
        <f t="shared" si="3"/>
        <v>BOD / Operation / Bagi Kopi - Ujung Berung</v>
      </c>
      <c r="K159" s="5" t="b">
        <v>0</v>
      </c>
      <c r="L159" s="5" t="b">
        <v>0</v>
      </c>
      <c r="M159" s="5" t="b">
        <v>0</v>
      </c>
      <c r="V159" s="7"/>
      <c r="X159" s="7"/>
      <c r="Y159" s="7"/>
    </row>
    <row r="160" spans="1:25" x14ac:dyDescent="0.2">
      <c r="V160" s="7"/>
      <c r="X160" s="7"/>
      <c r="Y160" s="7"/>
    </row>
    <row r="161" spans="22:25" x14ac:dyDescent="0.2">
      <c r="V161" s="7"/>
      <c r="X161" s="7"/>
      <c r="Y161" s="7"/>
    </row>
    <row r="162" spans="22:25" x14ac:dyDescent="0.2">
      <c r="V162" s="7"/>
      <c r="X162" s="7"/>
      <c r="Y162" s="7"/>
    </row>
    <row r="163" spans="22:25" x14ac:dyDescent="0.2">
      <c r="V163" s="7"/>
      <c r="X163" s="7"/>
      <c r="Y163" s="7"/>
    </row>
    <row r="164" spans="22:25" x14ac:dyDescent="0.2">
      <c r="V164" s="7"/>
      <c r="X164" s="7"/>
      <c r="Y164" s="7"/>
    </row>
    <row r="165" spans="22:25" x14ac:dyDescent="0.2">
      <c r="V165" s="7"/>
      <c r="X165" s="7"/>
      <c r="Y165" s="7"/>
    </row>
    <row r="166" spans="22:25" x14ac:dyDescent="0.2">
      <c r="V166" s="7"/>
      <c r="X166" s="7"/>
      <c r="Y166" s="7"/>
    </row>
    <row r="167" spans="22:25" x14ac:dyDescent="0.2">
      <c r="V167" s="7"/>
      <c r="X167" s="7"/>
      <c r="Y167" s="7"/>
    </row>
    <row r="168" spans="22:25" x14ac:dyDescent="0.2">
      <c r="V168" s="7"/>
      <c r="X168" s="7"/>
      <c r="Y168" s="7"/>
    </row>
    <row r="169" spans="22:25" x14ac:dyDescent="0.2">
      <c r="V169" s="7"/>
      <c r="X169" s="7"/>
      <c r="Y169" s="7"/>
    </row>
    <row r="170" spans="22:25" x14ac:dyDescent="0.2">
      <c r="V170" s="7"/>
      <c r="X170" s="7"/>
      <c r="Y170" s="7"/>
    </row>
    <row r="171" spans="22:25" x14ac:dyDescent="0.2">
      <c r="V171" s="7"/>
      <c r="X171" s="7"/>
      <c r="Y171" s="7"/>
    </row>
    <row r="172" spans="22:25" x14ac:dyDescent="0.2">
      <c r="V172" s="7"/>
      <c r="X172" s="7"/>
      <c r="Y172" s="7"/>
    </row>
    <row r="173" spans="22:25" x14ac:dyDescent="0.2">
      <c r="V173" s="7"/>
      <c r="X173" s="7"/>
      <c r="Y173" s="7"/>
    </row>
    <row r="174" spans="22:25" x14ac:dyDescent="0.2">
      <c r="V174" s="7"/>
      <c r="X174" s="7"/>
      <c r="Y174" s="7"/>
    </row>
    <row r="175" spans="22:25" x14ac:dyDescent="0.2">
      <c r="V175" s="7"/>
      <c r="X175" s="7"/>
      <c r="Y175" s="7"/>
    </row>
    <row r="176" spans="22:25" x14ac:dyDescent="0.2">
      <c r="V176" s="7"/>
      <c r="X176" s="7"/>
      <c r="Y176" s="7"/>
    </row>
    <row r="177" spans="22:25" x14ac:dyDescent="0.2">
      <c r="V177" s="7"/>
      <c r="X177" s="7"/>
      <c r="Y177" s="7"/>
    </row>
    <row r="178" spans="22:25" x14ac:dyDescent="0.2">
      <c r="V178" s="7"/>
      <c r="X178" s="7"/>
      <c r="Y178" s="7"/>
    </row>
    <row r="179" spans="22:25" x14ac:dyDescent="0.2">
      <c r="V179" s="7"/>
      <c r="X179" s="7"/>
      <c r="Y179" s="7"/>
    </row>
    <row r="180" spans="22:25" x14ac:dyDescent="0.2">
      <c r="V180" s="7"/>
      <c r="X180" s="7"/>
      <c r="Y180" s="7"/>
    </row>
    <row r="181" spans="22:25" x14ac:dyDescent="0.2">
      <c r="V181" s="7"/>
      <c r="X181" s="7"/>
      <c r="Y181" s="7"/>
    </row>
    <row r="182" spans="22:25" x14ac:dyDescent="0.2">
      <c r="V182" s="7"/>
      <c r="X182" s="7"/>
      <c r="Y182" s="7"/>
    </row>
    <row r="183" spans="22:25" x14ac:dyDescent="0.2">
      <c r="V183" s="7"/>
      <c r="X183" s="7"/>
      <c r="Y183" s="7"/>
    </row>
    <row r="184" spans="22:25" x14ac:dyDescent="0.2">
      <c r="V184" s="7"/>
      <c r="X184" s="7"/>
      <c r="Y184" s="7"/>
    </row>
    <row r="185" spans="22:25" x14ac:dyDescent="0.2">
      <c r="V185" s="7"/>
      <c r="X185" s="7"/>
      <c r="Y185" s="7"/>
    </row>
    <row r="186" spans="22:25" x14ac:dyDescent="0.2">
      <c r="V186" s="7"/>
      <c r="X186" s="7"/>
      <c r="Y186" s="7"/>
    </row>
    <row r="187" spans="22:25" x14ac:dyDescent="0.2">
      <c r="V187" s="7"/>
      <c r="X187" s="7"/>
      <c r="Y187" s="7"/>
    </row>
    <row r="188" spans="22:25" x14ac:dyDescent="0.2">
      <c r="V188" s="7"/>
      <c r="X188" s="7"/>
      <c r="Y188" s="7"/>
    </row>
    <row r="189" spans="22:25" x14ac:dyDescent="0.2">
      <c r="V189" s="7"/>
      <c r="X189" s="7"/>
      <c r="Y189" s="7"/>
    </row>
    <row r="190" spans="22:25" x14ac:dyDescent="0.2">
      <c r="V190" s="7"/>
      <c r="X190" s="7"/>
      <c r="Y190" s="7"/>
    </row>
    <row r="191" spans="22:25" x14ac:dyDescent="0.2">
      <c r="V191" s="7"/>
      <c r="X191" s="7"/>
      <c r="Y191" s="7"/>
    </row>
    <row r="192" spans="22:25" x14ac:dyDescent="0.2">
      <c r="V192" s="7"/>
      <c r="X192" s="7"/>
      <c r="Y192" s="7"/>
    </row>
    <row r="193" spans="22:25" x14ac:dyDescent="0.2">
      <c r="V193" s="7"/>
      <c r="X193" s="7"/>
      <c r="Y193" s="7"/>
    </row>
    <row r="194" spans="22:25" x14ac:dyDescent="0.2">
      <c r="V194" s="7"/>
      <c r="X194" s="7"/>
      <c r="Y194" s="7"/>
    </row>
    <row r="195" spans="22:25" x14ac:dyDescent="0.2">
      <c r="V195" s="7"/>
      <c r="X195" s="7"/>
      <c r="Y195" s="7"/>
    </row>
    <row r="196" spans="22:25" x14ac:dyDescent="0.2">
      <c r="V196" s="7"/>
      <c r="X196" s="7"/>
      <c r="Y196" s="7"/>
    </row>
    <row r="197" spans="22:25" x14ac:dyDescent="0.2">
      <c r="V197" s="7"/>
      <c r="X197" s="7"/>
      <c r="Y197" s="7"/>
    </row>
    <row r="198" spans="22:25" x14ac:dyDescent="0.2">
      <c r="V198" s="7"/>
      <c r="X198" s="7"/>
      <c r="Y198" s="7"/>
    </row>
    <row r="199" spans="22:25" x14ac:dyDescent="0.2">
      <c r="V199" s="7"/>
      <c r="X199" s="7"/>
      <c r="Y199" s="7"/>
    </row>
    <row r="200" spans="22:25" x14ac:dyDescent="0.2">
      <c r="V200" s="7"/>
      <c r="X200" s="7"/>
      <c r="Y200" s="7"/>
    </row>
    <row r="201" spans="22:25" x14ac:dyDescent="0.2">
      <c r="V201" s="7"/>
      <c r="X201" s="7"/>
      <c r="Y201" s="7"/>
    </row>
    <row r="202" spans="22:25" x14ac:dyDescent="0.2">
      <c r="V202" s="7"/>
      <c r="X202" s="7"/>
      <c r="Y202" s="7"/>
    </row>
    <row r="203" spans="22:25" x14ac:dyDescent="0.2">
      <c r="V203" s="7"/>
      <c r="X203" s="7"/>
      <c r="Y203" s="7"/>
    </row>
    <row r="204" spans="22:25" x14ac:dyDescent="0.2">
      <c r="V204" s="7"/>
      <c r="X204" s="7"/>
      <c r="Y204" s="7"/>
    </row>
    <row r="205" spans="22:25" x14ac:dyDescent="0.2">
      <c r="V205" s="7"/>
      <c r="X205" s="7"/>
      <c r="Y205" s="7"/>
    </row>
    <row r="206" spans="22:25" x14ac:dyDescent="0.2">
      <c r="V206" s="7"/>
      <c r="X206" s="7"/>
      <c r="Y206" s="7"/>
    </row>
    <row r="207" spans="22:25" x14ac:dyDescent="0.2">
      <c r="V207" s="7"/>
      <c r="X207" s="7"/>
      <c r="Y207" s="7"/>
    </row>
    <row r="208" spans="22:25" x14ac:dyDescent="0.2">
      <c r="V208" s="7"/>
      <c r="X208" s="7"/>
      <c r="Y208" s="7"/>
    </row>
    <row r="209" spans="22:25" x14ac:dyDescent="0.2">
      <c r="V209" s="7"/>
      <c r="X209" s="7"/>
      <c r="Y209" s="7"/>
    </row>
    <row r="210" spans="22:25" x14ac:dyDescent="0.2">
      <c r="V210" s="7"/>
      <c r="X210" s="7"/>
      <c r="Y210" s="7"/>
    </row>
    <row r="211" spans="22:25" x14ac:dyDescent="0.2">
      <c r="V211" s="7"/>
      <c r="X211" s="7"/>
      <c r="Y211" s="7"/>
    </row>
    <row r="212" spans="22:25" x14ac:dyDescent="0.2">
      <c r="V212" s="7"/>
      <c r="X212" s="7"/>
      <c r="Y212" s="7"/>
    </row>
    <row r="213" spans="22:25" x14ac:dyDescent="0.2">
      <c r="V213" s="7"/>
      <c r="X213" s="7"/>
      <c r="Y213" s="7"/>
    </row>
    <row r="214" spans="22:25" x14ac:dyDescent="0.2">
      <c r="V214" s="7"/>
      <c r="X214" s="7"/>
      <c r="Y214" s="7"/>
    </row>
    <row r="215" spans="22:25" x14ac:dyDescent="0.2">
      <c r="V215" s="7"/>
      <c r="X215" s="7"/>
      <c r="Y215" s="7"/>
    </row>
    <row r="216" spans="22:25" x14ac:dyDescent="0.2">
      <c r="V216" s="7"/>
      <c r="X216" s="7"/>
      <c r="Y216" s="7"/>
    </row>
    <row r="217" spans="22:25" x14ac:dyDescent="0.2">
      <c r="V217" s="7"/>
      <c r="X217" s="7"/>
      <c r="Y217" s="7"/>
    </row>
    <row r="218" spans="22:25" x14ac:dyDescent="0.2">
      <c r="V218" s="7"/>
      <c r="X218" s="7"/>
      <c r="Y218" s="7"/>
    </row>
    <row r="219" spans="22:25" x14ac:dyDescent="0.2">
      <c r="V219" s="7"/>
      <c r="X219" s="7"/>
      <c r="Y219" s="7"/>
    </row>
    <row r="220" spans="22:25" x14ac:dyDescent="0.2">
      <c r="V220" s="7"/>
      <c r="X220" s="7"/>
      <c r="Y220" s="7"/>
    </row>
    <row r="221" spans="22:25" x14ac:dyDescent="0.2">
      <c r="V221" s="7"/>
      <c r="X221" s="7"/>
      <c r="Y221" s="7"/>
    </row>
    <row r="222" spans="22:25" x14ac:dyDescent="0.2">
      <c r="V222" s="7"/>
      <c r="X222" s="7"/>
      <c r="Y222" s="7"/>
    </row>
    <row r="223" spans="22:25" x14ac:dyDescent="0.2">
      <c r="V223" s="7"/>
      <c r="X223" s="7"/>
      <c r="Y223" s="7"/>
    </row>
    <row r="224" spans="22:25" x14ac:dyDescent="0.2">
      <c r="V224" s="7"/>
      <c r="X224" s="7"/>
      <c r="Y224" s="7"/>
    </row>
    <row r="225" spans="22:25" x14ac:dyDescent="0.2">
      <c r="V225" s="7"/>
      <c r="X225" s="7"/>
      <c r="Y225" s="7"/>
    </row>
    <row r="226" spans="22:25" x14ac:dyDescent="0.2">
      <c r="V226" s="7"/>
      <c r="X226" s="7"/>
      <c r="Y226" s="7"/>
    </row>
    <row r="227" spans="22:25" x14ac:dyDescent="0.2">
      <c r="V227" s="7"/>
      <c r="X227" s="7"/>
      <c r="Y227" s="7"/>
    </row>
    <row r="228" spans="22:25" x14ac:dyDescent="0.2">
      <c r="V228" s="7"/>
      <c r="X228" s="7"/>
      <c r="Y228" s="7"/>
    </row>
    <row r="229" spans="22:25" x14ac:dyDescent="0.2">
      <c r="V229" s="7"/>
      <c r="X229" s="7"/>
      <c r="Y229" s="7"/>
    </row>
    <row r="230" spans="22:25" x14ac:dyDescent="0.2">
      <c r="V230" s="7"/>
      <c r="X230" s="7"/>
      <c r="Y230" s="7"/>
    </row>
    <row r="231" spans="22:25" x14ac:dyDescent="0.2">
      <c r="V231" s="7"/>
      <c r="X231" s="7"/>
      <c r="Y231" s="7"/>
    </row>
    <row r="232" spans="22:25" x14ac:dyDescent="0.2">
      <c r="V232" s="7"/>
      <c r="X232" s="7"/>
      <c r="Y232" s="7"/>
    </row>
    <row r="233" spans="22:25" x14ac:dyDescent="0.2">
      <c r="V233" s="7"/>
      <c r="X233" s="7"/>
      <c r="Y233" s="7"/>
    </row>
    <row r="234" spans="22:25" x14ac:dyDescent="0.2">
      <c r="V234" s="7"/>
      <c r="X234" s="7"/>
      <c r="Y234" s="7"/>
    </row>
    <row r="235" spans="22:25" x14ac:dyDescent="0.2">
      <c r="V235" s="7"/>
      <c r="X235" s="7"/>
      <c r="Y235" s="7"/>
    </row>
    <row r="236" spans="22:25" x14ac:dyDescent="0.2">
      <c r="V236" s="7"/>
      <c r="X236" s="7"/>
      <c r="Y236" s="7"/>
    </row>
    <row r="237" spans="22:25" x14ac:dyDescent="0.2">
      <c r="V237" s="7"/>
      <c r="X237" s="7"/>
      <c r="Y237" s="7"/>
    </row>
    <row r="238" spans="22:25" x14ac:dyDescent="0.2">
      <c r="V238" s="7"/>
      <c r="X238" s="7"/>
      <c r="Y238" s="7"/>
    </row>
    <row r="239" spans="22:25" x14ac:dyDescent="0.2">
      <c r="V239" s="7"/>
      <c r="X239" s="7"/>
      <c r="Y239" s="7"/>
    </row>
    <row r="240" spans="22:25" x14ac:dyDescent="0.2">
      <c r="V240" s="7"/>
      <c r="X240" s="7"/>
      <c r="Y240" s="7"/>
    </row>
    <row r="241" spans="22:25" x14ac:dyDescent="0.2">
      <c r="V241" s="7"/>
      <c r="X241" s="7"/>
      <c r="Y241" s="7"/>
    </row>
    <row r="242" spans="22:25" x14ac:dyDescent="0.2">
      <c r="V242" s="7"/>
      <c r="X242" s="7"/>
      <c r="Y242" s="7"/>
    </row>
    <row r="243" spans="22:25" x14ac:dyDescent="0.2">
      <c r="V243" s="7"/>
      <c r="X243" s="7"/>
      <c r="Y243" s="7"/>
    </row>
    <row r="244" spans="22:25" x14ac:dyDescent="0.2">
      <c r="V244" s="7"/>
      <c r="X244" s="7"/>
      <c r="Y244" s="7"/>
    </row>
    <row r="245" spans="22:25" x14ac:dyDescent="0.2">
      <c r="V245" s="7"/>
      <c r="X245" s="7"/>
      <c r="Y245" s="7"/>
    </row>
    <row r="246" spans="22:25" x14ac:dyDescent="0.2">
      <c r="V246" s="7"/>
      <c r="X246" s="7"/>
      <c r="Y246" s="7"/>
    </row>
    <row r="247" spans="22:25" x14ac:dyDescent="0.2">
      <c r="V247" s="7"/>
      <c r="X247" s="7"/>
      <c r="Y247" s="7"/>
    </row>
    <row r="248" spans="22:25" x14ac:dyDescent="0.2">
      <c r="V248" s="7"/>
      <c r="X248" s="7"/>
      <c r="Y248" s="7"/>
    </row>
    <row r="249" spans="22:25" x14ac:dyDescent="0.2">
      <c r="V249" s="7"/>
      <c r="X249" s="7"/>
      <c r="Y249" s="7"/>
    </row>
    <row r="250" spans="22:25" x14ac:dyDescent="0.2">
      <c r="V250" s="7"/>
      <c r="X250" s="7"/>
      <c r="Y250" s="7"/>
    </row>
    <row r="251" spans="22:25" x14ac:dyDescent="0.2">
      <c r="V251" s="7"/>
      <c r="X251" s="7"/>
      <c r="Y251" s="7"/>
    </row>
    <row r="252" spans="22:25" x14ac:dyDescent="0.2">
      <c r="V252" s="7"/>
      <c r="X252" s="7"/>
      <c r="Y252" s="7"/>
    </row>
    <row r="253" spans="22:25" x14ac:dyDescent="0.2">
      <c r="V253" s="7"/>
      <c r="X253" s="7"/>
      <c r="Y253" s="7"/>
    </row>
    <row r="254" spans="22:25" x14ac:dyDescent="0.2">
      <c r="V254" s="7"/>
      <c r="X254" s="7"/>
      <c r="Y254" s="7"/>
    </row>
    <row r="255" spans="22:25" x14ac:dyDescent="0.2">
      <c r="V255" s="7"/>
      <c r="X255" s="7"/>
      <c r="Y255" s="7"/>
    </row>
    <row r="256" spans="22:25" x14ac:dyDescent="0.2">
      <c r="V256" s="7"/>
      <c r="X256" s="7"/>
      <c r="Y256" s="7"/>
    </row>
    <row r="257" spans="22:25" x14ac:dyDescent="0.2">
      <c r="V257" s="7"/>
      <c r="X257" s="7"/>
      <c r="Y257" s="7"/>
    </row>
    <row r="258" spans="22:25" x14ac:dyDescent="0.2">
      <c r="V258" s="7"/>
      <c r="X258" s="7"/>
      <c r="Y258" s="7"/>
    </row>
    <row r="259" spans="22:25" x14ac:dyDescent="0.2">
      <c r="V259" s="7"/>
      <c r="X259" s="7"/>
      <c r="Y259" s="7"/>
    </row>
    <row r="260" spans="22:25" x14ac:dyDescent="0.2">
      <c r="V260" s="7"/>
      <c r="X260" s="7"/>
      <c r="Y260" s="7"/>
    </row>
    <row r="261" spans="22:25" x14ac:dyDescent="0.2">
      <c r="V261" s="7"/>
      <c r="X261" s="7"/>
      <c r="Y261" s="7"/>
    </row>
    <row r="262" spans="22:25" x14ac:dyDescent="0.2">
      <c r="V262" s="7"/>
      <c r="X262" s="7"/>
      <c r="Y262" s="7"/>
    </row>
    <row r="263" spans="22:25" x14ac:dyDescent="0.2">
      <c r="V263" s="7"/>
      <c r="X263" s="7"/>
      <c r="Y263" s="7"/>
    </row>
    <row r="264" spans="22:25" x14ac:dyDescent="0.2">
      <c r="V264" s="7"/>
      <c r="X264" s="7"/>
      <c r="Y264" s="7"/>
    </row>
    <row r="265" spans="22:25" x14ac:dyDescent="0.2">
      <c r="V265" s="7"/>
      <c r="X265" s="7"/>
      <c r="Y265" s="7"/>
    </row>
    <row r="266" spans="22:25" x14ac:dyDescent="0.2">
      <c r="V266" s="7"/>
      <c r="X266" s="7"/>
      <c r="Y266" s="7"/>
    </row>
    <row r="267" spans="22:25" x14ac:dyDescent="0.2">
      <c r="V267" s="7"/>
      <c r="X267" s="7"/>
      <c r="Y267" s="7"/>
    </row>
    <row r="268" spans="22:25" x14ac:dyDescent="0.2">
      <c r="V268" s="7"/>
      <c r="X268" s="7"/>
      <c r="Y268" s="7"/>
    </row>
    <row r="269" spans="22:25" x14ac:dyDescent="0.2">
      <c r="V269" s="7"/>
      <c r="X269" s="7"/>
      <c r="Y269" s="7"/>
    </row>
    <row r="270" spans="22:25" x14ac:dyDescent="0.2">
      <c r="V270" s="7"/>
      <c r="X270" s="7"/>
      <c r="Y270" s="7"/>
    </row>
    <row r="271" spans="22:25" x14ac:dyDescent="0.2">
      <c r="V271" s="7"/>
      <c r="X271" s="7"/>
      <c r="Y271" s="7"/>
    </row>
    <row r="272" spans="22:25" x14ac:dyDescent="0.2">
      <c r="V272" s="7"/>
      <c r="X272" s="7"/>
      <c r="Y272" s="7"/>
    </row>
    <row r="273" spans="22:25" x14ac:dyDescent="0.2">
      <c r="V273" s="7"/>
      <c r="X273" s="7"/>
      <c r="Y273" s="7"/>
    </row>
    <row r="274" spans="22:25" x14ac:dyDescent="0.2">
      <c r="V274" s="7"/>
      <c r="X274" s="7"/>
      <c r="Y274" s="7"/>
    </row>
    <row r="275" spans="22:25" x14ac:dyDescent="0.2">
      <c r="V275" s="7"/>
      <c r="X275" s="7"/>
      <c r="Y275" s="7"/>
    </row>
    <row r="276" spans="22:25" x14ac:dyDescent="0.2">
      <c r="V276" s="7"/>
      <c r="X276" s="7"/>
      <c r="Y276" s="7"/>
    </row>
    <row r="277" spans="22:25" x14ac:dyDescent="0.2">
      <c r="V277" s="7"/>
      <c r="X277" s="7"/>
      <c r="Y277" s="7"/>
    </row>
    <row r="278" spans="22:25" x14ac:dyDescent="0.2">
      <c r="V278" s="7"/>
      <c r="X278" s="7"/>
      <c r="Y278" s="7"/>
    </row>
    <row r="279" spans="22:25" x14ac:dyDescent="0.2">
      <c r="V279" s="7"/>
      <c r="X279" s="7"/>
      <c r="Y279" s="7"/>
    </row>
    <row r="280" spans="22:25" x14ac:dyDescent="0.2">
      <c r="V280" s="7"/>
      <c r="X280" s="7"/>
      <c r="Y280" s="7"/>
    </row>
    <row r="281" spans="22:25" x14ac:dyDescent="0.2">
      <c r="V281" s="7"/>
      <c r="X281" s="7"/>
      <c r="Y281" s="7"/>
    </row>
    <row r="282" spans="22:25" x14ac:dyDescent="0.2">
      <c r="V282" s="7"/>
      <c r="X282" s="7"/>
      <c r="Y282" s="7"/>
    </row>
    <row r="283" spans="22:25" x14ac:dyDescent="0.2">
      <c r="V283" s="7"/>
      <c r="X283" s="7"/>
      <c r="Y283" s="7"/>
    </row>
    <row r="284" spans="22:25" x14ac:dyDescent="0.2">
      <c r="V284" s="7"/>
      <c r="X284" s="7"/>
      <c r="Y284" s="7"/>
    </row>
    <row r="285" spans="22:25" x14ac:dyDescent="0.2">
      <c r="V285" s="7"/>
      <c r="X285" s="7"/>
      <c r="Y285" s="7"/>
    </row>
    <row r="286" spans="22:25" x14ac:dyDescent="0.2">
      <c r="V286" s="7"/>
      <c r="X286" s="7"/>
      <c r="Y286" s="7"/>
    </row>
    <row r="287" spans="22:25" x14ac:dyDescent="0.2">
      <c r="V287" s="7"/>
      <c r="X287" s="7"/>
      <c r="Y287" s="7"/>
    </row>
    <row r="288" spans="22:25" x14ac:dyDescent="0.2">
      <c r="V288" s="7"/>
      <c r="X288" s="7"/>
      <c r="Y288" s="7"/>
    </row>
    <row r="289" spans="22:25" x14ac:dyDescent="0.2">
      <c r="V289" s="7"/>
      <c r="X289" s="7"/>
      <c r="Y289" s="7"/>
    </row>
    <row r="290" spans="22:25" x14ac:dyDescent="0.2">
      <c r="V290" s="7"/>
      <c r="X290" s="7"/>
      <c r="Y290" s="7"/>
    </row>
    <row r="291" spans="22:25" x14ac:dyDescent="0.2">
      <c r="V291" s="7"/>
      <c r="X291" s="7"/>
      <c r="Y291" s="7"/>
    </row>
    <row r="292" spans="22:25" x14ac:dyDescent="0.2">
      <c r="V292" s="7"/>
      <c r="X292" s="7"/>
      <c r="Y292" s="7"/>
    </row>
    <row r="293" spans="22:25" x14ac:dyDescent="0.2">
      <c r="V293" s="7"/>
      <c r="X293" s="7"/>
      <c r="Y293" s="7"/>
    </row>
    <row r="294" spans="22:25" x14ac:dyDescent="0.2">
      <c r="V294" s="7"/>
      <c r="X294" s="7"/>
      <c r="Y294" s="7"/>
    </row>
    <row r="295" spans="22:25" x14ac:dyDescent="0.2">
      <c r="V295" s="7"/>
      <c r="X295" s="7"/>
      <c r="Y295" s="7"/>
    </row>
    <row r="296" spans="22:25" x14ac:dyDescent="0.2">
      <c r="V296" s="7"/>
      <c r="X296" s="7"/>
      <c r="Y296" s="7"/>
    </row>
    <row r="297" spans="22:25" x14ac:dyDescent="0.2">
      <c r="V297" s="7"/>
      <c r="X297" s="7"/>
      <c r="Y297" s="7"/>
    </row>
    <row r="298" spans="22:25" x14ac:dyDescent="0.2">
      <c r="V298" s="7"/>
      <c r="X298" s="7"/>
      <c r="Y298" s="7"/>
    </row>
    <row r="299" spans="22:25" x14ac:dyDescent="0.2">
      <c r="V299" s="7"/>
      <c r="X299" s="7"/>
      <c r="Y299" s="7"/>
    </row>
    <row r="300" spans="22:25" x14ac:dyDescent="0.2">
      <c r="V300" s="7"/>
      <c r="X300" s="7"/>
      <c r="Y300" s="7"/>
    </row>
    <row r="301" spans="22:25" x14ac:dyDescent="0.2">
      <c r="V301" s="7"/>
      <c r="X301" s="7"/>
      <c r="Y301" s="7"/>
    </row>
    <row r="302" spans="22:25" x14ac:dyDescent="0.2">
      <c r="V302" s="7"/>
      <c r="X302" s="7"/>
      <c r="Y302" s="7"/>
    </row>
    <row r="303" spans="22:25" x14ac:dyDescent="0.2">
      <c r="V303" s="7"/>
      <c r="X303" s="7"/>
      <c r="Y303" s="7"/>
    </row>
    <row r="304" spans="22:25" x14ac:dyDescent="0.2">
      <c r="V304" s="7"/>
      <c r="X304" s="7"/>
      <c r="Y304" s="7"/>
    </row>
    <row r="305" spans="22:25" x14ac:dyDescent="0.2">
      <c r="V305" s="7"/>
      <c r="X305" s="7"/>
      <c r="Y305" s="7"/>
    </row>
    <row r="306" spans="22:25" x14ac:dyDescent="0.2">
      <c r="V306" s="7"/>
      <c r="X306" s="7"/>
      <c r="Y306" s="7"/>
    </row>
    <row r="307" spans="22:25" x14ac:dyDescent="0.2">
      <c r="V307" s="7"/>
      <c r="X307" s="7"/>
      <c r="Y307" s="7"/>
    </row>
    <row r="308" spans="22:25" x14ac:dyDescent="0.2">
      <c r="V308" s="7"/>
      <c r="X308" s="7"/>
      <c r="Y308" s="7"/>
    </row>
    <row r="309" spans="22:25" x14ac:dyDescent="0.2">
      <c r="V309" s="7"/>
      <c r="X309" s="7"/>
      <c r="Y309" s="7"/>
    </row>
    <row r="310" spans="22:25" x14ac:dyDescent="0.2">
      <c r="V310" s="7"/>
      <c r="X310" s="7"/>
      <c r="Y310" s="7"/>
    </row>
    <row r="311" spans="22:25" x14ac:dyDescent="0.2">
      <c r="V311" s="7"/>
      <c r="X311" s="7"/>
      <c r="Y311" s="7"/>
    </row>
    <row r="312" spans="22:25" x14ac:dyDescent="0.2">
      <c r="V312" s="7"/>
      <c r="X312" s="7"/>
      <c r="Y312" s="7"/>
    </row>
    <row r="313" spans="22:25" x14ac:dyDescent="0.2">
      <c r="V313" s="7"/>
      <c r="X313" s="7"/>
      <c r="Y313" s="7"/>
    </row>
    <row r="314" spans="22:25" x14ac:dyDescent="0.2">
      <c r="V314" s="7"/>
      <c r="X314" s="7"/>
      <c r="Y314" s="7"/>
    </row>
    <row r="315" spans="22:25" x14ac:dyDescent="0.2">
      <c r="V315" s="7"/>
      <c r="X315" s="7"/>
      <c r="Y315" s="7"/>
    </row>
    <row r="316" spans="22:25" x14ac:dyDescent="0.2">
      <c r="V316" s="7"/>
      <c r="X316" s="7"/>
      <c r="Y316" s="7"/>
    </row>
    <row r="317" spans="22:25" x14ac:dyDescent="0.2">
      <c r="V317" s="7"/>
      <c r="X317" s="7"/>
      <c r="Y317" s="7"/>
    </row>
    <row r="318" spans="22:25" x14ac:dyDescent="0.2">
      <c r="V318" s="7"/>
      <c r="X318" s="7"/>
      <c r="Y318" s="7"/>
    </row>
    <row r="319" spans="22:25" x14ac:dyDescent="0.2">
      <c r="V319" s="7"/>
      <c r="X319" s="7"/>
      <c r="Y319" s="7"/>
    </row>
    <row r="320" spans="22:25" x14ac:dyDescent="0.2">
      <c r="V320" s="7"/>
      <c r="X320" s="7"/>
      <c r="Y320" s="7"/>
    </row>
    <row r="321" spans="22:25" x14ac:dyDescent="0.2">
      <c r="V321" s="7"/>
      <c r="X321" s="7"/>
      <c r="Y321" s="7"/>
    </row>
    <row r="322" spans="22:25" x14ac:dyDescent="0.2">
      <c r="V322" s="7"/>
      <c r="X322" s="7"/>
      <c r="Y322" s="7"/>
    </row>
    <row r="323" spans="22:25" x14ac:dyDescent="0.2">
      <c r="V323" s="7"/>
      <c r="X323" s="7"/>
      <c r="Y323" s="7"/>
    </row>
    <row r="324" spans="22:25" x14ac:dyDescent="0.2">
      <c r="V324" s="7"/>
      <c r="X324" s="7"/>
      <c r="Y324" s="7"/>
    </row>
    <row r="325" spans="22:25" x14ac:dyDescent="0.2">
      <c r="V325" s="7"/>
      <c r="X325" s="7"/>
      <c r="Y325" s="7"/>
    </row>
    <row r="326" spans="22:25" x14ac:dyDescent="0.2">
      <c r="V326" s="7"/>
      <c r="X326" s="7"/>
      <c r="Y326" s="7"/>
    </row>
    <row r="327" spans="22:25" x14ac:dyDescent="0.2">
      <c r="V327" s="7"/>
      <c r="X327" s="7"/>
      <c r="Y327" s="7"/>
    </row>
    <row r="328" spans="22:25" x14ac:dyDescent="0.2">
      <c r="V328" s="7"/>
      <c r="X328" s="7"/>
      <c r="Y328" s="7"/>
    </row>
    <row r="329" spans="22:25" x14ac:dyDescent="0.2">
      <c r="V329" s="7"/>
      <c r="X329" s="7"/>
      <c r="Y329" s="7"/>
    </row>
    <row r="330" spans="22:25" x14ac:dyDescent="0.2">
      <c r="V330" s="7"/>
      <c r="X330" s="7"/>
      <c r="Y330" s="7"/>
    </row>
    <row r="331" spans="22:25" x14ac:dyDescent="0.2">
      <c r="V331" s="7"/>
      <c r="X331" s="7"/>
      <c r="Y331" s="7"/>
    </row>
    <row r="332" spans="22:25" x14ac:dyDescent="0.2">
      <c r="V332" s="7"/>
      <c r="X332" s="7"/>
      <c r="Y332" s="7"/>
    </row>
    <row r="333" spans="22:25" x14ac:dyDescent="0.2">
      <c r="V333" s="7"/>
      <c r="X333" s="7"/>
      <c r="Y333" s="7"/>
    </row>
    <row r="334" spans="22:25" x14ac:dyDescent="0.2">
      <c r="V334" s="7"/>
      <c r="X334" s="7"/>
      <c r="Y334" s="7"/>
    </row>
    <row r="335" spans="22:25" x14ac:dyDescent="0.2">
      <c r="V335" s="7"/>
      <c r="X335" s="7"/>
      <c r="Y335" s="7"/>
    </row>
    <row r="336" spans="22:25" x14ac:dyDescent="0.2">
      <c r="V336" s="7"/>
      <c r="X336" s="7"/>
      <c r="Y336" s="7"/>
    </row>
    <row r="337" spans="22:25" x14ac:dyDescent="0.2">
      <c r="V337" s="7"/>
      <c r="X337" s="7"/>
      <c r="Y337" s="7"/>
    </row>
    <row r="338" spans="22:25" x14ac:dyDescent="0.2">
      <c r="V338" s="7"/>
      <c r="X338" s="7"/>
      <c r="Y338" s="7"/>
    </row>
    <row r="339" spans="22:25" x14ac:dyDescent="0.2">
      <c r="V339" s="7"/>
      <c r="X339" s="7"/>
      <c r="Y339" s="7"/>
    </row>
    <row r="340" spans="22:25" x14ac:dyDescent="0.2">
      <c r="V340" s="7"/>
      <c r="X340" s="7"/>
      <c r="Y340" s="7"/>
    </row>
    <row r="341" spans="22:25" x14ac:dyDescent="0.2">
      <c r="V341" s="7"/>
      <c r="X341" s="7"/>
      <c r="Y341" s="7"/>
    </row>
    <row r="342" spans="22:25" x14ac:dyDescent="0.2">
      <c r="V342" s="7"/>
      <c r="X342" s="7"/>
      <c r="Y342" s="7"/>
    </row>
    <row r="343" spans="22:25" x14ac:dyDescent="0.2">
      <c r="V343" s="7"/>
      <c r="X343" s="7"/>
      <c r="Y343" s="7"/>
    </row>
    <row r="344" spans="22:25" x14ac:dyDescent="0.2">
      <c r="V344" s="7"/>
      <c r="X344" s="7"/>
      <c r="Y344" s="7"/>
    </row>
    <row r="345" spans="22:25" x14ac:dyDescent="0.2">
      <c r="V345" s="7"/>
      <c r="X345" s="7"/>
      <c r="Y345" s="7"/>
    </row>
    <row r="346" spans="22:25" x14ac:dyDescent="0.2">
      <c r="V346" s="7"/>
      <c r="X346" s="7"/>
      <c r="Y346" s="7"/>
    </row>
    <row r="347" spans="22:25" x14ac:dyDescent="0.2">
      <c r="V347" s="7"/>
      <c r="X347" s="7"/>
      <c r="Y347" s="7"/>
    </row>
    <row r="348" spans="22:25" x14ac:dyDescent="0.2">
      <c r="V348" s="7"/>
      <c r="X348" s="7"/>
      <c r="Y348" s="7"/>
    </row>
    <row r="349" spans="22:25" x14ac:dyDescent="0.2">
      <c r="V349" s="7"/>
      <c r="X349" s="7"/>
      <c r="Y349" s="7"/>
    </row>
    <row r="350" spans="22:25" x14ac:dyDescent="0.2">
      <c r="V350" s="7"/>
      <c r="X350" s="7"/>
      <c r="Y350" s="7"/>
    </row>
    <row r="351" spans="22:25" x14ac:dyDescent="0.2">
      <c r="V351" s="7"/>
      <c r="X351" s="7"/>
      <c r="Y351" s="7"/>
    </row>
    <row r="352" spans="22:25" x14ac:dyDescent="0.2">
      <c r="V352" s="7"/>
      <c r="X352" s="7"/>
      <c r="Y352" s="7"/>
    </row>
    <row r="353" spans="22:25" x14ac:dyDescent="0.2">
      <c r="V353" s="7"/>
      <c r="X353" s="7"/>
      <c r="Y353" s="7"/>
    </row>
    <row r="354" spans="22:25" x14ac:dyDescent="0.2">
      <c r="V354" s="7"/>
      <c r="X354" s="7"/>
      <c r="Y354" s="7"/>
    </row>
    <row r="355" spans="22:25" x14ac:dyDescent="0.2">
      <c r="V355" s="7"/>
      <c r="X355" s="7"/>
      <c r="Y355" s="7"/>
    </row>
    <row r="356" spans="22:25" x14ac:dyDescent="0.2">
      <c r="V356" s="7"/>
      <c r="X356" s="7"/>
      <c r="Y356" s="7"/>
    </row>
    <row r="357" spans="22:25" x14ac:dyDescent="0.2">
      <c r="V357" s="7"/>
      <c r="X357" s="7"/>
      <c r="Y357" s="7"/>
    </row>
    <row r="358" spans="22:25" x14ac:dyDescent="0.2">
      <c r="V358" s="7"/>
      <c r="X358" s="7"/>
      <c r="Y358" s="7"/>
    </row>
    <row r="359" spans="22:25" x14ac:dyDescent="0.2">
      <c r="V359" s="7"/>
      <c r="X359" s="7"/>
      <c r="Y359" s="7"/>
    </row>
    <row r="360" spans="22:25" x14ac:dyDescent="0.2">
      <c r="V360" s="7"/>
      <c r="X360" s="7"/>
      <c r="Y360" s="7"/>
    </row>
    <row r="361" spans="22:25" x14ac:dyDescent="0.2">
      <c r="V361" s="7"/>
      <c r="X361" s="7"/>
      <c r="Y361" s="7"/>
    </row>
    <row r="362" spans="22:25" x14ac:dyDescent="0.2">
      <c r="V362" s="7"/>
      <c r="X362" s="7"/>
      <c r="Y362" s="7"/>
    </row>
    <row r="363" spans="22:25" x14ac:dyDescent="0.2">
      <c r="V363" s="7"/>
      <c r="X363" s="7"/>
      <c r="Y363" s="7"/>
    </row>
    <row r="364" spans="22:25" x14ac:dyDescent="0.2">
      <c r="V364" s="7"/>
      <c r="X364" s="7"/>
      <c r="Y364" s="7"/>
    </row>
    <row r="365" spans="22:25" x14ac:dyDescent="0.2">
      <c r="V365" s="7"/>
      <c r="X365" s="7"/>
      <c r="Y365" s="7"/>
    </row>
    <row r="366" spans="22:25" x14ac:dyDescent="0.2">
      <c r="V366" s="7"/>
      <c r="X366" s="7"/>
      <c r="Y366" s="7"/>
    </row>
    <row r="367" spans="22:25" x14ac:dyDescent="0.2">
      <c r="V367" s="7"/>
      <c r="X367" s="7"/>
      <c r="Y367" s="7"/>
    </row>
    <row r="368" spans="22:25" x14ac:dyDescent="0.2">
      <c r="V368" s="7"/>
      <c r="X368" s="7"/>
      <c r="Y368" s="7"/>
    </row>
    <row r="369" spans="22:25" x14ac:dyDescent="0.2">
      <c r="V369" s="7"/>
      <c r="X369" s="7"/>
      <c r="Y369" s="7"/>
    </row>
    <row r="370" spans="22:25" x14ac:dyDescent="0.2">
      <c r="V370" s="7"/>
      <c r="X370" s="7"/>
      <c r="Y370" s="7"/>
    </row>
    <row r="371" spans="22:25" x14ac:dyDescent="0.2">
      <c r="V371" s="7"/>
      <c r="X371" s="7"/>
      <c r="Y371" s="7"/>
    </row>
    <row r="372" spans="22:25" x14ac:dyDescent="0.2">
      <c r="V372" s="7"/>
      <c r="X372" s="7"/>
      <c r="Y372" s="7"/>
    </row>
    <row r="373" spans="22:25" x14ac:dyDescent="0.2">
      <c r="V373" s="7"/>
      <c r="X373" s="7"/>
      <c r="Y373" s="7"/>
    </row>
    <row r="374" spans="22:25" x14ac:dyDescent="0.2">
      <c r="V374" s="7"/>
      <c r="X374" s="7"/>
      <c r="Y374" s="7"/>
    </row>
    <row r="375" spans="22:25" x14ac:dyDescent="0.2">
      <c r="V375" s="7"/>
      <c r="X375" s="7"/>
      <c r="Y375" s="7"/>
    </row>
    <row r="376" spans="22:25" x14ac:dyDescent="0.2">
      <c r="V376" s="7"/>
      <c r="X376" s="7"/>
      <c r="Y376" s="7"/>
    </row>
    <row r="377" spans="22:25" x14ac:dyDescent="0.2">
      <c r="V377" s="7"/>
      <c r="X377" s="7"/>
      <c r="Y377" s="7"/>
    </row>
    <row r="378" spans="22:25" x14ac:dyDescent="0.2">
      <c r="V378" s="7"/>
      <c r="X378" s="7"/>
      <c r="Y378" s="7"/>
    </row>
    <row r="379" spans="22:25" x14ac:dyDescent="0.2">
      <c r="V379" s="7"/>
      <c r="X379" s="7"/>
      <c r="Y379" s="7"/>
    </row>
    <row r="380" spans="22:25" x14ac:dyDescent="0.2">
      <c r="V380" s="7"/>
      <c r="X380" s="7"/>
      <c r="Y380" s="7"/>
    </row>
    <row r="381" spans="22:25" x14ac:dyDescent="0.2">
      <c r="V381" s="7"/>
      <c r="X381" s="7"/>
      <c r="Y381" s="7"/>
    </row>
    <row r="382" spans="22:25" x14ac:dyDescent="0.2">
      <c r="V382" s="7"/>
      <c r="X382" s="7"/>
      <c r="Y382" s="7"/>
    </row>
    <row r="383" spans="22:25" x14ac:dyDescent="0.2">
      <c r="V383" s="7"/>
      <c r="X383" s="7"/>
      <c r="Y383" s="7"/>
    </row>
    <row r="384" spans="22:25" x14ac:dyDescent="0.2">
      <c r="V384" s="7"/>
      <c r="X384" s="7"/>
      <c r="Y384" s="7"/>
    </row>
    <row r="385" spans="22:25" x14ac:dyDescent="0.2">
      <c r="V385" s="7"/>
      <c r="X385" s="7"/>
      <c r="Y385" s="7"/>
    </row>
    <row r="386" spans="22:25" x14ac:dyDescent="0.2">
      <c r="V386" s="7"/>
      <c r="X386" s="7"/>
      <c r="Y386" s="7"/>
    </row>
    <row r="387" spans="22:25" x14ac:dyDescent="0.2">
      <c r="V387" s="7"/>
      <c r="X387" s="7"/>
      <c r="Y387" s="7"/>
    </row>
    <row r="388" spans="22:25" x14ac:dyDescent="0.2">
      <c r="V388" s="7"/>
      <c r="X388" s="7"/>
      <c r="Y388" s="7"/>
    </row>
    <row r="389" spans="22:25" x14ac:dyDescent="0.2">
      <c r="V389" s="7"/>
      <c r="X389" s="7"/>
      <c r="Y389" s="7"/>
    </row>
    <row r="390" spans="22:25" x14ac:dyDescent="0.2">
      <c r="V390" s="7"/>
      <c r="X390" s="7"/>
      <c r="Y390" s="7"/>
    </row>
    <row r="391" spans="22:25" x14ac:dyDescent="0.2">
      <c r="V391" s="7"/>
      <c r="X391" s="7"/>
      <c r="Y391" s="7"/>
    </row>
    <row r="392" spans="22:25" x14ac:dyDescent="0.2">
      <c r="V392" s="7"/>
      <c r="X392" s="7"/>
      <c r="Y392" s="7"/>
    </row>
    <row r="393" spans="22:25" x14ac:dyDescent="0.2">
      <c r="V393" s="7"/>
      <c r="X393" s="7"/>
      <c r="Y393" s="7"/>
    </row>
    <row r="394" spans="22:25" x14ac:dyDescent="0.2">
      <c r="V394" s="7"/>
      <c r="X394" s="7"/>
      <c r="Y394" s="7"/>
    </row>
    <row r="395" spans="22:25" x14ac:dyDescent="0.2">
      <c r="V395" s="7"/>
      <c r="X395" s="7"/>
      <c r="Y395" s="7"/>
    </row>
    <row r="396" spans="22:25" x14ac:dyDescent="0.2">
      <c r="V396" s="7"/>
      <c r="X396" s="7"/>
      <c r="Y396" s="7"/>
    </row>
    <row r="397" spans="22:25" x14ac:dyDescent="0.2">
      <c r="V397" s="7"/>
      <c r="X397" s="7"/>
      <c r="Y397" s="7"/>
    </row>
    <row r="398" spans="22:25" x14ac:dyDescent="0.2">
      <c r="V398" s="7"/>
      <c r="X398" s="7"/>
      <c r="Y398" s="7"/>
    </row>
    <row r="399" spans="22:25" x14ac:dyDescent="0.2">
      <c r="V399" s="7"/>
      <c r="X399" s="7"/>
      <c r="Y399" s="7"/>
    </row>
    <row r="400" spans="22:25" x14ac:dyDescent="0.2">
      <c r="V400" s="7"/>
      <c r="X400" s="7"/>
      <c r="Y400" s="7"/>
    </row>
    <row r="401" spans="22:25" x14ac:dyDescent="0.2">
      <c r="V401" s="7"/>
      <c r="X401" s="7"/>
      <c r="Y401" s="7"/>
    </row>
    <row r="402" spans="22:25" x14ac:dyDescent="0.2">
      <c r="V402" s="7"/>
      <c r="X402" s="7"/>
      <c r="Y402" s="7"/>
    </row>
    <row r="403" spans="22:25" x14ac:dyDescent="0.2">
      <c r="V403" s="7"/>
      <c r="X403" s="7"/>
      <c r="Y403" s="7"/>
    </row>
    <row r="404" spans="22:25" x14ac:dyDescent="0.2">
      <c r="V404" s="7"/>
      <c r="X404" s="7"/>
      <c r="Y404" s="7"/>
    </row>
    <row r="405" spans="22:25" x14ac:dyDescent="0.2">
      <c r="V405" s="7"/>
      <c r="X405" s="7"/>
      <c r="Y405" s="7"/>
    </row>
    <row r="406" spans="22:25" x14ac:dyDescent="0.2">
      <c r="V406" s="7"/>
      <c r="X406" s="7"/>
      <c r="Y406" s="7"/>
    </row>
    <row r="407" spans="22:25" x14ac:dyDescent="0.2">
      <c r="V407" s="7"/>
      <c r="X407" s="7"/>
      <c r="Y407" s="7"/>
    </row>
    <row r="408" spans="22:25" x14ac:dyDescent="0.2">
      <c r="V408" s="7"/>
      <c r="X408" s="7"/>
      <c r="Y408" s="7"/>
    </row>
    <row r="409" spans="22:25" x14ac:dyDescent="0.2">
      <c r="V409" s="7"/>
      <c r="X409" s="7"/>
      <c r="Y409" s="7"/>
    </row>
    <row r="410" spans="22:25" x14ac:dyDescent="0.2">
      <c r="V410" s="7"/>
      <c r="X410" s="7"/>
      <c r="Y410" s="7"/>
    </row>
    <row r="411" spans="22:25" x14ac:dyDescent="0.2">
      <c r="V411" s="7"/>
      <c r="X411" s="7"/>
      <c r="Y411" s="7"/>
    </row>
    <row r="412" spans="22:25" x14ac:dyDescent="0.2">
      <c r="V412" s="7"/>
      <c r="X412" s="7"/>
      <c r="Y412" s="7"/>
    </row>
    <row r="413" spans="22:25" x14ac:dyDescent="0.2">
      <c r="V413" s="7"/>
      <c r="X413" s="7"/>
      <c r="Y413" s="7"/>
    </row>
    <row r="414" spans="22:25" x14ac:dyDescent="0.2">
      <c r="V414" s="7"/>
      <c r="X414" s="7"/>
      <c r="Y414" s="7"/>
    </row>
    <row r="415" spans="22:25" x14ac:dyDescent="0.2">
      <c r="V415" s="7"/>
      <c r="X415" s="7"/>
      <c r="Y415" s="7"/>
    </row>
    <row r="416" spans="22:25" x14ac:dyDescent="0.2">
      <c r="V416" s="7"/>
      <c r="X416" s="7"/>
      <c r="Y416" s="7"/>
    </row>
    <row r="417" spans="22:25" x14ac:dyDescent="0.2">
      <c r="V417" s="7"/>
      <c r="X417" s="7"/>
      <c r="Y417" s="7"/>
    </row>
    <row r="418" spans="22:25" x14ac:dyDescent="0.2">
      <c r="V418" s="7"/>
      <c r="X418" s="7"/>
      <c r="Y418" s="7"/>
    </row>
    <row r="419" spans="22:25" x14ac:dyDescent="0.2">
      <c r="V419" s="7"/>
      <c r="X419" s="7"/>
      <c r="Y419" s="7"/>
    </row>
    <row r="420" spans="22:25" x14ac:dyDescent="0.2">
      <c r="V420" s="7"/>
      <c r="X420" s="7"/>
      <c r="Y420" s="7"/>
    </row>
    <row r="421" spans="22:25" x14ac:dyDescent="0.2">
      <c r="V421" s="7"/>
      <c r="X421" s="7"/>
      <c r="Y421" s="7"/>
    </row>
    <row r="422" spans="22:25" x14ac:dyDescent="0.2">
      <c r="V422" s="7"/>
      <c r="X422" s="7"/>
      <c r="Y422" s="7"/>
    </row>
    <row r="423" spans="22:25" x14ac:dyDescent="0.2">
      <c r="V423" s="7"/>
      <c r="X423" s="7"/>
      <c r="Y423" s="7"/>
    </row>
    <row r="424" spans="22:25" x14ac:dyDescent="0.2">
      <c r="V424" s="7"/>
      <c r="X424" s="7"/>
      <c r="Y424" s="7"/>
    </row>
    <row r="425" spans="22:25" x14ac:dyDescent="0.2">
      <c r="V425" s="7"/>
      <c r="X425" s="7"/>
      <c r="Y425" s="7"/>
    </row>
    <row r="426" spans="22:25" x14ac:dyDescent="0.2">
      <c r="V426" s="7"/>
      <c r="X426" s="7"/>
      <c r="Y426" s="7"/>
    </row>
    <row r="427" spans="22:25" x14ac:dyDescent="0.2">
      <c r="V427" s="7"/>
      <c r="X427" s="7"/>
      <c r="Y427" s="7"/>
    </row>
    <row r="428" spans="22:25" x14ac:dyDescent="0.2">
      <c r="V428" s="7"/>
      <c r="X428" s="7"/>
      <c r="Y428" s="7"/>
    </row>
    <row r="429" spans="22:25" x14ac:dyDescent="0.2">
      <c r="V429" s="7"/>
      <c r="X429" s="7"/>
      <c r="Y429" s="7"/>
    </row>
    <row r="430" spans="22:25" x14ac:dyDescent="0.2">
      <c r="V430" s="7"/>
      <c r="X430" s="7"/>
      <c r="Y430" s="7"/>
    </row>
    <row r="431" spans="22:25" x14ac:dyDescent="0.2">
      <c r="V431" s="7"/>
      <c r="X431" s="7"/>
      <c r="Y431" s="7"/>
    </row>
    <row r="432" spans="22:25" x14ac:dyDescent="0.2">
      <c r="V432" s="7"/>
      <c r="X432" s="7"/>
      <c r="Y432" s="7"/>
    </row>
    <row r="433" spans="22:25" x14ac:dyDescent="0.2">
      <c r="V433" s="7"/>
      <c r="X433" s="7"/>
      <c r="Y433" s="7"/>
    </row>
    <row r="434" spans="22:25" x14ac:dyDescent="0.2">
      <c r="V434" s="7"/>
      <c r="X434" s="7"/>
      <c r="Y434" s="7"/>
    </row>
    <row r="435" spans="22:25" x14ac:dyDescent="0.2">
      <c r="V435" s="7"/>
      <c r="X435" s="7"/>
      <c r="Y435" s="7"/>
    </row>
    <row r="436" spans="22:25" x14ac:dyDescent="0.2">
      <c r="V436" s="7"/>
      <c r="X436" s="7"/>
      <c r="Y436" s="7"/>
    </row>
    <row r="437" spans="22:25" x14ac:dyDescent="0.2">
      <c r="V437" s="7"/>
      <c r="X437" s="7"/>
      <c r="Y437" s="7"/>
    </row>
    <row r="438" spans="22:25" x14ac:dyDescent="0.2">
      <c r="V438" s="7"/>
      <c r="X438" s="7"/>
      <c r="Y438" s="7"/>
    </row>
    <row r="439" spans="22:25" x14ac:dyDescent="0.2">
      <c r="V439" s="7"/>
      <c r="X439" s="7"/>
      <c r="Y439" s="7"/>
    </row>
    <row r="440" spans="22:25" x14ac:dyDescent="0.2">
      <c r="V440" s="7"/>
      <c r="X440" s="7"/>
      <c r="Y440" s="7"/>
    </row>
    <row r="441" spans="22:25" x14ac:dyDescent="0.2">
      <c r="V441" s="7"/>
      <c r="X441" s="7"/>
      <c r="Y441" s="7"/>
    </row>
    <row r="442" spans="22:25" x14ac:dyDescent="0.2">
      <c r="V442" s="7"/>
      <c r="X442" s="7"/>
      <c r="Y442" s="7"/>
    </row>
    <row r="443" spans="22:25" x14ac:dyDescent="0.2">
      <c r="V443" s="7"/>
      <c r="X443" s="7"/>
      <c r="Y443" s="7"/>
    </row>
    <row r="444" spans="22:25" x14ac:dyDescent="0.2">
      <c r="V444" s="7"/>
      <c r="X444" s="7"/>
      <c r="Y444" s="7"/>
    </row>
    <row r="445" spans="22:25" x14ac:dyDescent="0.2">
      <c r="V445" s="7"/>
      <c r="X445" s="7"/>
      <c r="Y445" s="7"/>
    </row>
    <row r="446" spans="22:25" x14ac:dyDescent="0.2">
      <c r="V446" s="7"/>
      <c r="X446" s="7"/>
      <c r="Y446" s="7"/>
    </row>
    <row r="447" spans="22:25" x14ac:dyDescent="0.2">
      <c r="V447" s="7"/>
      <c r="X447" s="7"/>
      <c r="Y447" s="7"/>
    </row>
    <row r="448" spans="22:25" x14ac:dyDescent="0.2">
      <c r="V448" s="7"/>
      <c r="X448" s="7"/>
      <c r="Y448" s="7"/>
    </row>
    <row r="449" spans="22:25" x14ac:dyDescent="0.2">
      <c r="V449" s="7"/>
      <c r="X449" s="7"/>
      <c r="Y449" s="7"/>
    </row>
    <row r="450" spans="22:25" x14ac:dyDescent="0.2">
      <c r="V450" s="7"/>
      <c r="X450" s="7"/>
      <c r="Y450" s="7"/>
    </row>
    <row r="451" spans="22:25" x14ac:dyDescent="0.2">
      <c r="V451" s="7"/>
      <c r="X451" s="7"/>
      <c r="Y451" s="7"/>
    </row>
    <row r="452" spans="22:25" x14ac:dyDescent="0.2">
      <c r="V452" s="7"/>
      <c r="X452" s="7"/>
      <c r="Y452" s="7"/>
    </row>
    <row r="453" spans="22:25" x14ac:dyDescent="0.2">
      <c r="V453" s="7"/>
      <c r="X453" s="7"/>
      <c r="Y453" s="7"/>
    </row>
    <row r="454" spans="22:25" x14ac:dyDescent="0.2">
      <c r="V454" s="7"/>
      <c r="X454" s="7"/>
      <c r="Y454" s="7"/>
    </row>
    <row r="455" spans="22:25" x14ac:dyDescent="0.2">
      <c r="V455" s="7"/>
      <c r="X455" s="7"/>
      <c r="Y455" s="7"/>
    </row>
    <row r="456" spans="22:25" x14ac:dyDescent="0.2">
      <c r="V456" s="7"/>
      <c r="X456" s="7"/>
      <c r="Y456" s="7"/>
    </row>
    <row r="457" spans="22:25" x14ac:dyDescent="0.2">
      <c r="V457" s="7"/>
      <c r="X457" s="7"/>
      <c r="Y457" s="7"/>
    </row>
    <row r="458" spans="22:25" x14ac:dyDescent="0.2">
      <c r="V458" s="7"/>
      <c r="X458" s="7"/>
      <c r="Y458" s="7"/>
    </row>
    <row r="459" spans="22:25" x14ac:dyDescent="0.2">
      <c r="V459" s="7"/>
      <c r="X459" s="7"/>
      <c r="Y459" s="7"/>
    </row>
    <row r="460" spans="22:25" x14ac:dyDescent="0.2">
      <c r="V460" s="7"/>
      <c r="X460" s="7"/>
      <c r="Y460" s="7"/>
    </row>
    <row r="461" spans="22:25" x14ac:dyDescent="0.2">
      <c r="V461" s="7"/>
      <c r="X461" s="7"/>
      <c r="Y461" s="7"/>
    </row>
    <row r="462" spans="22:25" x14ac:dyDescent="0.2">
      <c r="V462" s="7"/>
      <c r="X462" s="7"/>
      <c r="Y462" s="7"/>
    </row>
    <row r="463" spans="22:25" x14ac:dyDescent="0.2">
      <c r="V463" s="7"/>
      <c r="X463" s="7"/>
      <c r="Y463" s="7"/>
    </row>
    <row r="464" spans="22:25" x14ac:dyDescent="0.2">
      <c r="V464" s="7"/>
      <c r="X464" s="7"/>
      <c r="Y464" s="7"/>
    </row>
    <row r="465" spans="22:25" x14ac:dyDescent="0.2">
      <c r="V465" s="7"/>
      <c r="X465" s="7"/>
      <c r="Y465" s="7"/>
    </row>
    <row r="466" spans="22:25" x14ac:dyDescent="0.2">
      <c r="V466" s="7"/>
      <c r="X466" s="7"/>
      <c r="Y466" s="7"/>
    </row>
    <row r="467" spans="22:25" x14ac:dyDescent="0.2">
      <c r="V467" s="7"/>
      <c r="X467" s="7"/>
      <c r="Y467" s="7"/>
    </row>
    <row r="468" spans="22:25" x14ac:dyDescent="0.2">
      <c r="V468" s="7"/>
      <c r="X468" s="7"/>
      <c r="Y468" s="7"/>
    </row>
    <row r="469" spans="22:25" x14ac:dyDescent="0.2">
      <c r="V469" s="7"/>
      <c r="X469" s="7"/>
      <c r="Y469" s="7"/>
    </row>
    <row r="470" spans="22:25" x14ac:dyDescent="0.2">
      <c r="V470" s="7"/>
      <c r="X470" s="7"/>
      <c r="Y470" s="7"/>
    </row>
    <row r="471" spans="22:25" x14ac:dyDescent="0.2">
      <c r="V471" s="7"/>
      <c r="X471" s="7"/>
      <c r="Y471" s="7"/>
    </row>
    <row r="472" spans="22:25" x14ac:dyDescent="0.2">
      <c r="V472" s="7"/>
      <c r="X472" s="7"/>
      <c r="Y472" s="7"/>
    </row>
    <row r="473" spans="22:25" x14ac:dyDescent="0.2">
      <c r="V473" s="7"/>
      <c r="X473" s="7"/>
      <c r="Y473" s="7"/>
    </row>
    <row r="474" spans="22:25" x14ac:dyDescent="0.2">
      <c r="V474" s="7"/>
      <c r="X474" s="7"/>
      <c r="Y474" s="7"/>
    </row>
    <row r="475" spans="22:25" x14ac:dyDescent="0.2">
      <c r="V475" s="7"/>
      <c r="X475" s="7"/>
      <c r="Y475" s="7"/>
    </row>
    <row r="476" spans="22:25" x14ac:dyDescent="0.2">
      <c r="V476" s="7"/>
      <c r="X476" s="7"/>
      <c r="Y476" s="7"/>
    </row>
    <row r="477" spans="22:25" x14ac:dyDescent="0.2">
      <c r="V477" s="7"/>
      <c r="X477" s="7"/>
      <c r="Y477" s="7"/>
    </row>
    <row r="478" spans="22:25" x14ac:dyDescent="0.2">
      <c r="V478" s="7"/>
      <c r="X478" s="7"/>
      <c r="Y478" s="7"/>
    </row>
    <row r="479" spans="22:25" x14ac:dyDescent="0.2">
      <c r="V479" s="7"/>
      <c r="X479" s="7"/>
      <c r="Y479" s="7"/>
    </row>
    <row r="480" spans="22:25" x14ac:dyDescent="0.2">
      <c r="V480" s="7"/>
      <c r="X480" s="7"/>
      <c r="Y480" s="7"/>
    </row>
    <row r="481" spans="22:25" x14ac:dyDescent="0.2">
      <c r="V481" s="7"/>
      <c r="X481" s="7"/>
      <c r="Y481" s="7"/>
    </row>
    <row r="482" spans="22:25" x14ac:dyDescent="0.2">
      <c r="V482" s="7"/>
      <c r="X482" s="7"/>
      <c r="Y482" s="7"/>
    </row>
    <row r="483" spans="22:25" x14ac:dyDescent="0.2">
      <c r="V483" s="7"/>
      <c r="X483" s="7"/>
      <c r="Y483" s="7"/>
    </row>
    <row r="484" spans="22:25" x14ac:dyDescent="0.2">
      <c r="V484" s="7"/>
      <c r="X484" s="7"/>
      <c r="Y484" s="7"/>
    </row>
    <row r="485" spans="22:25" x14ac:dyDescent="0.2">
      <c r="V485" s="7"/>
      <c r="X485" s="7"/>
      <c r="Y485" s="7"/>
    </row>
    <row r="486" spans="22:25" x14ac:dyDescent="0.2">
      <c r="V486" s="7"/>
      <c r="X486" s="7"/>
      <c r="Y486" s="7"/>
    </row>
    <row r="487" spans="22:25" x14ac:dyDescent="0.2">
      <c r="V487" s="7"/>
      <c r="X487" s="7"/>
      <c r="Y487" s="7"/>
    </row>
    <row r="488" spans="22:25" x14ac:dyDescent="0.2">
      <c r="V488" s="7"/>
      <c r="X488" s="7"/>
      <c r="Y488" s="7"/>
    </row>
    <row r="489" spans="22:25" x14ac:dyDescent="0.2">
      <c r="V489" s="7"/>
      <c r="X489" s="7"/>
      <c r="Y489" s="7"/>
    </row>
    <row r="490" spans="22:25" x14ac:dyDescent="0.2">
      <c r="V490" s="7"/>
      <c r="X490" s="7"/>
      <c r="Y490" s="7"/>
    </row>
    <row r="491" spans="22:25" x14ac:dyDescent="0.2">
      <c r="V491" s="7"/>
      <c r="X491" s="7"/>
      <c r="Y491" s="7"/>
    </row>
    <row r="492" spans="22:25" x14ac:dyDescent="0.2">
      <c r="V492" s="7"/>
      <c r="X492" s="7"/>
      <c r="Y492" s="7"/>
    </row>
    <row r="493" spans="22:25" x14ac:dyDescent="0.2">
      <c r="V493" s="7"/>
      <c r="X493" s="7"/>
      <c r="Y493" s="7"/>
    </row>
    <row r="494" spans="22:25" x14ac:dyDescent="0.2">
      <c r="V494" s="7"/>
      <c r="X494" s="7"/>
      <c r="Y494" s="7"/>
    </row>
    <row r="495" spans="22:25" x14ac:dyDescent="0.2">
      <c r="V495" s="7"/>
      <c r="X495" s="7"/>
      <c r="Y495" s="7"/>
    </row>
    <row r="496" spans="22:25" x14ac:dyDescent="0.2">
      <c r="V496" s="7"/>
      <c r="X496" s="7"/>
      <c r="Y496" s="7"/>
    </row>
    <row r="497" spans="22:25" x14ac:dyDescent="0.2">
      <c r="V497" s="7"/>
      <c r="X497" s="7"/>
      <c r="Y497" s="7"/>
    </row>
    <row r="498" spans="22:25" x14ac:dyDescent="0.2">
      <c r="V498" s="7"/>
      <c r="X498" s="7"/>
      <c r="Y498" s="7"/>
    </row>
    <row r="499" spans="22:25" x14ac:dyDescent="0.2">
      <c r="V499" s="7"/>
      <c r="X499" s="7"/>
      <c r="Y499" s="7"/>
    </row>
    <row r="500" spans="22:25" x14ac:dyDescent="0.2">
      <c r="V500" s="7"/>
      <c r="X500" s="7"/>
      <c r="Y500" s="7"/>
    </row>
    <row r="501" spans="22:25" x14ac:dyDescent="0.2">
      <c r="V501" s="7"/>
      <c r="X501" s="7"/>
      <c r="Y501" s="7"/>
    </row>
    <row r="502" spans="22:25" x14ac:dyDescent="0.2">
      <c r="V502" s="7"/>
      <c r="X502" s="7"/>
      <c r="Y502" s="7"/>
    </row>
    <row r="503" spans="22:25" x14ac:dyDescent="0.2">
      <c r="V503" s="7"/>
      <c r="X503" s="7"/>
      <c r="Y503" s="7"/>
    </row>
    <row r="504" spans="22:25" x14ac:dyDescent="0.2">
      <c r="V504" s="7"/>
      <c r="X504" s="7"/>
      <c r="Y504" s="7"/>
    </row>
    <row r="505" spans="22:25" x14ac:dyDescent="0.2">
      <c r="V505" s="7"/>
      <c r="X505" s="7"/>
      <c r="Y505" s="7"/>
    </row>
    <row r="506" spans="22:25" x14ac:dyDescent="0.2">
      <c r="V506" s="7"/>
      <c r="X506" s="7"/>
      <c r="Y506" s="7"/>
    </row>
    <row r="507" spans="22:25" x14ac:dyDescent="0.2">
      <c r="V507" s="7"/>
      <c r="X507" s="7"/>
      <c r="Y507" s="7"/>
    </row>
    <row r="508" spans="22:25" x14ac:dyDescent="0.2">
      <c r="V508" s="7"/>
      <c r="X508" s="7"/>
      <c r="Y508" s="7"/>
    </row>
    <row r="509" spans="22:25" x14ac:dyDescent="0.2">
      <c r="V509" s="7"/>
      <c r="X509" s="7"/>
      <c r="Y509" s="7"/>
    </row>
    <row r="510" spans="22:25" x14ac:dyDescent="0.2">
      <c r="V510" s="7"/>
      <c r="X510" s="7"/>
      <c r="Y510" s="7"/>
    </row>
    <row r="511" spans="22:25" x14ac:dyDescent="0.2">
      <c r="V511" s="7"/>
      <c r="X511" s="7"/>
      <c r="Y511" s="7"/>
    </row>
    <row r="512" spans="22:25" x14ac:dyDescent="0.2">
      <c r="V512" s="7"/>
      <c r="X512" s="7"/>
      <c r="Y512" s="7"/>
    </row>
    <row r="513" spans="22:25" x14ac:dyDescent="0.2">
      <c r="V513" s="7"/>
      <c r="X513" s="7"/>
      <c r="Y513" s="7"/>
    </row>
    <row r="514" spans="22:25" x14ac:dyDescent="0.2">
      <c r="V514" s="7"/>
      <c r="X514" s="7"/>
      <c r="Y514" s="7"/>
    </row>
    <row r="515" spans="22:25" x14ac:dyDescent="0.2">
      <c r="V515" s="7"/>
      <c r="X515" s="7"/>
      <c r="Y515" s="7"/>
    </row>
    <row r="516" spans="22:25" x14ac:dyDescent="0.2">
      <c r="V516" s="7"/>
      <c r="X516" s="7"/>
      <c r="Y516" s="7"/>
    </row>
    <row r="517" spans="22:25" x14ac:dyDescent="0.2">
      <c r="V517" s="7"/>
      <c r="X517" s="7"/>
      <c r="Y517" s="7"/>
    </row>
    <row r="518" spans="22:25" x14ac:dyDescent="0.2">
      <c r="V518" s="7"/>
      <c r="X518" s="7"/>
      <c r="Y518" s="7"/>
    </row>
    <row r="519" spans="22:25" x14ac:dyDescent="0.2">
      <c r="V519" s="7"/>
      <c r="X519" s="7"/>
      <c r="Y519" s="7"/>
    </row>
    <row r="520" spans="22:25" x14ac:dyDescent="0.2">
      <c r="V520" s="7"/>
      <c r="X520" s="7"/>
      <c r="Y520" s="7"/>
    </row>
    <row r="521" spans="22:25" x14ac:dyDescent="0.2">
      <c r="V521" s="7"/>
      <c r="X521" s="7"/>
      <c r="Y521" s="7"/>
    </row>
    <row r="522" spans="22:25" x14ac:dyDescent="0.2">
      <c r="V522" s="7"/>
      <c r="X522" s="7"/>
      <c r="Y522" s="7"/>
    </row>
    <row r="523" spans="22:25" x14ac:dyDescent="0.2">
      <c r="V523" s="7"/>
      <c r="X523" s="7"/>
      <c r="Y523" s="7"/>
    </row>
    <row r="524" spans="22:25" x14ac:dyDescent="0.2">
      <c r="V524" s="7"/>
      <c r="X524" s="7"/>
      <c r="Y524" s="7"/>
    </row>
    <row r="525" spans="22:25" x14ac:dyDescent="0.2">
      <c r="V525" s="7"/>
      <c r="X525" s="7"/>
      <c r="Y525" s="7"/>
    </row>
    <row r="526" spans="22:25" x14ac:dyDescent="0.2">
      <c r="V526" s="7"/>
      <c r="X526" s="7"/>
      <c r="Y526" s="7"/>
    </row>
    <row r="527" spans="22:25" x14ac:dyDescent="0.2">
      <c r="V527" s="7"/>
      <c r="X527" s="7"/>
      <c r="Y527" s="7"/>
    </row>
    <row r="528" spans="22:25" x14ac:dyDescent="0.2">
      <c r="V528" s="7"/>
      <c r="X528" s="7"/>
      <c r="Y528" s="7"/>
    </row>
    <row r="529" spans="22:25" x14ac:dyDescent="0.2">
      <c r="V529" s="7"/>
      <c r="X529" s="7"/>
      <c r="Y529" s="7"/>
    </row>
    <row r="530" spans="22:25" x14ac:dyDescent="0.2">
      <c r="V530" s="7"/>
      <c r="X530" s="7"/>
      <c r="Y530" s="7"/>
    </row>
    <row r="531" spans="22:25" x14ac:dyDescent="0.2">
      <c r="V531" s="7"/>
      <c r="X531" s="7"/>
      <c r="Y531" s="7"/>
    </row>
    <row r="532" spans="22:25" x14ac:dyDescent="0.2">
      <c r="V532" s="7"/>
      <c r="X532" s="7"/>
      <c r="Y532" s="7"/>
    </row>
    <row r="533" spans="22:25" x14ac:dyDescent="0.2">
      <c r="V533" s="7"/>
      <c r="X533" s="7"/>
      <c r="Y533" s="7"/>
    </row>
    <row r="534" spans="22:25" x14ac:dyDescent="0.2">
      <c r="V534" s="7"/>
      <c r="X534" s="7"/>
      <c r="Y534" s="7"/>
    </row>
    <row r="535" spans="22:25" x14ac:dyDescent="0.2">
      <c r="V535" s="7"/>
      <c r="X535" s="7"/>
      <c r="Y535" s="7"/>
    </row>
    <row r="536" spans="22:25" x14ac:dyDescent="0.2">
      <c r="V536" s="7"/>
      <c r="X536" s="7"/>
      <c r="Y536" s="7"/>
    </row>
    <row r="537" spans="22:25" x14ac:dyDescent="0.2">
      <c r="V537" s="7"/>
      <c r="X537" s="7"/>
      <c r="Y537" s="7"/>
    </row>
    <row r="538" spans="22:25" x14ac:dyDescent="0.2">
      <c r="V538" s="7"/>
      <c r="X538" s="7"/>
      <c r="Y538" s="7"/>
    </row>
    <row r="539" spans="22:25" x14ac:dyDescent="0.2">
      <c r="V539" s="7"/>
      <c r="X539" s="7"/>
      <c r="Y539" s="7"/>
    </row>
    <row r="540" spans="22:25" x14ac:dyDescent="0.2">
      <c r="V540" s="7"/>
      <c r="X540" s="7"/>
      <c r="Y540" s="7"/>
    </row>
    <row r="541" spans="22:25" x14ac:dyDescent="0.2">
      <c r="V541" s="7"/>
      <c r="X541" s="7"/>
      <c r="Y541" s="7"/>
    </row>
    <row r="542" spans="22:25" x14ac:dyDescent="0.2">
      <c r="V542" s="7"/>
      <c r="X542" s="7"/>
      <c r="Y542" s="7"/>
    </row>
    <row r="543" spans="22:25" x14ac:dyDescent="0.2">
      <c r="V543" s="7"/>
      <c r="X543" s="7"/>
      <c r="Y543" s="7"/>
    </row>
    <row r="544" spans="22:25" x14ac:dyDescent="0.2">
      <c r="V544" s="7"/>
      <c r="X544" s="7"/>
      <c r="Y544" s="7"/>
    </row>
    <row r="545" spans="22:25" x14ac:dyDescent="0.2">
      <c r="V545" s="7"/>
      <c r="X545" s="7"/>
      <c r="Y545" s="7"/>
    </row>
    <row r="546" spans="22:25" x14ac:dyDescent="0.2">
      <c r="V546" s="7"/>
      <c r="X546" s="7"/>
      <c r="Y546" s="7"/>
    </row>
    <row r="547" spans="22:25" x14ac:dyDescent="0.2">
      <c r="V547" s="7"/>
      <c r="X547" s="7"/>
      <c r="Y547" s="7"/>
    </row>
    <row r="548" spans="22:25" x14ac:dyDescent="0.2">
      <c r="V548" s="7"/>
      <c r="X548" s="7"/>
      <c r="Y548" s="7"/>
    </row>
    <row r="549" spans="22:25" x14ac:dyDescent="0.2">
      <c r="V549" s="7"/>
      <c r="X549" s="7"/>
      <c r="Y549" s="7"/>
    </row>
    <row r="550" spans="22:25" x14ac:dyDescent="0.2">
      <c r="V550" s="7"/>
      <c r="X550" s="7"/>
      <c r="Y550" s="7"/>
    </row>
    <row r="551" spans="22:25" x14ac:dyDescent="0.2">
      <c r="V551" s="7"/>
      <c r="X551" s="7"/>
      <c r="Y551" s="7"/>
    </row>
    <row r="552" spans="22:25" x14ac:dyDescent="0.2">
      <c r="V552" s="7"/>
      <c r="X552" s="7"/>
      <c r="Y552" s="7"/>
    </row>
    <row r="553" spans="22:25" x14ac:dyDescent="0.2">
      <c r="V553" s="7"/>
      <c r="X553" s="7"/>
      <c r="Y553" s="7"/>
    </row>
    <row r="554" spans="22:25" x14ac:dyDescent="0.2">
      <c r="V554" s="7"/>
      <c r="X554" s="7"/>
      <c r="Y554" s="7"/>
    </row>
    <row r="555" spans="22:25" x14ac:dyDescent="0.2">
      <c r="V555" s="7"/>
      <c r="X555" s="7"/>
      <c r="Y555" s="7"/>
    </row>
    <row r="556" spans="22:25" x14ac:dyDescent="0.2">
      <c r="V556" s="7"/>
      <c r="X556" s="7"/>
      <c r="Y556" s="7"/>
    </row>
    <row r="557" spans="22:25" x14ac:dyDescent="0.2">
      <c r="V557" s="7"/>
      <c r="X557" s="7"/>
      <c r="Y557" s="7"/>
    </row>
    <row r="558" spans="22:25" x14ac:dyDescent="0.2">
      <c r="V558" s="7"/>
      <c r="X558" s="7"/>
      <c r="Y558" s="7"/>
    </row>
    <row r="559" spans="22:25" x14ac:dyDescent="0.2">
      <c r="V559" s="7"/>
      <c r="X559" s="7"/>
      <c r="Y559" s="7"/>
    </row>
    <row r="560" spans="22:25" x14ac:dyDescent="0.2">
      <c r="V560" s="7"/>
      <c r="X560" s="7"/>
      <c r="Y560" s="7"/>
    </row>
    <row r="561" spans="22:25" x14ac:dyDescent="0.2">
      <c r="V561" s="7"/>
      <c r="X561" s="7"/>
      <c r="Y561" s="7"/>
    </row>
    <row r="562" spans="22:25" x14ac:dyDescent="0.2">
      <c r="V562" s="7"/>
      <c r="X562" s="7"/>
      <c r="Y562" s="7"/>
    </row>
    <row r="563" spans="22:25" x14ac:dyDescent="0.2">
      <c r="V563" s="7"/>
      <c r="X563" s="7"/>
      <c r="Y563" s="7"/>
    </row>
    <row r="564" spans="22:25" x14ac:dyDescent="0.2">
      <c r="V564" s="7"/>
      <c r="X564" s="7"/>
      <c r="Y564" s="7"/>
    </row>
    <row r="565" spans="22:25" x14ac:dyDescent="0.2">
      <c r="V565" s="7"/>
      <c r="X565" s="7"/>
      <c r="Y565" s="7"/>
    </row>
    <row r="566" spans="22:25" x14ac:dyDescent="0.2">
      <c r="V566" s="7"/>
      <c r="X566" s="7"/>
      <c r="Y566" s="7"/>
    </row>
    <row r="567" spans="22:25" x14ac:dyDescent="0.2">
      <c r="V567" s="7"/>
      <c r="X567" s="7"/>
      <c r="Y567" s="7"/>
    </row>
    <row r="568" spans="22:25" x14ac:dyDescent="0.2">
      <c r="V568" s="7"/>
      <c r="X568" s="7"/>
      <c r="Y568" s="7"/>
    </row>
    <row r="569" spans="22:25" x14ac:dyDescent="0.2">
      <c r="V569" s="7"/>
      <c r="X569" s="7"/>
      <c r="Y569" s="7"/>
    </row>
    <row r="570" spans="22:25" x14ac:dyDescent="0.2">
      <c r="V570" s="7"/>
      <c r="X570" s="7"/>
      <c r="Y570" s="7"/>
    </row>
    <row r="571" spans="22:25" x14ac:dyDescent="0.2">
      <c r="V571" s="7"/>
      <c r="X571" s="7"/>
      <c r="Y571" s="7"/>
    </row>
    <row r="572" spans="22:25" x14ac:dyDescent="0.2">
      <c r="V572" s="7"/>
      <c r="X572" s="7"/>
      <c r="Y572" s="7"/>
    </row>
    <row r="573" spans="22:25" x14ac:dyDescent="0.2">
      <c r="V573" s="7"/>
      <c r="X573" s="7"/>
      <c r="Y573" s="7"/>
    </row>
    <row r="574" spans="22:25" x14ac:dyDescent="0.2">
      <c r="V574" s="7"/>
      <c r="X574" s="7"/>
      <c r="Y574" s="7"/>
    </row>
    <row r="575" spans="22:25" x14ac:dyDescent="0.2">
      <c r="V575" s="7"/>
      <c r="X575" s="7"/>
      <c r="Y575" s="7"/>
    </row>
    <row r="576" spans="22:25" x14ac:dyDescent="0.2">
      <c r="V576" s="7"/>
      <c r="X576" s="7"/>
      <c r="Y576" s="7"/>
    </row>
    <row r="577" spans="22:25" x14ac:dyDescent="0.2">
      <c r="V577" s="7"/>
      <c r="X577" s="7"/>
      <c r="Y577" s="7"/>
    </row>
    <row r="578" spans="22:25" x14ac:dyDescent="0.2">
      <c r="V578" s="7"/>
      <c r="X578" s="7"/>
      <c r="Y578" s="7"/>
    </row>
    <row r="579" spans="22:25" x14ac:dyDescent="0.2">
      <c r="V579" s="7"/>
      <c r="X579" s="7"/>
      <c r="Y579" s="7"/>
    </row>
    <row r="580" spans="22:25" x14ac:dyDescent="0.2">
      <c r="V580" s="7"/>
      <c r="X580" s="7"/>
      <c r="Y580" s="7"/>
    </row>
    <row r="581" spans="22:25" x14ac:dyDescent="0.2">
      <c r="V581" s="7"/>
      <c r="X581" s="7"/>
      <c r="Y581" s="7"/>
    </row>
    <row r="582" spans="22:25" x14ac:dyDescent="0.2">
      <c r="V582" s="7"/>
      <c r="X582" s="7"/>
      <c r="Y582" s="7"/>
    </row>
    <row r="583" spans="22:25" x14ac:dyDescent="0.2">
      <c r="V583" s="7"/>
      <c r="X583" s="7"/>
      <c r="Y583" s="7"/>
    </row>
    <row r="584" spans="22:25" x14ac:dyDescent="0.2">
      <c r="V584" s="7"/>
      <c r="X584" s="7"/>
      <c r="Y584" s="7"/>
    </row>
    <row r="585" spans="22:25" x14ac:dyDescent="0.2">
      <c r="V585" s="7"/>
      <c r="X585" s="7"/>
      <c r="Y585" s="7"/>
    </row>
    <row r="586" spans="22:25" x14ac:dyDescent="0.2">
      <c r="V586" s="7"/>
      <c r="X586" s="7"/>
      <c r="Y586" s="7"/>
    </row>
    <row r="587" spans="22:25" x14ac:dyDescent="0.2">
      <c r="V587" s="7"/>
      <c r="X587" s="7"/>
      <c r="Y587" s="7"/>
    </row>
    <row r="588" spans="22:25" x14ac:dyDescent="0.2">
      <c r="V588" s="7"/>
      <c r="X588" s="7"/>
      <c r="Y588" s="7"/>
    </row>
    <row r="589" spans="22:25" x14ac:dyDescent="0.2">
      <c r="V589" s="7"/>
      <c r="X589" s="7"/>
      <c r="Y589" s="7"/>
    </row>
    <row r="590" spans="22:25" x14ac:dyDescent="0.2">
      <c r="V590" s="7"/>
      <c r="X590" s="7"/>
      <c r="Y590" s="7"/>
    </row>
    <row r="591" spans="22:25" x14ac:dyDescent="0.2">
      <c r="V591" s="7"/>
      <c r="X591" s="7"/>
      <c r="Y591" s="7"/>
    </row>
    <row r="592" spans="22:25" x14ac:dyDescent="0.2">
      <c r="V592" s="7"/>
      <c r="X592" s="7"/>
      <c r="Y592" s="7"/>
    </row>
    <row r="593" spans="22:25" x14ac:dyDescent="0.2">
      <c r="V593" s="7"/>
      <c r="X593" s="7"/>
      <c r="Y593" s="7"/>
    </row>
    <row r="594" spans="22:25" x14ac:dyDescent="0.2">
      <c r="V594" s="7"/>
      <c r="X594" s="7"/>
      <c r="Y594" s="7"/>
    </row>
    <row r="595" spans="22:25" x14ac:dyDescent="0.2">
      <c r="V595" s="7"/>
      <c r="X595" s="7"/>
      <c r="Y595" s="7"/>
    </row>
    <row r="596" spans="22:25" x14ac:dyDescent="0.2">
      <c r="V596" s="7"/>
      <c r="X596" s="7"/>
      <c r="Y596" s="7"/>
    </row>
    <row r="597" spans="22:25" x14ac:dyDescent="0.2">
      <c r="V597" s="7"/>
      <c r="X597" s="7"/>
      <c r="Y597" s="7"/>
    </row>
    <row r="598" spans="22:25" x14ac:dyDescent="0.2">
      <c r="V598" s="7"/>
      <c r="X598" s="7"/>
      <c r="Y598" s="7"/>
    </row>
    <row r="599" spans="22:25" x14ac:dyDescent="0.2">
      <c r="V599" s="7"/>
      <c r="X599" s="7"/>
      <c r="Y599" s="7"/>
    </row>
    <row r="600" spans="22:25" x14ac:dyDescent="0.2">
      <c r="V600" s="7"/>
      <c r="X600" s="7"/>
      <c r="Y600" s="7"/>
    </row>
    <row r="601" spans="22:25" x14ac:dyDescent="0.2">
      <c r="V601" s="7"/>
      <c r="X601" s="7"/>
      <c r="Y601" s="7"/>
    </row>
    <row r="602" spans="22:25" x14ac:dyDescent="0.2">
      <c r="V602" s="7"/>
      <c r="X602" s="7"/>
      <c r="Y602" s="7"/>
    </row>
    <row r="603" spans="22:25" x14ac:dyDescent="0.2">
      <c r="V603" s="7"/>
      <c r="X603" s="7"/>
      <c r="Y603" s="7"/>
    </row>
    <row r="604" spans="22:25" x14ac:dyDescent="0.2">
      <c r="V604" s="7"/>
      <c r="X604" s="7"/>
      <c r="Y604" s="7"/>
    </row>
    <row r="605" spans="22:25" x14ac:dyDescent="0.2">
      <c r="V605" s="7"/>
      <c r="X605" s="7"/>
      <c r="Y605" s="7"/>
    </row>
    <row r="606" spans="22:25" x14ac:dyDescent="0.2">
      <c r="V606" s="7"/>
      <c r="X606" s="7"/>
      <c r="Y606" s="7"/>
    </row>
    <row r="607" spans="22:25" x14ac:dyDescent="0.2">
      <c r="V607" s="7"/>
      <c r="X607" s="7"/>
      <c r="Y607" s="7"/>
    </row>
    <row r="608" spans="22:25" x14ac:dyDescent="0.2">
      <c r="V608" s="7"/>
      <c r="X608" s="7"/>
      <c r="Y608" s="7"/>
    </row>
    <row r="609" spans="22:25" x14ac:dyDescent="0.2">
      <c r="V609" s="7"/>
      <c r="X609" s="7"/>
      <c r="Y609" s="7"/>
    </row>
    <row r="610" spans="22:25" x14ac:dyDescent="0.2">
      <c r="V610" s="7"/>
      <c r="X610" s="7"/>
      <c r="Y610" s="7"/>
    </row>
    <row r="611" spans="22:25" x14ac:dyDescent="0.2">
      <c r="V611" s="7"/>
      <c r="X611" s="7"/>
      <c r="Y611" s="7"/>
    </row>
    <row r="612" spans="22:25" x14ac:dyDescent="0.2">
      <c r="V612" s="7"/>
      <c r="X612" s="7"/>
      <c r="Y612" s="7"/>
    </row>
    <row r="613" spans="22:25" x14ac:dyDescent="0.2">
      <c r="V613" s="7"/>
      <c r="X613" s="7"/>
      <c r="Y613" s="7"/>
    </row>
    <row r="614" spans="22:25" x14ac:dyDescent="0.2">
      <c r="V614" s="7"/>
      <c r="X614" s="7"/>
      <c r="Y614" s="7"/>
    </row>
    <row r="615" spans="22:25" x14ac:dyDescent="0.2">
      <c r="V615" s="7"/>
      <c r="X615" s="7"/>
      <c r="Y615" s="7"/>
    </row>
    <row r="616" spans="22:25" x14ac:dyDescent="0.2">
      <c r="V616" s="7"/>
      <c r="X616" s="7"/>
      <c r="Y616" s="7"/>
    </row>
    <row r="617" spans="22:25" x14ac:dyDescent="0.2">
      <c r="V617" s="7"/>
      <c r="X617" s="7"/>
      <c r="Y617" s="7"/>
    </row>
    <row r="618" spans="22:25" x14ac:dyDescent="0.2">
      <c r="V618" s="7"/>
      <c r="X618" s="7"/>
      <c r="Y618" s="7"/>
    </row>
    <row r="619" spans="22:25" x14ac:dyDescent="0.2">
      <c r="V619" s="7"/>
      <c r="X619" s="7"/>
      <c r="Y619" s="7"/>
    </row>
    <row r="620" spans="22:25" x14ac:dyDescent="0.2">
      <c r="V620" s="7"/>
      <c r="X620" s="7"/>
      <c r="Y620" s="7"/>
    </row>
    <row r="621" spans="22:25" x14ac:dyDescent="0.2">
      <c r="V621" s="7"/>
      <c r="X621" s="7"/>
      <c r="Y621" s="7"/>
    </row>
    <row r="622" spans="22:25" x14ac:dyDescent="0.2">
      <c r="V622" s="7"/>
      <c r="X622" s="7"/>
      <c r="Y622" s="7"/>
    </row>
    <row r="623" spans="22:25" x14ac:dyDescent="0.2">
      <c r="V623" s="7"/>
      <c r="X623" s="7"/>
      <c r="Y623" s="7"/>
    </row>
    <row r="624" spans="22:25" x14ac:dyDescent="0.2">
      <c r="V624" s="7"/>
      <c r="X624" s="7"/>
      <c r="Y624" s="7"/>
    </row>
    <row r="625" spans="22:25" x14ac:dyDescent="0.2">
      <c r="V625" s="7"/>
      <c r="X625" s="7"/>
      <c r="Y625" s="7"/>
    </row>
    <row r="626" spans="22:25" x14ac:dyDescent="0.2">
      <c r="V626" s="7"/>
      <c r="X626" s="7"/>
      <c r="Y626" s="7"/>
    </row>
    <row r="627" spans="22:25" x14ac:dyDescent="0.2">
      <c r="V627" s="7"/>
      <c r="X627" s="7"/>
      <c r="Y627" s="7"/>
    </row>
    <row r="628" spans="22:25" x14ac:dyDescent="0.2">
      <c r="V628" s="7"/>
      <c r="X628" s="7"/>
      <c r="Y628" s="7"/>
    </row>
    <row r="629" spans="22:25" x14ac:dyDescent="0.2">
      <c r="V629" s="7"/>
      <c r="X629" s="7"/>
      <c r="Y629" s="7"/>
    </row>
    <row r="630" spans="22:25" x14ac:dyDescent="0.2">
      <c r="V630" s="7"/>
      <c r="X630" s="7"/>
      <c r="Y630" s="7"/>
    </row>
    <row r="631" spans="22:25" x14ac:dyDescent="0.2">
      <c r="V631" s="7"/>
      <c r="X631" s="7"/>
      <c r="Y631" s="7"/>
    </row>
    <row r="632" spans="22:25" x14ac:dyDescent="0.2">
      <c r="V632" s="7"/>
      <c r="X632" s="7"/>
      <c r="Y632" s="7"/>
    </row>
    <row r="633" spans="22:25" x14ac:dyDescent="0.2">
      <c r="V633" s="7"/>
      <c r="X633" s="7"/>
      <c r="Y633" s="7"/>
    </row>
    <row r="634" spans="22:25" x14ac:dyDescent="0.2">
      <c r="V634" s="7"/>
      <c r="X634" s="7"/>
      <c r="Y634" s="7"/>
    </row>
    <row r="635" spans="22:25" x14ac:dyDescent="0.2">
      <c r="V635" s="7"/>
      <c r="X635" s="7"/>
      <c r="Y635" s="7"/>
    </row>
    <row r="636" spans="22:25" x14ac:dyDescent="0.2">
      <c r="V636" s="7"/>
      <c r="X636" s="7"/>
      <c r="Y636" s="7"/>
    </row>
    <row r="637" spans="22:25" x14ac:dyDescent="0.2">
      <c r="V637" s="7"/>
      <c r="X637" s="7"/>
      <c r="Y637" s="7"/>
    </row>
    <row r="638" spans="22:25" x14ac:dyDescent="0.2">
      <c r="V638" s="7"/>
      <c r="X638" s="7"/>
      <c r="Y638" s="7"/>
    </row>
    <row r="639" spans="22:25" x14ac:dyDescent="0.2">
      <c r="V639" s="7"/>
      <c r="X639" s="7"/>
      <c r="Y639" s="7"/>
    </row>
    <row r="640" spans="22:25" x14ac:dyDescent="0.2">
      <c r="V640" s="7"/>
      <c r="X640" s="7"/>
      <c r="Y640" s="7"/>
    </row>
    <row r="641" spans="22:25" x14ac:dyDescent="0.2">
      <c r="V641" s="7"/>
      <c r="X641" s="7"/>
      <c r="Y641" s="7"/>
    </row>
    <row r="642" spans="22:25" x14ac:dyDescent="0.2">
      <c r="V642" s="7"/>
      <c r="X642" s="7"/>
      <c r="Y642" s="7"/>
    </row>
    <row r="643" spans="22:25" x14ac:dyDescent="0.2">
      <c r="V643" s="7"/>
      <c r="X643" s="7"/>
      <c r="Y643" s="7"/>
    </row>
    <row r="644" spans="22:25" x14ac:dyDescent="0.2">
      <c r="V644" s="7"/>
      <c r="X644" s="7"/>
      <c r="Y644" s="7"/>
    </row>
    <row r="645" spans="22:25" x14ac:dyDescent="0.2">
      <c r="V645" s="7"/>
      <c r="X645" s="7"/>
      <c r="Y645" s="7"/>
    </row>
    <row r="646" spans="22:25" x14ac:dyDescent="0.2">
      <c r="V646" s="7"/>
      <c r="X646" s="7"/>
      <c r="Y646" s="7"/>
    </row>
    <row r="647" spans="22:25" x14ac:dyDescent="0.2">
      <c r="V647" s="7"/>
      <c r="X647" s="7"/>
      <c r="Y647" s="7"/>
    </row>
    <row r="648" spans="22:25" x14ac:dyDescent="0.2">
      <c r="V648" s="7"/>
      <c r="X648" s="7"/>
      <c r="Y648" s="7"/>
    </row>
    <row r="649" spans="22:25" x14ac:dyDescent="0.2">
      <c r="V649" s="7"/>
      <c r="X649" s="7"/>
      <c r="Y649" s="7"/>
    </row>
    <row r="650" spans="22:25" x14ac:dyDescent="0.2">
      <c r="V650" s="7"/>
      <c r="X650" s="7"/>
      <c r="Y650" s="7"/>
    </row>
    <row r="651" spans="22:25" x14ac:dyDescent="0.2">
      <c r="V651" s="7"/>
      <c r="X651" s="7"/>
      <c r="Y651" s="7"/>
    </row>
    <row r="652" spans="22:25" x14ac:dyDescent="0.2">
      <c r="V652" s="7"/>
      <c r="X652" s="7"/>
      <c r="Y652" s="7"/>
    </row>
    <row r="653" spans="22:25" x14ac:dyDescent="0.2">
      <c r="V653" s="7"/>
      <c r="X653" s="7"/>
      <c r="Y653" s="7"/>
    </row>
    <row r="654" spans="22:25" x14ac:dyDescent="0.2">
      <c r="V654" s="7"/>
      <c r="X654" s="7"/>
      <c r="Y654" s="7"/>
    </row>
    <row r="655" spans="22:25" x14ac:dyDescent="0.2">
      <c r="V655" s="7"/>
      <c r="X655" s="7"/>
      <c r="Y655" s="7"/>
    </row>
    <row r="656" spans="22:25" x14ac:dyDescent="0.2">
      <c r="V656" s="7"/>
      <c r="X656" s="7"/>
      <c r="Y656" s="7"/>
    </row>
    <row r="657" spans="22:25" x14ac:dyDescent="0.2">
      <c r="V657" s="7"/>
      <c r="X657" s="7"/>
      <c r="Y657" s="7"/>
    </row>
    <row r="658" spans="22:25" x14ac:dyDescent="0.2">
      <c r="V658" s="7"/>
      <c r="X658" s="7"/>
      <c r="Y658" s="7"/>
    </row>
    <row r="659" spans="22:25" x14ac:dyDescent="0.2">
      <c r="V659" s="7"/>
      <c r="X659" s="7"/>
      <c r="Y659" s="7"/>
    </row>
    <row r="660" spans="22:25" x14ac:dyDescent="0.2">
      <c r="V660" s="7"/>
      <c r="X660" s="7"/>
      <c r="Y660" s="7"/>
    </row>
    <row r="661" spans="22:25" x14ac:dyDescent="0.2">
      <c r="V661" s="7"/>
      <c r="X661" s="7"/>
      <c r="Y661" s="7"/>
    </row>
    <row r="662" spans="22:25" x14ac:dyDescent="0.2">
      <c r="V662" s="7"/>
      <c r="X662" s="7"/>
      <c r="Y662" s="7"/>
    </row>
    <row r="663" spans="22:25" x14ac:dyDescent="0.2">
      <c r="V663" s="7"/>
      <c r="X663" s="7"/>
      <c r="Y663" s="7"/>
    </row>
    <row r="664" spans="22:25" x14ac:dyDescent="0.2">
      <c r="V664" s="7"/>
      <c r="X664" s="7"/>
      <c r="Y664" s="7"/>
    </row>
    <row r="665" spans="22:25" x14ac:dyDescent="0.2">
      <c r="V665" s="7"/>
      <c r="X665" s="7"/>
      <c r="Y665" s="7"/>
    </row>
    <row r="666" spans="22:25" x14ac:dyDescent="0.2">
      <c r="V666" s="7"/>
      <c r="X666" s="7"/>
      <c r="Y666" s="7"/>
    </row>
    <row r="667" spans="22:25" x14ac:dyDescent="0.2">
      <c r="V667" s="7"/>
      <c r="X667" s="7"/>
      <c r="Y667" s="7"/>
    </row>
    <row r="668" spans="22:25" x14ac:dyDescent="0.2">
      <c r="V668" s="7"/>
      <c r="X668" s="7"/>
      <c r="Y668" s="7"/>
    </row>
    <row r="669" spans="22:25" x14ac:dyDescent="0.2">
      <c r="V669" s="7"/>
      <c r="X669" s="7"/>
      <c r="Y669" s="7"/>
    </row>
    <row r="670" spans="22:25" x14ac:dyDescent="0.2">
      <c r="V670" s="7"/>
      <c r="X670" s="7"/>
      <c r="Y670" s="7"/>
    </row>
    <row r="671" spans="22:25" x14ac:dyDescent="0.2">
      <c r="V671" s="7"/>
      <c r="X671" s="7"/>
      <c r="Y671" s="7"/>
    </row>
    <row r="672" spans="22:25" x14ac:dyDescent="0.2">
      <c r="V672" s="7"/>
      <c r="X672" s="7"/>
      <c r="Y672" s="7"/>
    </row>
    <row r="673" spans="22:25" x14ac:dyDescent="0.2">
      <c r="V673" s="7"/>
      <c r="X673" s="7"/>
      <c r="Y673" s="7"/>
    </row>
    <row r="674" spans="22:25" x14ac:dyDescent="0.2">
      <c r="V674" s="7"/>
      <c r="X674" s="7"/>
      <c r="Y674" s="7"/>
    </row>
    <row r="675" spans="22:25" x14ac:dyDescent="0.2">
      <c r="V675" s="7"/>
      <c r="X675" s="7"/>
      <c r="Y675" s="7"/>
    </row>
    <row r="676" spans="22:25" x14ac:dyDescent="0.2">
      <c r="V676" s="7"/>
      <c r="X676" s="7"/>
      <c r="Y676" s="7"/>
    </row>
    <row r="677" spans="22:25" x14ac:dyDescent="0.2">
      <c r="V677" s="7"/>
      <c r="X677" s="7"/>
      <c r="Y677" s="7"/>
    </row>
    <row r="678" spans="22:25" x14ac:dyDescent="0.2">
      <c r="V678" s="7"/>
      <c r="X678" s="7"/>
      <c r="Y678" s="7"/>
    </row>
    <row r="679" spans="22:25" x14ac:dyDescent="0.2">
      <c r="V679" s="7"/>
      <c r="X679" s="7"/>
      <c r="Y679" s="7"/>
    </row>
    <row r="680" spans="22:25" x14ac:dyDescent="0.2">
      <c r="V680" s="7"/>
      <c r="X680" s="7"/>
      <c r="Y680" s="7"/>
    </row>
    <row r="681" spans="22:25" x14ac:dyDescent="0.2">
      <c r="V681" s="7"/>
      <c r="X681" s="7"/>
      <c r="Y681" s="7"/>
    </row>
    <row r="682" spans="22:25" x14ac:dyDescent="0.2">
      <c r="V682" s="7"/>
      <c r="X682" s="7"/>
      <c r="Y682" s="7"/>
    </row>
    <row r="683" spans="22:25" x14ac:dyDescent="0.2">
      <c r="V683" s="7"/>
      <c r="X683" s="7"/>
      <c r="Y683" s="7"/>
    </row>
    <row r="684" spans="22:25" x14ac:dyDescent="0.2">
      <c r="V684" s="7"/>
      <c r="X684" s="7"/>
      <c r="Y684" s="7"/>
    </row>
    <row r="685" spans="22:25" x14ac:dyDescent="0.2">
      <c r="V685" s="7"/>
      <c r="X685" s="7"/>
      <c r="Y685" s="7"/>
    </row>
    <row r="686" spans="22:25" x14ac:dyDescent="0.2">
      <c r="V686" s="7"/>
      <c r="X686" s="7"/>
      <c r="Y686" s="7"/>
    </row>
    <row r="687" spans="22:25" x14ac:dyDescent="0.2">
      <c r="V687" s="7"/>
      <c r="X687" s="7"/>
      <c r="Y687" s="7"/>
    </row>
    <row r="688" spans="22:25" x14ac:dyDescent="0.2">
      <c r="V688" s="7"/>
      <c r="X688" s="7"/>
      <c r="Y688" s="7"/>
    </row>
    <row r="689" spans="22:25" x14ac:dyDescent="0.2">
      <c r="V689" s="7"/>
      <c r="X689" s="7"/>
      <c r="Y689" s="7"/>
    </row>
    <row r="690" spans="22:25" x14ac:dyDescent="0.2">
      <c r="V690" s="7"/>
      <c r="X690" s="7"/>
      <c r="Y690" s="7"/>
    </row>
    <row r="691" spans="22:25" x14ac:dyDescent="0.2">
      <c r="V691" s="7"/>
      <c r="X691" s="7"/>
      <c r="Y691" s="7"/>
    </row>
    <row r="692" spans="22:25" x14ac:dyDescent="0.2">
      <c r="V692" s="7"/>
      <c r="X692" s="7"/>
      <c r="Y692" s="7"/>
    </row>
    <row r="693" spans="22:25" x14ac:dyDescent="0.2">
      <c r="V693" s="7"/>
      <c r="X693" s="7"/>
      <c r="Y693" s="7"/>
    </row>
    <row r="694" spans="22:25" x14ac:dyDescent="0.2">
      <c r="V694" s="7"/>
      <c r="X694" s="7"/>
      <c r="Y694" s="7"/>
    </row>
    <row r="695" spans="22:25" x14ac:dyDescent="0.2">
      <c r="V695" s="7"/>
      <c r="X695" s="7"/>
      <c r="Y695" s="7"/>
    </row>
    <row r="696" spans="22:25" x14ac:dyDescent="0.2">
      <c r="V696" s="7"/>
      <c r="X696" s="7"/>
      <c r="Y696" s="7"/>
    </row>
    <row r="697" spans="22:25" x14ac:dyDescent="0.2">
      <c r="V697" s="7"/>
      <c r="X697" s="7"/>
      <c r="Y697" s="7"/>
    </row>
    <row r="698" spans="22:25" x14ac:dyDescent="0.2">
      <c r="V698" s="7"/>
      <c r="X698" s="7"/>
      <c r="Y698" s="7"/>
    </row>
    <row r="699" spans="22:25" x14ac:dyDescent="0.2">
      <c r="V699" s="7"/>
      <c r="X699" s="7"/>
      <c r="Y699" s="7"/>
    </row>
    <row r="700" spans="22:25" x14ac:dyDescent="0.2">
      <c r="V700" s="7"/>
      <c r="X700" s="7"/>
      <c r="Y700" s="7"/>
    </row>
    <row r="701" spans="22:25" x14ac:dyDescent="0.2">
      <c r="V701" s="7"/>
      <c r="X701" s="7"/>
      <c r="Y701" s="7"/>
    </row>
    <row r="702" spans="22:25" x14ac:dyDescent="0.2">
      <c r="V702" s="7"/>
      <c r="X702" s="7"/>
      <c r="Y702" s="7"/>
    </row>
    <row r="703" spans="22:25" x14ac:dyDescent="0.2">
      <c r="V703" s="7"/>
      <c r="X703" s="7"/>
      <c r="Y703" s="7"/>
    </row>
    <row r="704" spans="22:25" x14ac:dyDescent="0.2">
      <c r="V704" s="7"/>
      <c r="X704" s="7"/>
      <c r="Y704" s="7"/>
    </row>
    <row r="705" spans="22:25" x14ac:dyDescent="0.2">
      <c r="V705" s="7"/>
      <c r="X705" s="7"/>
      <c r="Y705" s="7"/>
    </row>
    <row r="706" spans="22:25" x14ac:dyDescent="0.2">
      <c r="V706" s="7"/>
      <c r="X706" s="7"/>
      <c r="Y706" s="7"/>
    </row>
    <row r="707" spans="22:25" x14ac:dyDescent="0.2">
      <c r="V707" s="7"/>
      <c r="X707" s="7"/>
      <c r="Y707" s="7"/>
    </row>
    <row r="708" spans="22:25" x14ac:dyDescent="0.2">
      <c r="V708" s="7"/>
      <c r="X708" s="7"/>
      <c r="Y708" s="7"/>
    </row>
    <row r="709" spans="22:25" x14ac:dyDescent="0.2">
      <c r="V709" s="7"/>
      <c r="X709" s="7"/>
      <c r="Y709" s="7"/>
    </row>
    <row r="710" spans="22:25" x14ac:dyDescent="0.2">
      <c r="V710" s="7"/>
      <c r="X710" s="7"/>
      <c r="Y710" s="7"/>
    </row>
    <row r="711" spans="22:25" x14ac:dyDescent="0.2">
      <c r="V711" s="7"/>
      <c r="X711" s="7"/>
      <c r="Y711" s="7"/>
    </row>
    <row r="712" spans="22:25" x14ac:dyDescent="0.2">
      <c r="V712" s="7"/>
      <c r="X712" s="7"/>
      <c r="Y712" s="7"/>
    </row>
    <row r="713" spans="22:25" x14ac:dyDescent="0.2">
      <c r="V713" s="7"/>
      <c r="X713" s="7"/>
      <c r="Y713" s="7"/>
    </row>
    <row r="714" spans="22:25" x14ac:dyDescent="0.2">
      <c r="V714" s="7"/>
      <c r="X714" s="7"/>
      <c r="Y714" s="7"/>
    </row>
    <row r="715" spans="22:25" x14ac:dyDescent="0.2">
      <c r="V715" s="7"/>
      <c r="X715" s="7"/>
      <c r="Y715" s="7"/>
    </row>
    <row r="716" spans="22:25" x14ac:dyDescent="0.2">
      <c r="V716" s="7"/>
      <c r="X716" s="7"/>
      <c r="Y716" s="7"/>
    </row>
    <row r="717" spans="22:25" x14ac:dyDescent="0.2">
      <c r="V717" s="7"/>
      <c r="X717" s="7"/>
      <c r="Y717" s="7"/>
    </row>
    <row r="718" spans="22:25" x14ac:dyDescent="0.2">
      <c r="V718" s="7"/>
      <c r="X718" s="7"/>
      <c r="Y718" s="7"/>
    </row>
    <row r="719" spans="22:25" x14ac:dyDescent="0.2">
      <c r="V719" s="7"/>
      <c r="X719" s="7"/>
      <c r="Y719" s="7"/>
    </row>
    <row r="720" spans="22:25" x14ac:dyDescent="0.2">
      <c r="V720" s="7"/>
      <c r="X720" s="7"/>
      <c r="Y720" s="7"/>
    </row>
    <row r="721" spans="22:25" x14ac:dyDescent="0.2">
      <c r="V721" s="7"/>
      <c r="X721" s="7"/>
      <c r="Y721" s="7"/>
    </row>
    <row r="722" spans="22:25" x14ac:dyDescent="0.2">
      <c r="V722" s="7"/>
      <c r="X722" s="7"/>
      <c r="Y722" s="7"/>
    </row>
    <row r="723" spans="22:25" x14ac:dyDescent="0.2">
      <c r="V723" s="7"/>
      <c r="X723" s="7"/>
      <c r="Y723" s="7"/>
    </row>
    <row r="724" spans="22:25" x14ac:dyDescent="0.2">
      <c r="V724" s="7"/>
      <c r="X724" s="7"/>
      <c r="Y724" s="7"/>
    </row>
    <row r="725" spans="22:25" x14ac:dyDescent="0.2">
      <c r="V725" s="7"/>
      <c r="X725" s="7"/>
      <c r="Y725" s="7"/>
    </row>
    <row r="726" spans="22:25" x14ac:dyDescent="0.2">
      <c r="V726" s="7"/>
      <c r="X726" s="7"/>
      <c r="Y726" s="7"/>
    </row>
    <row r="727" spans="22:25" x14ac:dyDescent="0.2">
      <c r="V727" s="7"/>
      <c r="X727" s="7"/>
      <c r="Y727" s="7"/>
    </row>
    <row r="728" spans="22:25" x14ac:dyDescent="0.2">
      <c r="V728" s="7"/>
      <c r="X728" s="7"/>
      <c r="Y728" s="7"/>
    </row>
    <row r="729" spans="22:25" x14ac:dyDescent="0.2">
      <c r="V729" s="7"/>
      <c r="X729" s="7"/>
      <c r="Y729" s="7"/>
    </row>
    <row r="730" spans="22:25" x14ac:dyDescent="0.2">
      <c r="V730" s="7"/>
      <c r="X730" s="7"/>
      <c r="Y730" s="7"/>
    </row>
    <row r="731" spans="22:25" x14ac:dyDescent="0.2">
      <c r="V731" s="7"/>
      <c r="X731" s="7"/>
      <c r="Y731" s="7"/>
    </row>
    <row r="732" spans="22:25" x14ac:dyDescent="0.2">
      <c r="V732" s="7"/>
      <c r="X732" s="7"/>
      <c r="Y732" s="7"/>
    </row>
    <row r="733" spans="22:25" x14ac:dyDescent="0.2">
      <c r="V733" s="7"/>
      <c r="X733" s="7"/>
      <c r="Y733" s="7"/>
    </row>
    <row r="734" spans="22:25" x14ac:dyDescent="0.2">
      <c r="V734" s="7"/>
      <c r="X734" s="7"/>
      <c r="Y734" s="7"/>
    </row>
    <row r="735" spans="22:25" x14ac:dyDescent="0.2">
      <c r="V735" s="7"/>
      <c r="X735" s="7"/>
      <c r="Y735" s="7"/>
    </row>
    <row r="736" spans="22:25" x14ac:dyDescent="0.2">
      <c r="V736" s="7"/>
      <c r="X736" s="7"/>
      <c r="Y736" s="7"/>
    </row>
    <row r="737" spans="22:25" x14ac:dyDescent="0.2">
      <c r="V737" s="7"/>
      <c r="X737" s="7"/>
      <c r="Y737" s="7"/>
    </row>
    <row r="738" spans="22:25" x14ac:dyDescent="0.2">
      <c r="V738" s="7"/>
      <c r="X738" s="7"/>
      <c r="Y738" s="7"/>
    </row>
    <row r="739" spans="22:25" x14ac:dyDescent="0.2">
      <c r="V739" s="7"/>
      <c r="X739" s="7"/>
      <c r="Y739" s="7"/>
    </row>
    <row r="740" spans="22:25" x14ac:dyDescent="0.2">
      <c r="V740" s="7"/>
      <c r="X740" s="7"/>
      <c r="Y740" s="7"/>
    </row>
    <row r="741" spans="22:25" x14ac:dyDescent="0.2">
      <c r="V741" s="7"/>
      <c r="X741" s="7"/>
      <c r="Y741" s="7"/>
    </row>
    <row r="742" spans="22:25" x14ac:dyDescent="0.2">
      <c r="V742" s="7"/>
      <c r="X742" s="7"/>
      <c r="Y742" s="7"/>
    </row>
    <row r="743" spans="22:25" x14ac:dyDescent="0.2">
      <c r="V743" s="7"/>
      <c r="X743" s="7"/>
      <c r="Y743" s="7"/>
    </row>
    <row r="744" spans="22:25" x14ac:dyDescent="0.2">
      <c r="V744" s="7"/>
      <c r="X744" s="7"/>
      <c r="Y744" s="7"/>
    </row>
    <row r="745" spans="22:25" x14ac:dyDescent="0.2">
      <c r="V745" s="7"/>
      <c r="X745" s="7"/>
      <c r="Y745" s="7"/>
    </row>
    <row r="746" spans="22:25" x14ac:dyDescent="0.2">
      <c r="V746" s="7"/>
      <c r="X746" s="7"/>
      <c r="Y746" s="7"/>
    </row>
    <row r="747" spans="22:25" x14ac:dyDescent="0.2">
      <c r="V747" s="7"/>
      <c r="X747" s="7"/>
      <c r="Y747" s="7"/>
    </row>
    <row r="748" spans="22:25" x14ac:dyDescent="0.2">
      <c r="V748" s="7"/>
      <c r="X748" s="7"/>
      <c r="Y748" s="7"/>
    </row>
    <row r="749" spans="22:25" x14ac:dyDescent="0.2">
      <c r="V749" s="7"/>
      <c r="X749" s="7"/>
      <c r="Y749" s="7"/>
    </row>
    <row r="750" spans="22:25" x14ac:dyDescent="0.2">
      <c r="V750" s="7"/>
      <c r="X750" s="7"/>
      <c r="Y750" s="7"/>
    </row>
    <row r="751" spans="22:25" x14ac:dyDescent="0.2">
      <c r="V751" s="7"/>
      <c r="X751" s="7"/>
      <c r="Y751" s="7"/>
    </row>
    <row r="752" spans="22:25" x14ac:dyDescent="0.2">
      <c r="V752" s="7"/>
      <c r="X752" s="7"/>
      <c r="Y752" s="7"/>
    </row>
    <row r="753" spans="22:25" x14ac:dyDescent="0.2">
      <c r="V753" s="7"/>
      <c r="X753" s="7"/>
      <c r="Y753" s="7"/>
    </row>
    <row r="754" spans="22:25" x14ac:dyDescent="0.2">
      <c r="V754" s="7"/>
      <c r="X754" s="7"/>
      <c r="Y754" s="7"/>
    </row>
    <row r="755" spans="22:25" x14ac:dyDescent="0.2">
      <c r="V755" s="7"/>
      <c r="X755" s="7"/>
      <c r="Y755" s="7"/>
    </row>
    <row r="756" spans="22:25" x14ac:dyDescent="0.2">
      <c r="V756" s="7"/>
      <c r="X756" s="7"/>
      <c r="Y756" s="7"/>
    </row>
    <row r="757" spans="22:25" x14ac:dyDescent="0.2">
      <c r="V757" s="7"/>
      <c r="X757" s="7"/>
      <c r="Y757" s="7"/>
    </row>
    <row r="758" spans="22:25" x14ac:dyDescent="0.2">
      <c r="V758" s="7"/>
      <c r="X758" s="7"/>
      <c r="Y758" s="7"/>
    </row>
    <row r="759" spans="22:25" x14ac:dyDescent="0.2">
      <c r="V759" s="7"/>
      <c r="X759" s="7"/>
      <c r="Y759" s="7"/>
    </row>
    <row r="760" spans="22:25" x14ac:dyDescent="0.2">
      <c r="V760" s="7"/>
      <c r="X760" s="7"/>
      <c r="Y760" s="7"/>
    </row>
    <row r="761" spans="22:25" x14ac:dyDescent="0.2">
      <c r="V761" s="7"/>
      <c r="X761" s="7"/>
      <c r="Y76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5"/>
  <sheetViews>
    <sheetView showGridLines="0" workbookViewId="0"/>
  </sheetViews>
  <sheetFormatPr defaultColWidth="12.5703125" defaultRowHeight="15.75" customHeight="1" x14ac:dyDescent="0.2"/>
  <cols>
    <col min="1" max="1" width="22.28515625" customWidth="1"/>
  </cols>
  <sheetData>
    <row r="1" spans="1:12" x14ac:dyDescent="0.2">
      <c r="A1" s="8" t="s">
        <v>78</v>
      </c>
      <c r="B1" s="8" t="s">
        <v>2</v>
      </c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x14ac:dyDescent="0.2">
      <c r="A2" s="8" t="s">
        <v>1</v>
      </c>
      <c r="B2" s="11" t="s">
        <v>12</v>
      </c>
      <c r="C2" s="12" t="s">
        <v>43</v>
      </c>
      <c r="D2" s="12" t="s">
        <v>45</v>
      </c>
      <c r="E2" s="12" t="s">
        <v>38</v>
      </c>
      <c r="F2" s="12" t="s">
        <v>6</v>
      </c>
      <c r="G2" s="12" t="s">
        <v>10</v>
      </c>
      <c r="H2" s="12" t="s">
        <v>35</v>
      </c>
      <c r="I2" s="12" t="s">
        <v>17</v>
      </c>
      <c r="J2" s="12" t="s">
        <v>8</v>
      </c>
      <c r="K2" s="12" t="s">
        <v>76</v>
      </c>
      <c r="L2" s="13" t="s">
        <v>79</v>
      </c>
    </row>
    <row r="3" spans="1:12" x14ac:dyDescent="0.2">
      <c r="A3" s="11" t="s">
        <v>5</v>
      </c>
      <c r="B3" s="14">
        <v>1</v>
      </c>
      <c r="C3" s="15"/>
      <c r="D3" s="15"/>
      <c r="E3" s="15"/>
      <c r="F3" s="15">
        <v>1</v>
      </c>
      <c r="G3" s="15">
        <v>1</v>
      </c>
      <c r="H3" s="15"/>
      <c r="I3" s="15">
        <v>1</v>
      </c>
      <c r="J3" s="15">
        <v>1</v>
      </c>
      <c r="K3" s="15"/>
      <c r="L3" s="16">
        <v>5</v>
      </c>
    </row>
    <row r="4" spans="1:12" x14ac:dyDescent="0.2">
      <c r="A4" s="17" t="s">
        <v>15</v>
      </c>
      <c r="B4" s="18">
        <v>1</v>
      </c>
      <c r="C4" s="19"/>
      <c r="D4" s="19"/>
      <c r="E4" s="19"/>
      <c r="F4" s="19">
        <v>1</v>
      </c>
      <c r="G4" s="19">
        <v>1</v>
      </c>
      <c r="H4" s="19"/>
      <c r="I4" s="19">
        <v>1</v>
      </c>
      <c r="J4" s="19">
        <v>1</v>
      </c>
      <c r="K4" s="19"/>
      <c r="L4" s="20">
        <v>5</v>
      </c>
    </row>
    <row r="5" spans="1:12" x14ac:dyDescent="0.2">
      <c r="A5" s="17" t="s">
        <v>19</v>
      </c>
      <c r="B5" s="18">
        <v>1</v>
      </c>
      <c r="C5" s="19"/>
      <c r="D5" s="19"/>
      <c r="E5" s="19"/>
      <c r="F5" s="19">
        <v>1</v>
      </c>
      <c r="G5" s="19">
        <v>1</v>
      </c>
      <c r="H5" s="19"/>
      <c r="I5" s="19">
        <v>1</v>
      </c>
      <c r="J5" s="19">
        <v>1</v>
      </c>
      <c r="K5" s="19"/>
      <c r="L5" s="20">
        <v>5</v>
      </c>
    </row>
    <row r="6" spans="1:12" x14ac:dyDescent="0.2">
      <c r="A6" s="17" t="s">
        <v>20</v>
      </c>
      <c r="B6" s="18">
        <v>1</v>
      </c>
      <c r="C6" s="19"/>
      <c r="D6" s="19"/>
      <c r="E6" s="19"/>
      <c r="F6" s="19">
        <v>1</v>
      </c>
      <c r="G6" s="19">
        <v>1</v>
      </c>
      <c r="H6" s="19"/>
      <c r="I6" s="19"/>
      <c r="J6" s="19">
        <v>1</v>
      </c>
      <c r="K6" s="19"/>
      <c r="L6" s="20">
        <v>4</v>
      </c>
    </row>
    <row r="7" spans="1:12" x14ac:dyDescent="0.2">
      <c r="A7" s="17" t="s">
        <v>21</v>
      </c>
      <c r="B7" s="18">
        <v>1</v>
      </c>
      <c r="C7" s="19"/>
      <c r="D7" s="19"/>
      <c r="E7" s="19"/>
      <c r="F7" s="19">
        <v>1</v>
      </c>
      <c r="G7" s="19">
        <v>1</v>
      </c>
      <c r="H7" s="19"/>
      <c r="I7" s="19">
        <v>1</v>
      </c>
      <c r="J7" s="19">
        <v>1</v>
      </c>
      <c r="K7" s="19"/>
      <c r="L7" s="20">
        <v>5</v>
      </c>
    </row>
    <row r="8" spans="1:12" x14ac:dyDescent="0.2">
      <c r="A8" s="17" t="s">
        <v>22</v>
      </c>
      <c r="B8" s="18">
        <v>1</v>
      </c>
      <c r="C8" s="19"/>
      <c r="D8" s="19"/>
      <c r="E8" s="19"/>
      <c r="F8" s="19">
        <v>1</v>
      </c>
      <c r="G8" s="19">
        <v>1</v>
      </c>
      <c r="H8" s="19"/>
      <c r="I8" s="19">
        <v>1</v>
      </c>
      <c r="J8" s="19">
        <v>1</v>
      </c>
      <c r="K8" s="19"/>
      <c r="L8" s="20">
        <v>5</v>
      </c>
    </row>
    <row r="9" spans="1:12" x14ac:dyDescent="0.2">
      <c r="A9" s="17" t="s">
        <v>23</v>
      </c>
      <c r="B9" s="18">
        <v>1</v>
      </c>
      <c r="C9" s="19"/>
      <c r="D9" s="19"/>
      <c r="E9" s="19"/>
      <c r="F9" s="19">
        <v>1</v>
      </c>
      <c r="G9" s="19">
        <v>1</v>
      </c>
      <c r="H9" s="19"/>
      <c r="I9" s="19">
        <v>1</v>
      </c>
      <c r="J9" s="19">
        <v>1</v>
      </c>
      <c r="K9" s="19"/>
      <c r="L9" s="20">
        <v>5</v>
      </c>
    </row>
    <row r="10" spans="1:12" x14ac:dyDescent="0.2">
      <c r="A10" s="17" t="s">
        <v>24</v>
      </c>
      <c r="B10" s="18">
        <v>1</v>
      </c>
      <c r="C10" s="19"/>
      <c r="D10" s="19"/>
      <c r="E10" s="19"/>
      <c r="F10" s="19">
        <v>1</v>
      </c>
      <c r="G10" s="19">
        <v>1</v>
      </c>
      <c r="H10" s="19"/>
      <c r="I10" s="19">
        <v>1</v>
      </c>
      <c r="J10" s="19">
        <v>1</v>
      </c>
      <c r="K10" s="19"/>
      <c r="L10" s="20">
        <v>5</v>
      </c>
    </row>
    <row r="11" spans="1:12" x14ac:dyDescent="0.2">
      <c r="A11" s="17" t="s">
        <v>26</v>
      </c>
      <c r="B11" s="18">
        <v>1</v>
      </c>
      <c r="C11" s="19"/>
      <c r="D11" s="19"/>
      <c r="E11" s="19"/>
      <c r="F11" s="19">
        <v>1</v>
      </c>
      <c r="G11" s="19">
        <v>1</v>
      </c>
      <c r="H11" s="19"/>
      <c r="I11" s="19">
        <v>1</v>
      </c>
      <c r="J11" s="19">
        <v>1</v>
      </c>
      <c r="K11" s="19"/>
      <c r="L11" s="20">
        <v>5</v>
      </c>
    </row>
    <row r="12" spans="1:12" x14ac:dyDescent="0.2">
      <c r="A12" s="17" t="s">
        <v>29</v>
      </c>
      <c r="B12" s="18">
        <v>1</v>
      </c>
      <c r="C12" s="19"/>
      <c r="D12" s="19"/>
      <c r="E12" s="19"/>
      <c r="F12" s="19">
        <v>1</v>
      </c>
      <c r="G12" s="19">
        <v>1</v>
      </c>
      <c r="H12" s="19"/>
      <c r="I12" s="19">
        <v>1</v>
      </c>
      <c r="J12" s="19">
        <v>1</v>
      </c>
      <c r="K12" s="19"/>
      <c r="L12" s="20">
        <v>5</v>
      </c>
    </row>
    <row r="13" spans="1:12" x14ac:dyDescent="0.2">
      <c r="A13" s="17" t="s">
        <v>30</v>
      </c>
      <c r="B13" s="18">
        <v>1</v>
      </c>
      <c r="C13" s="19"/>
      <c r="D13" s="19"/>
      <c r="E13" s="19"/>
      <c r="F13" s="19">
        <v>1</v>
      </c>
      <c r="G13" s="19">
        <v>1</v>
      </c>
      <c r="H13" s="19"/>
      <c r="I13" s="19"/>
      <c r="J13" s="19">
        <v>1</v>
      </c>
      <c r="K13" s="19"/>
      <c r="L13" s="20">
        <v>4</v>
      </c>
    </row>
    <row r="14" spans="1:12" x14ac:dyDescent="0.2">
      <c r="A14" s="17" t="s">
        <v>31</v>
      </c>
      <c r="B14" s="18">
        <v>1</v>
      </c>
      <c r="C14" s="19"/>
      <c r="D14" s="19"/>
      <c r="E14" s="19"/>
      <c r="F14" s="19">
        <v>1</v>
      </c>
      <c r="G14" s="19">
        <v>1</v>
      </c>
      <c r="H14" s="19"/>
      <c r="I14" s="19">
        <v>1</v>
      </c>
      <c r="J14" s="19">
        <v>1</v>
      </c>
      <c r="K14" s="19"/>
      <c r="L14" s="20">
        <v>5</v>
      </c>
    </row>
    <row r="15" spans="1:12" x14ac:dyDescent="0.2">
      <c r="A15" s="17" t="s">
        <v>32</v>
      </c>
      <c r="B15" s="18">
        <v>1</v>
      </c>
      <c r="C15" s="19"/>
      <c r="D15" s="19"/>
      <c r="E15" s="19"/>
      <c r="F15" s="19">
        <v>1</v>
      </c>
      <c r="G15" s="19">
        <v>1</v>
      </c>
      <c r="H15" s="19"/>
      <c r="I15" s="19">
        <v>1</v>
      </c>
      <c r="J15" s="19">
        <v>1</v>
      </c>
      <c r="K15" s="19"/>
      <c r="L15" s="20">
        <v>5</v>
      </c>
    </row>
    <row r="16" spans="1:12" x14ac:dyDescent="0.2">
      <c r="A16" s="17" t="s">
        <v>33</v>
      </c>
      <c r="B16" s="18">
        <v>1</v>
      </c>
      <c r="C16" s="19"/>
      <c r="D16" s="19"/>
      <c r="E16" s="19">
        <v>1</v>
      </c>
      <c r="F16" s="19">
        <v>1</v>
      </c>
      <c r="G16" s="19">
        <v>1</v>
      </c>
      <c r="H16" s="19">
        <v>1</v>
      </c>
      <c r="I16" s="19">
        <v>1</v>
      </c>
      <c r="J16" s="19">
        <v>1</v>
      </c>
      <c r="K16" s="19">
        <v>1</v>
      </c>
      <c r="L16" s="20">
        <v>8</v>
      </c>
    </row>
    <row r="17" spans="1:12" x14ac:dyDescent="0.2">
      <c r="A17" s="17" t="s">
        <v>39</v>
      </c>
      <c r="B17" s="18">
        <v>1</v>
      </c>
      <c r="C17" s="19"/>
      <c r="D17" s="19"/>
      <c r="E17" s="19"/>
      <c r="F17" s="19">
        <v>1</v>
      </c>
      <c r="G17" s="19">
        <v>1</v>
      </c>
      <c r="H17" s="19"/>
      <c r="I17" s="19">
        <v>1</v>
      </c>
      <c r="J17" s="19">
        <v>1</v>
      </c>
      <c r="K17" s="19"/>
      <c r="L17" s="20">
        <v>5</v>
      </c>
    </row>
    <row r="18" spans="1:12" x14ac:dyDescent="0.2">
      <c r="A18" s="17" t="s">
        <v>40</v>
      </c>
      <c r="B18" s="18">
        <v>1</v>
      </c>
      <c r="C18" s="19"/>
      <c r="D18" s="19"/>
      <c r="E18" s="19"/>
      <c r="F18" s="19">
        <v>1</v>
      </c>
      <c r="G18" s="19">
        <v>1</v>
      </c>
      <c r="H18" s="19"/>
      <c r="I18" s="19">
        <v>1</v>
      </c>
      <c r="J18" s="19">
        <v>1</v>
      </c>
      <c r="K18" s="19"/>
      <c r="L18" s="20">
        <v>5</v>
      </c>
    </row>
    <row r="19" spans="1:12" x14ac:dyDescent="0.2">
      <c r="A19" s="17" t="s">
        <v>42</v>
      </c>
      <c r="B19" s="18"/>
      <c r="C19" s="19">
        <v>1</v>
      </c>
      <c r="D19" s="19">
        <v>1</v>
      </c>
      <c r="E19" s="19"/>
      <c r="F19" s="19">
        <v>1</v>
      </c>
      <c r="G19" s="19">
        <v>1</v>
      </c>
      <c r="H19" s="19"/>
      <c r="I19" s="19">
        <v>1</v>
      </c>
      <c r="J19" s="19">
        <v>1</v>
      </c>
      <c r="K19" s="19"/>
      <c r="L19" s="20">
        <v>6</v>
      </c>
    </row>
    <row r="20" spans="1:12" x14ac:dyDescent="0.2">
      <c r="A20" s="17" t="s">
        <v>46</v>
      </c>
      <c r="B20" s="18">
        <v>1</v>
      </c>
      <c r="C20" s="19"/>
      <c r="D20" s="19"/>
      <c r="E20" s="19"/>
      <c r="F20" s="19">
        <v>1</v>
      </c>
      <c r="G20" s="19">
        <v>1</v>
      </c>
      <c r="H20" s="19"/>
      <c r="I20" s="19">
        <v>1</v>
      </c>
      <c r="J20" s="19">
        <v>1</v>
      </c>
      <c r="K20" s="19"/>
      <c r="L20" s="20">
        <v>5</v>
      </c>
    </row>
    <row r="21" spans="1:12" x14ac:dyDescent="0.2">
      <c r="A21" s="17" t="s">
        <v>47</v>
      </c>
      <c r="B21" s="18">
        <v>1</v>
      </c>
      <c r="C21" s="19"/>
      <c r="D21" s="19"/>
      <c r="E21" s="19"/>
      <c r="F21" s="19">
        <v>1</v>
      </c>
      <c r="G21" s="19">
        <v>1</v>
      </c>
      <c r="H21" s="19"/>
      <c r="I21" s="19">
        <v>1</v>
      </c>
      <c r="J21" s="19">
        <v>1</v>
      </c>
      <c r="K21" s="19"/>
      <c r="L21" s="20">
        <v>5</v>
      </c>
    </row>
    <row r="22" spans="1:12" x14ac:dyDescent="0.2">
      <c r="A22" s="17" t="s">
        <v>48</v>
      </c>
      <c r="B22" s="18">
        <v>1</v>
      </c>
      <c r="C22" s="19"/>
      <c r="D22" s="19"/>
      <c r="E22" s="19"/>
      <c r="F22" s="19">
        <v>1</v>
      </c>
      <c r="G22" s="19">
        <v>1</v>
      </c>
      <c r="H22" s="19"/>
      <c r="I22" s="19">
        <v>1</v>
      </c>
      <c r="J22" s="19">
        <v>1</v>
      </c>
      <c r="K22" s="19"/>
      <c r="L22" s="20">
        <v>5</v>
      </c>
    </row>
    <row r="23" spans="1:12" x14ac:dyDescent="0.2">
      <c r="A23" s="17" t="s">
        <v>49</v>
      </c>
      <c r="B23" s="18">
        <v>1</v>
      </c>
      <c r="C23" s="19"/>
      <c r="D23" s="19"/>
      <c r="E23" s="19"/>
      <c r="F23" s="19">
        <v>1</v>
      </c>
      <c r="G23" s="19">
        <v>1</v>
      </c>
      <c r="H23" s="19"/>
      <c r="I23" s="19"/>
      <c r="J23" s="19">
        <v>1</v>
      </c>
      <c r="K23" s="19"/>
      <c r="L23" s="20">
        <v>4</v>
      </c>
    </row>
    <row r="24" spans="1:12" x14ac:dyDescent="0.2">
      <c r="A24" s="17" t="s">
        <v>51</v>
      </c>
      <c r="B24" s="18">
        <v>1</v>
      </c>
      <c r="C24" s="19"/>
      <c r="D24" s="19"/>
      <c r="E24" s="19"/>
      <c r="F24" s="19">
        <v>1</v>
      </c>
      <c r="G24" s="19">
        <v>1</v>
      </c>
      <c r="H24" s="19"/>
      <c r="I24" s="19">
        <v>1</v>
      </c>
      <c r="J24" s="19">
        <v>1</v>
      </c>
      <c r="K24" s="19"/>
      <c r="L24" s="20">
        <v>5</v>
      </c>
    </row>
    <row r="25" spans="1:12" x14ac:dyDescent="0.2">
      <c r="A25" s="17" t="s">
        <v>54</v>
      </c>
      <c r="B25" s="18">
        <v>1</v>
      </c>
      <c r="C25" s="19"/>
      <c r="D25" s="19"/>
      <c r="E25" s="19"/>
      <c r="F25" s="19">
        <v>1</v>
      </c>
      <c r="G25" s="19">
        <v>1</v>
      </c>
      <c r="H25" s="19"/>
      <c r="I25" s="19">
        <v>1</v>
      </c>
      <c r="J25" s="19">
        <v>1</v>
      </c>
      <c r="K25" s="19"/>
      <c r="L25" s="20">
        <v>5</v>
      </c>
    </row>
    <row r="26" spans="1:12" x14ac:dyDescent="0.2">
      <c r="A26" s="17" t="s">
        <v>55</v>
      </c>
      <c r="B26" s="18">
        <v>1</v>
      </c>
      <c r="C26" s="19"/>
      <c r="D26" s="19"/>
      <c r="E26" s="19"/>
      <c r="F26" s="19">
        <v>1</v>
      </c>
      <c r="G26" s="19">
        <v>1</v>
      </c>
      <c r="H26" s="19"/>
      <c r="I26" s="19">
        <v>1</v>
      </c>
      <c r="J26" s="19">
        <v>1</v>
      </c>
      <c r="K26" s="19"/>
      <c r="L26" s="20">
        <v>5</v>
      </c>
    </row>
    <row r="27" spans="1:12" x14ac:dyDescent="0.2">
      <c r="A27" s="17" t="s">
        <v>56</v>
      </c>
      <c r="B27" s="18">
        <v>1</v>
      </c>
      <c r="C27" s="19"/>
      <c r="D27" s="19"/>
      <c r="E27" s="19"/>
      <c r="F27" s="19">
        <v>1</v>
      </c>
      <c r="G27" s="19">
        <v>1</v>
      </c>
      <c r="H27" s="19"/>
      <c r="I27" s="19">
        <v>1</v>
      </c>
      <c r="J27" s="19">
        <v>1</v>
      </c>
      <c r="K27" s="19"/>
      <c r="L27" s="20">
        <v>5</v>
      </c>
    </row>
    <row r="28" spans="1:12" x14ac:dyDescent="0.2">
      <c r="A28" s="17" t="s">
        <v>57</v>
      </c>
      <c r="B28" s="18">
        <v>1</v>
      </c>
      <c r="C28" s="19"/>
      <c r="D28" s="19"/>
      <c r="E28" s="19"/>
      <c r="F28" s="19">
        <v>1</v>
      </c>
      <c r="G28" s="19">
        <v>1</v>
      </c>
      <c r="H28" s="19"/>
      <c r="I28" s="19">
        <v>1</v>
      </c>
      <c r="J28" s="19">
        <v>1</v>
      </c>
      <c r="K28" s="19"/>
      <c r="L28" s="20">
        <v>5</v>
      </c>
    </row>
    <row r="29" spans="1:12" x14ac:dyDescent="0.2">
      <c r="A29" s="17" t="s">
        <v>58</v>
      </c>
      <c r="B29" s="18">
        <v>1</v>
      </c>
      <c r="C29" s="19"/>
      <c r="D29" s="19"/>
      <c r="E29" s="19"/>
      <c r="F29" s="19">
        <v>1</v>
      </c>
      <c r="G29" s="19">
        <v>1</v>
      </c>
      <c r="H29" s="19"/>
      <c r="I29" s="19">
        <v>1</v>
      </c>
      <c r="J29" s="19">
        <v>1</v>
      </c>
      <c r="K29" s="19"/>
      <c r="L29" s="20">
        <v>5</v>
      </c>
    </row>
    <row r="30" spans="1:12" x14ac:dyDescent="0.2">
      <c r="A30" s="17" t="s">
        <v>59</v>
      </c>
      <c r="B30" s="18">
        <v>1</v>
      </c>
      <c r="C30" s="19"/>
      <c r="D30" s="19"/>
      <c r="E30" s="19"/>
      <c r="F30" s="19">
        <v>1</v>
      </c>
      <c r="G30" s="19">
        <v>1</v>
      </c>
      <c r="H30" s="19"/>
      <c r="I30" s="19">
        <v>1</v>
      </c>
      <c r="J30" s="19">
        <v>1</v>
      </c>
      <c r="K30" s="19"/>
      <c r="L30" s="20">
        <v>5</v>
      </c>
    </row>
    <row r="31" spans="1:12" x14ac:dyDescent="0.2">
      <c r="A31" s="17" t="s">
        <v>60</v>
      </c>
      <c r="B31" s="18">
        <v>1</v>
      </c>
      <c r="C31" s="19"/>
      <c r="D31" s="19"/>
      <c r="E31" s="19"/>
      <c r="F31" s="19">
        <v>1</v>
      </c>
      <c r="G31" s="19">
        <v>1</v>
      </c>
      <c r="H31" s="19"/>
      <c r="I31" s="19">
        <v>1</v>
      </c>
      <c r="J31" s="19">
        <v>1</v>
      </c>
      <c r="K31" s="19"/>
      <c r="L31" s="20">
        <v>5</v>
      </c>
    </row>
    <row r="32" spans="1:12" x14ac:dyDescent="0.2">
      <c r="A32" s="17" t="s">
        <v>61</v>
      </c>
      <c r="B32" s="18">
        <v>1</v>
      </c>
      <c r="C32" s="19"/>
      <c r="D32" s="19"/>
      <c r="E32" s="19"/>
      <c r="F32" s="19">
        <v>1</v>
      </c>
      <c r="G32" s="19">
        <v>1</v>
      </c>
      <c r="H32" s="19"/>
      <c r="I32" s="19"/>
      <c r="J32" s="19">
        <v>1</v>
      </c>
      <c r="K32" s="19"/>
      <c r="L32" s="20">
        <v>4</v>
      </c>
    </row>
    <row r="33" spans="1:12" x14ac:dyDescent="0.2">
      <c r="A33" s="17" t="s">
        <v>64</v>
      </c>
      <c r="B33" s="18">
        <v>1</v>
      </c>
      <c r="C33" s="19"/>
      <c r="D33" s="19"/>
      <c r="E33" s="19"/>
      <c r="F33" s="19">
        <v>1</v>
      </c>
      <c r="G33" s="19"/>
      <c r="H33" s="19"/>
      <c r="I33" s="19"/>
      <c r="J33" s="19">
        <v>1</v>
      </c>
      <c r="K33" s="19"/>
      <c r="L33" s="20">
        <v>3</v>
      </c>
    </row>
    <row r="34" spans="1:12" x14ac:dyDescent="0.2">
      <c r="A34" s="17" t="s">
        <v>66</v>
      </c>
      <c r="B34" s="18"/>
      <c r="C34" s="19"/>
      <c r="D34" s="19"/>
      <c r="E34" s="19"/>
      <c r="F34" s="19">
        <v>1</v>
      </c>
      <c r="G34" s="19"/>
      <c r="H34" s="19"/>
      <c r="I34" s="19"/>
      <c r="J34" s="19">
        <v>1</v>
      </c>
      <c r="K34" s="19"/>
      <c r="L34" s="20">
        <v>2</v>
      </c>
    </row>
    <row r="35" spans="1:12" x14ac:dyDescent="0.2">
      <c r="A35" s="21" t="s">
        <v>79</v>
      </c>
      <c r="B35" s="22">
        <v>30</v>
      </c>
      <c r="C35" s="23">
        <v>1</v>
      </c>
      <c r="D35" s="23">
        <v>1</v>
      </c>
      <c r="E35" s="23">
        <v>1</v>
      </c>
      <c r="F35" s="23">
        <v>32</v>
      </c>
      <c r="G35" s="23">
        <v>30</v>
      </c>
      <c r="H35" s="23">
        <v>1</v>
      </c>
      <c r="I35" s="23">
        <v>26</v>
      </c>
      <c r="J35" s="23">
        <v>32</v>
      </c>
      <c r="K35" s="23">
        <v>1</v>
      </c>
      <c r="L35" s="2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</vt:lpstr>
      <vt:lpstr>Sheet2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Bagi Kopi Indonesia</cp:lastModifiedBy>
  <dcterms:modified xsi:type="dcterms:W3CDTF">2026-04-30T03:35:01Z</dcterms:modified>
</cp:coreProperties>
</file>