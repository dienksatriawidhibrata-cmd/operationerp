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PI" sheetId="1" r:id="rId5"/>
    <sheet state="visible" name="Jan" sheetId="2" r:id="rId6"/>
    <sheet state="visible" name="Feb" sheetId="3" r:id="rId7"/>
    <sheet state="visible" name="Mar" sheetId="4" r:id="rId8"/>
    <sheet state="visible" name="Sales" sheetId="5" r:id="rId9"/>
    <sheet state="visible" name="AVG" sheetId="6" r:id="rId10"/>
    <sheet state="visible" name="Large" sheetId="7" r:id="rId11"/>
    <sheet state="visible" name="Oatside" sheetId="8" r:id="rId12"/>
    <sheet state="visible" name="Snack Platter" sheetId="9" r:id="rId13"/>
    <sheet state="visible" name="Bundling Asik" sheetId="10" r:id="rId14"/>
    <sheet state="visible" name="YoY" sheetId="11" r:id="rId15"/>
    <sheet state="visible" name="Waste &amp; Spoil" sheetId="12" r:id="rId16"/>
    <sheet state="visible" name="HPP" sheetId="13" r:id="rId17"/>
    <sheet state="visible" name="Audit" sheetId="14" r:id="rId18"/>
    <sheet state="visible" name="Mistery Shopper" sheetId="15" r:id="rId19"/>
    <sheet state="visible" name="LOG Complain" sheetId="16" r:id="rId20"/>
    <sheet state="visible" name="Complain" sheetId="17" r:id="rId21"/>
    <sheet state="visible" name="Retention" sheetId="18" r:id="rId22"/>
    <sheet state="visible" name="Daily Sales" sheetId="19" r:id="rId23"/>
    <sheet state="visible" name="SLA Complain" sheetId="20" r:id="rId24"/>
  </sheets>
  <definedNames>
    <definedName hidden="1" localSheetId="1" name="_xlnm._FilterDatabase">Jan!$A$1:$L$31</definedName>
    <definedName hidden="1" localSheetId="2" name="_xlnm._FilterDatabase">Feb!$A$1:$L$31</definedName>
    <definedName hidden="1" localSheetId="3" name="_xlnm._FilterDatabase">Mar!$A$1:$L$31</definedName>
    <definedName hidden="1" localSheetId="4" name="_xlnm._FilterDatabase">Sales!$A$2:$M$32</definedName>
    <definedName hidden="1" localSheetId="12" name="_xlnm._FilterDatabase">HPP!$A$2:$N$32</definedName>
    <definedName hidden="1" localSheetId="13" name="_xlnm._FilterDatabase">Audit!$A$1:$G$31</definedName>
    <definedName hidden="1" localSheetId="14" name="_xlnm._FilterDatabase">'Mistery Shopper'!$A$1:$G$1004</definedName>
  </definedNames>
  <calcPr/>
</workbook>
</file>

<file path=xl/sharedStrings.xml><?xml version="1.0" encoding="utf-8"?>
<sst xmlns="http://schemas.openxmlformats.org/spreadsheetml/2006/main" count="1688" uniqueCount="311">
  <si>
    <t>STORE</t>
  </si>
  <si>
    <t>Category</t>
  </si>
  <si>
    <t>ITEM</t>
  </si>
  <si>
    <t>TARGET</t>
  </si>
  <si>
    <t>CONTRIBUTION</t>
  </si>
  <si>
    <t>CARA PENILAIAN</t>
  </si>
  <si>
    <t>Sales Achievement</t>
  </si>
  <si>
    <t>Net Sales</t>
  </si>
  <si>
    <t>Tier 2</t>
  </si>
  <si>
    <t>Tercapai Tier 2</t>
  </si>
  <si>
    <t>AVG Transactions</t>
  </si>
  <si>
    <t>Net Sales AVG</t>
  </si>
  <si>
    <t>Large Attach Rate</t>
  </si>
  <si>
    <t>Rasio Large 65% dari seluruh cup yang terjual</t>
  </si>
  <si>
    <t>Oatmilk Attach Rate</t>
  </si>
  <si>
    <t>Rasio Oatmilk 5% dari seluruh minuman dengan modifier oatmilk</t>
  </si>
  <si>
    <t>Snack Platter Attach Rate</t>
  </si>
  <si>
    <t>Rasio Snack Platter 10% dari seluruh snack yang terjual</t>
  </si>
  <si>
    <t>Bundling Asik Attach Rate</t>
  </si>
  <si>
    <t>Rasio Bundling Asik 5% dari Transaksi selama periode</t>
  </si>
  <si>
    <t>Quality &amp; Compliance</t>
  </si>
  <si>
    <t>Audit</t>
  </si>
  <si>
    <t>APD</t>
  </si>
  <si>
    <t>Mistery Shopper</t>
  </si>
  <si>
    <t>Complain</t>
  </si>
  <si>
    <t>Rasio komplain maksimal 0.10%</t>
  </si>
  <si>
    <t>STORE MANAGER</t>
  </si>
  <si>
    <t>CATEGORY</t>
  </si>
  <si>
    <t>Sales Execution &amp; Control</t>
  </si>
  <si>
    <t>Daily Target Briefing &amp; Shift Brief</t>
  </si>
  <si>
    <t>Video ke DM</t>
  </si>
  <si>
    <t>Monitoring AVG Transaction &amp; Attach Rate</t>
  </si>
  <si>
    <t>Buat Laporan Setiap Hari ke DM</t>
  </si>
  <si>
    <t>Achievement Sales KPI Store</t>
  </si>
  <si>
    <t>Target Sales Daily Tercapai</t>
  </si>
  <si>
    <t>Cost &amp; Inventory Control</t>
  </si>
  <si>
    <t>HPP Control</t>
  </si>
  <si>
    <t>HPP Finance</t>
  </si>
  <si>
    <t>Waste &amp; Spoil Monitoring</t>
  </si>
  <si>
    <t>LOG Lengkap</t>
  </si>
  <si>
    <t>Stock Accuracy &amp; FIFO</t>
  </si>
  <si>
    <t>Audit DM Mingguan</t>
  </si>
  <si>
    <t>Opex</t>
  </si>
  <si>
    <t>Deviasi vs Budget</t>
  </si>
  <si>
    <t>Team Management &amp; Coaching</t>
  </si>
  <si>
    <t>Coaching LOG Staff</t>
  </si>
  <si>
    <t>Coaching 1-1</t>
  </si>
  <si>
    <t>Training Execution</t>
  </si>
  <si>
    <t>Training by Modul</t>
  </si>
  <si>
    <t>Staff Discipline &amp; Attendance</t>
  </si>
  <si>
    <t>Sesuai SOP HR</t>
  </si>
  <si>
    <t>Audit Score</t>
  </si>
  <si>
    <t>Sesuai SOP Audit</t>
  </si>
  <si>
    <t>SOP &amp; Cleanliness</t>
  </si>
  <si>
    <t>Retention</t>
  </si>
  <si>
    <t>Staff yang resign</t>
  </si>
  <si>
    <t>Customer Handling</t>
  </si>
  <si>
    <t>Complain Handling SLA</t>
  </si>
  <si>
    <t>3x24 Jam</t>
  </si>
  <si>
    <t>Admin CS</t>
  </si>
  <si>
    <t>DISTRICT MANAGER</t>
  </si>
  <si>
    <t>Store Performance Governance</t>
  </si>
  <si>
    <t>% Store Achieve KPI Sales</t>
  </si>
  <si>
    <t>KPI Store</t>
  </si>
  <si>
    <t>AVG Sales &amp; Attach Rate District</t>
  </si>
  <si>
    <t>vs Target</t>
  </si>
  <si>
    <t>Head Store Effectiveness</t>
  </si>
  <si>
    <t>% Head Store KPI Achievement</t>
  </si>
  <si>
    <t>KPI Head Store</t>
  </si>
  <si>
    <t>Head Store Coaching</t>
  </si>
  <si>
    <t>Coaching LOG</t>
  </si>
  <si>
    <t>Head Store Discipline &amp; Compliance</t>
  </si>
  <si>
    <t>Major Issue</t>
  </si>
  <si>
    <t>Operational Control &amp; Risk</t>
  </si>
  <si>
    <t>AVG HPP District</t>
  </si>
  <si>
    <t>Audit Pass Rate</t>
  </si>
  <si>
    <t>Complaint Closure SLA</t>
  </si>
  <si>
    <t>3x24Jam</t>
  </si>
  <si>
    <t>&lt;SLA</t>
  </si>
  <si>
    <t>Execution &amp; Discipline</t>
  </si>
  <si>
    <t>Store Visit Coverage</t>
  </si>
  <si>
    <t>Visit Log</t>
  </si>
  <si>
    <t>Action Plan Closure</t>
  </si>
  <si>
    <t>Head Store Follow UP</t>
  </si>
  <si>
    <t>AREA MANAGER</t>
  </si>
  <si>
    <t>AVG Sales Index Area</t>
  </si>
  <si>
    <t>Net Sales + AVG</t>
  </si>
  <si>
    <t>District Manager Effectiveness</t>
  </si>
  <si>
    <t>% District Manager KPI Achievement</t>
  </si>
  <si>
    <t>KPI District Manager</t>
  </si>
  <si>
    <t>Coaching &amp; Review District Manager</t>
  </si>
  <si>
    <t>AVG HPP Area</t>
  </si>
  <si>
    <t>Audit Compliance Area</t>
  </si>
  <si>
    <t>Major Issue Closure Rate</t>
  </si>
  <si>
    <t>Complain &amp; Audit</t>
  </si>
  <si>
    <t>District Manager Follow UP</t>
  </si>
  <si>
    <t>Reporting Accuracy &amp; On-Time</t>
  </si>
  <si>
    <t>Weekly &amp; Monthly</t>
  </si>
  <si>
    <t>Store</t>
  </si>
  <si>
    <t>AVG</t>
  </si>
  <si>
    <t>Large</t>
  </si>
  <si>
    <t>Oatside</t>
  </si>
  <si>
    <t>Snack Platter</t>
  </si>
  <si>
    <t>B. Asik</t>
  </si>
  <si>
    <t>M. Shopper</t>
  </si>
  <si>
    <t>Total</t>
  </si>
  <si>
    <t>Orang</t>
  </si>
  <si>
    <t>Score</t>
  </si>
  <si>
    <t>Nadine</t>
  </si>
  <si>
    <t>Kranggan</t>
  </si>
  <si>
    <t>Risti</t>
  </si>
  <si>
    <t>Kota Wisata</t>
  </si>
  <si>
    <t>Metro</t>
  </si>
  <si>
    <t>Sohib</t>
  </si>
  <si>
    <t>Kiara Artha</t>
  </si>
  <si>
    <t>Bagas</t>
  </si>
  <si>
    <t>Cimahi</t>
  </si>
  <si>
    <t>Ryan</t>
  </si>
  <si>
    <t>Ujung Berung</t>
  </si>
  <si>
    <t>Ismail</t>
  </si>
  <si>
    <t>Peta</t>
  </si>
  <si>
    <t>Kalimalang</t>
  </si>
  <si>
    <t>Ciledug</t>
  </si>
  <si>
    <t>Melong</t>
  </si>
  <si>
    <t>Lebak Bulus</t>
  </si>
  <si>
    <t>Pekayon</t>
  </si>
  <si>
    <t>Setu Cipayung</t>
  </si>
  <si>
    <t>Lenteng Agung</t>
  </si>
  <si>
    <t>Jatinangor</t>
  </si>
  <si>
    <t>Pengumben</t>
  </si>
  <si>
    <t>Margonda</t>
  </si>
  <si>
    <t>Buah Batu</t>
  </si>
  <si>
    <t>Kemang Utara</t>
  </si>
  <si>
    <t>Ciputat Jombang</t>
  </si>
  <si>
    <t>Pamulang</t>
  </si>
  <si>
    <t>Cilandak Barat</t>
  </si>
  <si>
    <t>Cawang</t>
  </si>
  <si>
    <t>Ciumbuleuit</t>
  </si>
  <si>
    <t>Ciputat Juanda</t>
  </si>
  <si>
    <t>Karawaci</t>
  </si>
  <si>
    <t>Bintaro</t>
  </si>
  <si>
    <t>Margorejo</t>
  </si>
  <si>
    <t>Kayu Putih</t>
  </si>
  <si>
    <t>Citraland</t>
  </si>
  <si>
    <t>Add On Telur</t>
  </si>
  <si>
    <t>JAN</t>
  </si>
  <si>
    <t>FEB</t>
  </si>
  <si>
    <t>MAR</t>
  </si>
  <si>
    <t>APR</t>
  </si>
  <si>
    <t>MAY</t>
  </si>
  <si>
    <t>JUNE</t>
  </si>
  <si>
    <t>FILTER</t>
  </si>
  <si>
    <t>ACH</t>
  </si>
  <si>
    <t>SMALL</t>
  </si>
  <si>
    <t>LARGE</t>
  </si>
  <si>
    <t>Trainer</t>
  </si>
  <si>
    <t>Jehan</t>
  </si>
  <si>
    <t>Randi</t>
  </si>
  <si>
    <t>ITEM DRINK</t>
  </si>
  <si>
    <t>OATSIDE</t>
  </si>
  <si>
    <t>ALL SNACK</t>
  </si>
  <si>
    <t>SNACK PLAT</t>
  </si>
  <si>
    <t>MEALS</t>
  </si>
  <si>
    <t>TELUR</t>
  </si>
  <si>
    <t>Meals</t>
  </si>
  <si>
    <t>Telur</t>
  </si>
  <si>
    <t xml:space="preserve"> </t>
  </si>
  <si>
    <t>Outlet</t>
  </si>
  <si>
    <t>Transaksi</t>
  </si>
  <si>
    <t>TOTAL ITEM</t>
  </si>
  <si>
    <t>B. ASIK</t>
  </si>
  <si>
    <t>LOG</t>
  </si>
  <si>
    <t>Nominal</t>
  </si>
  <si>
    <t>Gross Sales</t>
  </si>
  <si>
    <t>HPP</t>
  </si>
  <si>
    <t>% HPP</t>
  </si>
  <si>
    <t>Rp62,515,471</t>
  </si>
  <si>
    <t>Rp38,954,405</t>
  </si>
  <si>
    <t>Rp136,834,830</t>
  </si>
  <si>
    <t>Rp74,104,456</t>
  </si>
  <si>
    <t>Rp196,565,708</t>
  </si>
  <si>
    <t>Rp100,180,733</t>
  </si>
  <si>
    <t>Rp204,873,145</t>
  </si>
  <si>
    <t>Rp91,740,625</t>
  </si>
  <si>
    <t>Rp184,417,138</t>
  </si>
  <si>
    <t>Rp89,193,908</t>
  </si>
  <si>
    <t>Rp133,943,230</t>
  </si>
  <si>
    <t>Rp56,597,407</t>
  </si>
  <si>
    <t>Rp113,545,202</t>
  </si>
  <si>
    <t>Rp60,580,833</t>
  </si>
  <si>
    <t>Rp115,998,752</t>
  </si>
  <si>
    <t>Rp51,264,765</t>
  </si>
  <si>
    <t>Rp167,022,088</t>
  </si>
  <si>
    <t>Rp74,280,552</t>
  </si>
  <si>
    <t>Rp263,796,689</t>
  </si>
  <si>
    <t>Rp126,697,071</t>
  </si>
  <si>
    <t>Rp70,193,821</t>
  </si>
  <si>
    <t>Rp36,226,153</t>
  </si>
  <si>
    <t>Rp338,384,468</t>
  </si>
  <si>
    <t>Rp159,841,955</t>
  </si>
  <si>
    <t>Rp296,158,878</t>
  </si>
  <si>
    <t>Rp135,668,110</t>
  </si>
  <si>
    <t>Rp94,453,846</t>
  </si>
  <si>
    <t>Rp44,912,564</t>
  </si>
  <si>
    <t>Rp287,611,930</t>
  </si>
  <si>
    <t>Rp134,974,890</t>
  </si>
  <si>
    <t>Rp168,800,802</t>
  </si>
  <si>
    <t>Rp78,749,513</t>
  </si>
  <si>
    <t>Rp156,509,865</t>
  </si>
  <si>
    <t>Rp74,298,274</t>
  </si>
  <si>
    <t>Rp302,667,043</t>
  </si>
  <si>
    <t>Rp141,536,904</t>
  </si>
  <si>
    <t>Rp265,684,760</t>
  </si>
  <si>
    <t>Rp122,066,671</t>
  </si>
  <si>
    <t>Rp233,757,598</t>
  </si>
  <si>
    <t>Rp108,051,532</t>
  </si>
  <si>
    <t>Rp151,311,187</t>
  </si>
  <si>
    <t>Rp70,399,205</t>
  </si>
  <si>
    <t>Rp192,138,137</t>
  </si>
  <si>
    <t>Rp91,842,175</t>
  </si>
  <si>
    <t>Rp178,772,552</t>
  </si>
  <si>
    <t>Rp78,137,076</t>
  </si>
  <si>
    <t>Rp239,046,312</t>
  </si>
  <si>
    <t>Rp111,051,624</t>
  </si>
  <si>
    <t>Rp131,327,525</t>
  </si>
  <si>
    <t>Rp64,195,615</t>
  </si>
  <si>
    <t>Rp144,162,932</t>
  </si>
  <si>
    <t>Rp66,336,970</t>
  </si>
  <si>
    <t>Rp270,969,538</t>
  </si>
  <si>
    <t>Rp128,485,870</t>
  </si>
  <si>
    <t>Rp161,556,736</t>
  </si>
  <si>
    <t>Rp77,066,799</t>
  </si>
  <si>
    <t>Rp131,913,713</t>
  </si>
  <si>
    <t>Rp64,371,607</t>
  </si>
  <si>
    <t>Rp160,818,127</t>
  </si>
  <si>
    <t>Rp80,123,741</t>
  </si>
  <si>
    <t>Tanggal (MM/DD/YYYY)</t>
  </si>
  <si>
    <t>Month</t>
  </si>
  <si>
    <t>Nomor Komplain</t>
  </si>
  <si>
    <t>Tanggal Terjadi Komplain</t>
  </si>
  <si>
    <t>Tanggal Penyelesaian Komplain</t>
  </si>
  <si>
    <t>SLA</t>
  </si>
  <si>
    <t xml:space="preserve">  Pengumben</t>
  </si>
  <si>
    <t xml:space="preserve">  Ciledug</t>
  </si>
  <si>
    <t xml:space="preserve">  Kota Wisata</t>
  </si>
  <si>
    <t xml:space="preserve">  Kalimalang</t>
  </si>
  <si>
    <t xml:space="preserve">   Ujung Berung</t>
  </si>
  <si>
    <t xml:space="preserve">  Cawang</t>
  </si>
  <si>
    <t xml:space="preserve">  Margorejo</t>
  </si>
  <si>
    <t xml:space="preserve">  Citraland</t>
  </si>
  <si>
    <t xml:space="preserve">  Cilandak Barat</t>
  </si>
  <si>
    <t xml:space="preserve">  Karawaci</t>
  </si>
  <si>
    <t xml:space="preserve">  Kayu Putih</t>
  </si>
  <si>
    <t xml:space="preserve">  Pamulang</t>
  </si>
  <si>
    <t xml:space="preserve">  Ciputat Jombang</t>
  </si>
  <si>
    <t xml:space="preserve">  Bintaro</t>
  </si>
  <si>
    <t xml:space="preserve">  Pekayon</t>
  </si>
  <si>
    <t xml:space="preserve">  Kranggan</t>
  </si>
  <si>
    <t xml:space="preserve">  Jatinangor</t>
  </si>
  <si>
    <t xml:space="preserve">  Margonda</t>
  </si>
  <si>
    <t xml:space="preserve">  Lenteng Agung</t>
  </si>
  <si>
    <t xml:space="preserve">  Kemang Utara</t>
  </si>
  <si>
    <t xml:space="preserve">  Peta</t>
  </si>
  <si>
    <t xml:space="preserve">  Cimahi</t>
  </si>
  <si>
    <t xml:space="preserve">  Buah Batu</t>
  </si>
  <si>
    <t xml:space="preserve">  Ciumbuleuit</t>
  </si>
  <si>
    <t xml:space="preserve">  Ciputat Juanda</t>
  </si>
  <si>
    <t xml:space="preserve">  Setu Cipayung</t>
  </si>
  <si>
    <t xml:space="preserve">  Kiara Artha</t>
  </si>
  <si>
    <t xml:space="preserve">  Lebak Bulus</t>
  </si>
  <si>
    <t xml:space="preserve">  Metro</t>
  </si>
  <si>
    <t xml:space="preserve"> Karawaci</t>
  </si>
  <si>
    <t xml:space="preserve"> Pamulang</t>
  </si>
  <si>
    <t xml:space="preserve"> Kiara Artha</t>
  </si>
  <si>
    <t xml:space="preserve"> Metro</t>
  </si>
  <si>
    <t xml:space="preserve"> Lebak Bulus</t>
  </si>
  <si>
    <t xml:space="preserve"> Kayu Putih</t>
  </si>
  <si>
    <t xml:space="preserve"> Kranggan</t>
  </si>
  <si>
    <t xml:space="preserve"> Bintaro</t>
  </si>
  <si>
    <t xml:space="preserve"> Melong</t>
  </si>
  <si>
    <t xml:space="preserve"> Citraland</t>
  </si>
  <si>
    <t xml:space="preserve"> Margorejo</t>
  </si>
  <si>
    <t xml:space="preserve"> Cimahi</t>
  </si>
  <si>
    <t xml:space="preserve"> Ujung Berung Baru</t>
  </si>
  <si>
    <t xml:space="preserve"> Kalimalang</t>
  </si>
  <si>
    <t xml:space="preserve"> Kota Wisata</t>
  </si>
  <si>
    <t xml:space="preserve"> Ciputat Juanda</t>
  </si>
  <si>
    <t xml:space="preserve"> Buah Batu</t>
  </si>
  <si>
    <t xml:space="preserve"> Peta</t>
  </si>
  <si>
    <t xml:space="preserve"> Pengumben</t>
  </si>
  <si>
    <t xml:space="preserve"> Ciledug</t>
  </si>
  <si>
    <t xml:space="preserve"> Setu Cipayung</t>
  </si>
  <si>
    <t xml:space="preserve"> Cawang</t>
  </si>
  <si>
    <t xml:space="preserve"> Dago</t>
  </si>
  <si>
    <t xml:space="preserve"> Cilandak</t>
  </si>
  <si>
    <t xml:space="preserve"> Kemang Utara</t>
  </si>
  <si>
    <t xml:space="preserve"> Ciputat Jombang</t>
  </si>
  <si>
    <t xml:space="preserve"> Ciumbuleuit</t>
  </si>
  <si>
    <t xml:space="preserve"> Pekayon</t>
  </si>
  <si>
    <t xml:space="preserve"> Jatinangor</t>
  </si>
  <si>
    <t xml:space="preserve"> Margonda</t>
  </si>
  <si>
    <t xml:space="preserve"> Lenteng Agung</t>
  </si>
  <si>
    <t>TRX</t>
  </si>
  <si>
    <t>COMPLAIN</t>
  </si>
  <si>
    <t>TOTAL</t>
  </si>
  <si>
    <t>RESIGN</t>
  </si>
  <si>
    <t>Tanggal</t>
  </si>
  <si>
    <t>Day</t>
  </si>
  <si>
    <t>Jombang</t>
  </si>
  <si>
    <t>Juanda</t>
  </si>
  <si>
    <t>JUN</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</si>
</sst>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
    <numFmt numFmtId="166" formatCode="mmmm yyyy"/>
    <numFmt numFmtId="167" formatCode="[$Rp]#,##0"/>
    <numFmt numFmtId="168" formatCode="&quot;  &quot;dd&quot; &quot;mmmm&quot; &quot;yyyy"/>
    <numFmt numFmtId="169" formatCode="mm/dd/yyyy"/>
    <numFmt numFmtId="170" formatCode="d mmmm yyyy"/>
    <numFmt numFmtId="171" formatCode="dd mmmm yyyy"/>
    <numFmt numFmtId="172" formatCode="m/d/yyyy"/>
  </numFmts>
  <fonts count="13">
    <font>
      <sz val="10.0"/>
      <color rgb="FF000000"/>
      <name val="Arial"/>
      <scheme val="minor"/>
    </font>
    <font>
      <b/>
      <color theme="1"/>
      <name val="Arial"/>
    </font>
    <font/>
    <font>
      <color theme="1"/>
      <name val="Arial"/>
    </font>
    <font>
      <b/>
      <color theme="1"/>
      <name val="Arial"/>
      <scheme val="minor"/>
    </font>
    <font>
      <color theme="1"/>
      <name val="Arial"/>
      <scheme val="minor"/>
    </font>
    <font>
      <color theme="1"/>
      <name val="Roboto"/>
    </font>
    <font>
      <color rgb="FF000000"/>
      <name val="Arial"/>
      <scheme val="minor"/>
    </font>
    <font>
      <sz val="11.0"/>
      <color theme="1"/>
      <name val="Calibri"/>
    </font>
    <font>
      <sz val="11.0"/>
      <color rgb="FF000000"/>
      <name val="Calibri"/>
    </font>
    <font>
      <b/>
      <sz val="11.0"/>
      <color theme="1"/>
      <name val="Calibri"/>
    </font>
    <font>
      <sz val="12.0"/>
      <color theme="1"/>
      <name val="Calibri"/>
    </font>
    <font>
      <color rgb="FF434343"/>
      <name val="Arial"/>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8F9FA"/>
        <bgColor rgb="FFF8F9FA"/>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1" fillId="0" fontId="1" numFmtId="0" xfId="0" applyAlignment="1" applyBorder="1" applyFont="1">
      <alignment horizontal="center" vertical="bottom"/>
    </xf>
    <xf borderId="2" fillId="0" fontId="2" numFmtId="0" xfId="0" applyBorder="1" applyFont="1"/>
    <xf borderId="3" fillId="0" fontId="2" numFmtId="0" xfId="0" applyBorder="1" applyFont="1"/>
    <xf borderId="4" fillId="0" fontId="1" numFmtId="0" xfId="0" applyAlignment="1" applyBorder="1" applyFont="1">
      <alignment horizontal="center" vertical="bottom"/>
    </xf>
    <xf borderId="4" fillId="0" fontId="3" numFmtId="0" xfId="0" applyAlignment="1" applyBorder="1" applyFont="1">
      <alignment vertical="bottom"/>
    </xf>
    <xf borderId="4" fillId="0" fontId="3" numFmtId="0" xfId="0" applyAlignment="1" applyBorder="1" applyFont="1">
      <alignment horizontal="center" readingOrder="0" vertical="bottom"/>
    </xf>
    <xf borderId="4" fillId="0" fontId="3" numFmtId="10" xfId="0" applyAlignment="1" applyBorder="1" applyFont="1" applyNumberFormat="1">
      <alignment horizontal="center" vertical="bottom"/>
    </xf>
    <xf borderId="4" fillId="0" fontId="3" numFmtId="0" xfId="0" applyAlignment="1" applyBorder="1" applyFont="1">
      <alignment readingOrder="0" vertical="bottom"/>
    </xf>
    <xf borderId="0" fillId="0" fontId="3" numFmtId="0" xfId="0" applyAlignment="1" applyFont="1">
      <alignment vertical="bottom"/>
    </xf>
    <xf borderId="0" fillId="0" fontId="3" numFmtId="10" xfId="0" applyAlignment="1" applyFont="1" applyNumberFormat="1">
      <alignment vertical="bottom"/>
    </xf>
    <xf borderId="4" fillId="0" fontId="3" numFmtId="9" xfId="0" applyAlignment="1" applyBorder="1" applyFont="1" applyNumberFormat="1">
      <alignment horizontal="center" vertical="bottom"/>
    </xf>
    <xf borderId="4" fillId="0" fontId="3" numFmtId="164" xfId="0" applyAlignment="1" applyBorder="1" applyFont="1" applyNumberFormat="1">
      <alignment horizontal="center" vertical="bottom"/>
    </xf>
    <xf borderId="0" fillId="0" fontId="3" numFmtId="9" xfId="0" applyAlignment="1" applyFont="1" applyNumberFormat="1">
      <alignment vertical="bottom"/>
    </xf>
    <xf borderId="4" fillId="0" fontId="1" numFmtId="9" xfId="0" applyAlignment="1" applyBorder="1" applyFont="1" applyNumberFormat="1">
      <alignment horizontal="center" vertical="bottom"/>
    </xf>
    <xf borderId="4" fillId="0" fontId="3" numFmtId="0" xfId="0" applyAlignment="1" applyBorder="1" applyFont="1">
      <alignment horizontal="center" vertical="bottom"/>
    </xf>
    <xf borderId="4" fillId="0" fontId="4" numFmtId="0" xfId="0" applyAlignment="1" applyBorder="1" applyFont="1">
      <alignment horizontal="center" readingOrder="0"/>
    </xf>
    <xf borderId="4" fillId="0" fontId="5" numFmtId="0" xfId="0" applyAlignment="1" applyBorder="1" applyFont="1">
      <alignment readingOrder="0"/>
    </xf>
    <xf borderId="4" fillId="0" fontId="5" numFmtId="0" xfId="0" applyBorder="1" applyFont="1"/>
    <xf borderId="4" fillId="0" fontId="5" numFmtId="10" xfId="0" applyBorder="1" applyFont="1" applyNumberFormat="1"/>
    <xf borderId="0" fillId="0" fontId="5" numFmtId="0" xfId="0" applyAlignment="1" applyFont="1">
      <alignment readingOrder="0"/>
    </xf>
    <xf borderId="1" fillId="0" fontId="4" numFmtId="0" xfId="0" applyAlignment="1" applyBorder="1" applyFont="1">
      <alignment horizontal="center" readingOrder="0"/>
    </xf>
    <xf borderId="0" fillId="0" fontId="4" numFmtId="0" xfId="0" applyAlignment="1" applyFont="1">
      <alignment horizontal="center"/>
    </xf>
    <xf borderId="0" fillId="0" fontId="1" numFmtId="0" xfId="0" applyAlignment="1" applyFont="1">
      <alignment horizontal="center"/>
    </xf>
    <xf borderId="0" fillId="0" fontId="3" numFmtId="3" xfId="0" applyAlignment="1" applyFont="1" applyNumberFormat="1">
      <alignment horizontal="right" vertical="bottom"/>
    </xf>
    <xf borderId="4" fillId="2" fontId="6" numFmtId="4" xfId="0" applyAlignment="1" applyBorder="1" applyFill="1" applyFont="1" applyNumberFormat="1">
      <alignment horizontal="right" readingOrder="0" shrinkToFit="0" wrapText="0"/>
    </xf>
    <xf borderId="4" fillId="0" fontId="7" numFmtId="165" xfId="0" applyAlignment="1" applyBorder="1" applyFont="1" applyNumberFormat="1">
      <alignment horizontal="right" readingOrder="0"/>
    </xf>
    <xf borderId="4" fillId="0" fontId="5" numFmtId="4" xfId="0" applyBorder="1" applyFont="1" applyNumberFormat="1"/>
    <xf borderId="4" fillId="0" fontId="5" numFmtId="3" xfId="0" applyBorder="1" applyFont="1" applyNumberFormat="1"/>
    <xf borderId="4" fillId="0" fontId="5" numFmtId="4" xfId="0" applyAlignment="1" applyBorder="1" applyFont="1" applyNumberFormat="1">
      <alignment readingOrder="0"/>
    </xf>
    <xf borderId="0" fillId="2" fontId="7" numFmtId="165" xfId="0" applyAlignment="1" applyFont="1" applyNumberFormat="1">
      <alignment horizontal="right" readingOrder="0"/>
    </xf>
    <xf borderId="4" fillId="0" fontId="4" numFmtId="4" xfId="0" applyAlignment="1" applyBorder="1" applyFont="1" applyNumberFormat="1">
      <alignment horizontal="center" readingOrder="0"/>
    </xf>
    <xf borderId="4" fillId="2" fontId="8" numFmtId="4" xfId="0" applyAlignment="1" applyBorder="1" applyFont="1" applyNumberFormat="1">
      <alignment horizontal="right" readingOrder="0" shrinkToFit="0" vertical="bottom" wrapText="0"/>
    </xf>
    <xf borderId="4" fillId="2" fontId="8" numFmtId="3" xfId="0" applyAlignment="1" applyBorder="1" applyFont="1" applyNumberFormat="1">
      <alignment horizontal="right" readingOrder="0" shrinkToFit="0" vertical="bottom" wrapText="0"/>
    </xf>
    <xf borderId="4" fillId="2" fontId="8" numFmtId="4" xfId="0" applyAlignment="1" applyBorder="1" applyFont="1" applyNumberFormat="1">
      <alignment horizontal="right" shrinkToFit="0" vertical="bottom" wrapText="0"/>
    </xf>
    <xf borderId="4" fillId="2" fontId="8" numFmtId="3" xfId="0" applyAlignment="1" applyBorder="1" applyFont="1" applyNumberFormat="1">
      <alignment horizontal="right" shrinkToFit="0" vertical="bottom" wrapText="0"/>
    </xf>
    <xf borderId="0" fillId="0" fontId="5" numFmtId="4" xfId="0" applyFont="1" applyNumberFormat="1"/>
    <xf borderId="0" fillId="0" fontId="9" numFmtId="0" xfId="0" applyAlignment="1" applyFont="1">
      <alignment readingOrder="0" shrinkToFit="0" vertical="bottom" wrapText="0"/>
    </xf>
    <xf borderId="0" fillId="0" fontId="9" numFmtId="0" xfId="0" applyAlignment="1" applyFont="1">
      <alignment horizontal="righ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166" xfId="0" applyAlignment="1" applyFont="1" applyNumberFormat="1">
      <alignment horizontal="center" shrinkToFit="0" vertical="bottom" wrapText="1"/>
    </xf>
    <xf borderId="4" fillId="0" fontId="5" numFmtId="3" xfId="0" applyAlignment="1" applyBorder="1" applyFont="1" applyNumberFormat="1">
      <alignment readingOrder="0"/>
    </xf>
    <xf borderId="0" fillId="0" fontId="5" numFmtId="10" xfId="0" applyFont="1" applyNumberFormat="1"/>
    <xf borderId="0" fillId="0" fontId="1" numFmtId="0" xfId="0" applyAlignment="1" applyFont="1">
      <alignment horizontal="center" readingOrder="0" vertical="bottom"/>
    </xf>
    <xf borderId="0" fillId="0" fontId="3" numFmtId="3" xfId="0" applyAlignment="1" applyFont="1" applyNumberFormat="1">
      <alignment horizontal="right" readingOrder="0" vertical="bottom"/>
    </xf>
    <xf borderId="0" fillId="0" fontId="9" numFmtId="3" xfId="0" applyAlignment="1" applyFont="1" applyNumberFormat="1">
      <alignment readingOrder="0" shrinkToFit="0" vertical="bottom" wrapText="0"/>
    </xf>
    <xf borderId="0" fillId="0" fontId="5" numFmtId="3" xfId="0" applyAlignment="1" applyFont="1" applyNumberFormat="1">
      <alignment readingOrder="0"/>
    </xf>
    <xf borderId="0" fillId="0" fontId="5" numFmtId="10" xfId="0" applyAlignment="1" applyFont="1" applyNumberFormat="1">
      <alignment readingOrder="0"/>
    </xf>
    <xf borderId="5" fillId="0" fontId="1" numFmtId="0" xfId="0" applyAlignment="1" applyBorder="1" applyFont="1">
      <alignment horizontal="center" vertical="bottom"/>
    </xf>
    <xf borderId="6" fillId="0" fontId="2" numFmtId="0" xfId="0" applyBorder="1" applyFont="1"/>
    <xf borderId="4" fillId="0" fontId="3" numFmtId="3" xfId="0" applyAlignment="1" applyBorder="1" applyFont="1" applyNumberFormat="1">
      <alignment horizontal="right" vertical="bottom"/>
    </xf>
    <xf borderId="0" fillId="0" fontId="3" numFmtId="0" xfId="0" applyAlignment="1" applyFont="1">
      <alignment horizontal="right" vertical="bottom"/>
    </xf>
    <xf borderId="0" fillId="0" fontId="3" numFmtId="3" xfId="0" applyAlignment="1" applyFont="1" applyNumberFormat="1">
      <alignment vertical="bottom"/>
    </xf>
    <xf borderId="4" fillId="0" fontId="1" numFmtId="166" xfId="0" applyAlignment="1" applyBorder="1" applyFont="1" applyNumberFormat="1">
      <alignment horizontal="center" vertical="bottom"/>
    </xf>
    <xf borderId="4" fillId="0" fontId="3" numFmtId="0" xfId="0" applyAlignment="1" applyBorder="1" applyFont="1">
      <alignment horizontal="right" vertical="bottom"/>
    </xf>
    <xf borderId="1" fillId="0" fontId="4" numFmtId="165" xfId="0" applyAlignment="1" applyBorder="1" applyFont="1" applyNumberFormat="1">
      <alignment horizontal="center" readingOrder="0"/>
    </xf>
    <xf borderId="4" fillId="0" fontId="4" numFmtId="165" xfId="0" applyAlignment="1" applyBorder="1" applyFont="1" applyNumberFormat="1">
      <alignment horizontal="center" readingOrder="0"/>
    </xf>
    <xf borderId="4" fillId="0" fontId="5" numFmtId="165" xfId="0" applyAlignment="1" applyBorder="1" applyFont="1" applyNumberFormat="1">
      <alignment readingOrder="0"/>
    </xf>
    <xf borderId="0" fillId="0" fontId="3" numFmtId="0" xfId="0" applyAlignment="1" applyFont="1">
      <alignment vertical="bottom"/>
    </xf>
    <xf borderId="4" fillId="0" fontId="5" numFmtId="165" xfId="0" applyBorder="1" applyFont="1" applyNumberFormat="1"/>
    <xf borderId="0" fillId="2" fontId="7" numFmtId="165" xfId="0" applyAlignment="1" applyFont="1" applyNumberFormat="1">
      <alignment readingOrder="0"/>
    </xf>
    <xf borderId="0" fillId="0" fontId="1" numFmtId="3" xfId="0" applyAlignment="1" applyFont="1" applyNumberFormat="1">
      <alignment horizontal="center" vertical="bottom"/>
    </xf>
    <xf borderId="0" fillId="0" fontId="5" numFmtId="165" xfId="0" applyFont="1" applyNumberFormat="1"/>
    <xf borderId="4" fillId="0" fontId="4" numFmtId="3" xfId="0" applyAlignment="1" applyBorder="1" applyFont="1" applyNumberFormat="1">
      <alignment horizontal="center" readingOrder="0"/>
    </xf>
    <xf borderId="4" fillId="0" fontId="4" numFmtId="3" xfId="0" applyAlignment="1" applyBorder="1" applyFont="1" applyNumberFormat="1">
      <alignment horizontal="right" readingOrder="0"/>
    </xf>
    <xf borderId="4" fillId="0" fontId="5" numFmtId="0" xfId="0" applyAlignment="1" applyBorder="1" applyFont="1">
      <alignment horizontal="right" readingOrder="0"/>
    </xf>
    <xf borderId="0" fillId="2" fontId="3" numFmtId="3" xfId="0" applyAlignment="1" applyFont="1" applyNumberFormat="1">
      <alignment horizontal="right" readingOrder="0" vertical="bottom"/>
    </xf>
    <xf borderId="4" fillId="0" fontId="3" numFmtId="4" xfId="0" applyAlignment="1" applyBorder="1" applyFont="1" applyNumberFormat="1">
      <alignment horizontal="right" vertical="bottom"/>
    </xf>
    <xf borderId="4" fillId="0" fontId="5" numFmtId="3" xfId="0" applyAlignment="1" applyBorder="1" applyFont="1" applyNumberFormat="1">
      <alignment horizontal="right" readingOrder="0"/>
    </xf>
    <xf borderId="0" fillId="0" fontId="5" numFmtId="3" xfId="0" applyAlignment="1" applyFont="1" applyNumberFormat="1">
      <alignment horizontal="right" readingOrder="0"/>
    </xf>
    <xf borderId="4" fillId="0" fontId="3" numFmtId="0" xfId="0" applyAlignment="1" applyBorder="1" applyFont="1">
      <alignment horizontal="right" readingOrder="0" vertical="bottom"/>
    </xf>
    <xf borderId="0" fillId="2" fontId="1" numFmtId="4" xfId="0" applyAlignment="1" applyFont="1" applyNumberFormat="1">
      <alignment horizontal="right" readingOrder="0" vertical="bottom"/>
    </xf>
    <xf borderId="0" fillId="2" fontId="4" numFmtId="4" xfId="0" applyAlignment="1" applyFont="1" applyNumberFormat="1">
      <alignment readingOrder="0"/>
    </xf>
    <xf borderId="0" fillId="2" fontId="5" numFmtId="3" xfId="0" applyAlignment="1" applyFont="1" applyNumberFormat="1">
      <alignment horizontal="right" readingOrder="0"/>
    </xf>
    <xf borderId="0" fillId="2" fontId="1" numFmtId="4" xfId="0" applyAlignment="1" applyFont="1" applyNumberFormat="1">
      <alignment horizontal="right" vertical="bottom"/>
    </xf>
    <xf borderId="0" fillId="2" fontId="4" numFmtId="3" xfId="0" applyAlignment="1" applyFont="1" applyNumberFormat="1">
      <alignment horizontal="right" readingOrder="0"/>
    </xf>
    <xf borderId="4" fillId="0" fontId="5" numFmtId="3" xfId="0" applyAlignment="1" applyBorder="1" applyFont="1" applyNumberFormat="1">
      <alignment horizontal="right"/>
    </xf>
    <xf borderId="0" fillId="0" fontId="5" numFmtId="4" xfId="0" applyAlignment="1" applyFont="1" applyNumberFormat="1">
      <alignment readingOrder="0"/>
    </xf>
    <xf borderId="0" fillId="2" fontId="1" numFmtId="3" xfId="0" applyAlignment="1" applyFont="1" applyNumberFormat="1">
      <alignment horizontal="right" readingOrder="0" vertical="bottom"/>
    </xf>
    <xf borderId="0" fillId="0" fontId="3" numFmtId="3" xfId="0" applyAlignment="1" applyFont="1" applyNumberFormat="1">
      <alignment horizontal="right" readingOrder="0" vertical="bottom"/>
    </xf>
    <xf borderId="0" fillId="3" fontId="3" numFmtId="3" xfId="0" applyAlignment="1" applyFill="1" applyFont="1" applyNumberFormat="1">
      <alignment horizontal="right" readingOrder="0" vertical="bottom"/>
    </xf>
    <xf borderId="4" fillId="0" fontId="5" numFmtId="3" xfId="0" applyAlignment="1" applyBorder="1" applyFont="1" applyNumberFormat="1">
      <alignment readingOrder="0"/>
    </xf>
    <xf borderId="0" fillId="0" fontId="5" numFmtId="0" xfId="0" applyAlignment="1" applyFont="1">
      <alignment horizontal="right"/>
    </xf>
    <xf borderId="0" fillId="0" fontId="5" numFmtId="3" xfId="0" applyAlignment="1" applyFont="1" applyNumberFormat="1">
      <alignment horizontal="right"/>
    </xf>
    <xf borderId="0" fillId="0" fontId="10" numFmtId="0" xfId="0" applyAlignment="1" applyFont="1">
      <alignment horizontal="center" shrinkToFit="0" vertical="bottom" wrapText="1"/>
    </xf>
    <xf borderId="0" fillId="0" fontId="10" numFmtId="0" xfId="0" applyAlignment="1" applyFont="1">
      <alignment horizontal="center" vertical="bottom"/>
    </xf>
    <xf borderId="4" fillId="0" fontId="9" numFmtId="3" xfId="0" applyAlignment="1" applyBorder="1" applyFont="1" applyNumberFormat="1">
      <alignment horizontal="right" readingOrder="0" shrinkToFit="0" vertical="bottom" wrapText="0"/>
    </xf>
    <xf borderId="4" fillId="0" fontId="5" numFmtId="167" xfId="0" applyBorder="1" applyFont="1" applyNumberFormat="1"/>
    <xf borderId="0" fillId="2" fontId="11" numFmtId="0" xfId="0" applyAlignment="1" applyFont="1">
      <alignment vertical="bottom"/>
    </xf>
    <xf borderId="0" fillId="0" fontId="8" numFmtId="167" xfId="0" applyAlignment="1" applyFont="1" applyNumberFormat="1">
      <alignment horizontal="right" vertical="bottom"/>
    </xf>
    <xf borderId="0" fillId="2" fontId="8" numFmtId="167" xfId="0" applyAlignment="1" applyFont="1" applyNumberFormat="1">
      <alignment horizontal="right" vertical="bottom"/>
    </xf>
    <xf borderId="0" fillId="0" fontId="11" numFmtId="0" xfId="0" applyAlignment="1" applyFont="1">
      <alignment vertical="bottom"/>
    </xf>
    <xf borderId="4" fillId="0" fontId="4" numFmtId="2" xfId="0" applyAlignment="1" applyBorder="1" applyFont="1" applyNumberFormat="1">
      <alignment horizontal="center" readingOrder="0"/>
    </xf>
    <xf borderId="4" fillId="0" fontId="5" numFmtId="2" xfId="0" applyAlignment="1" applyBorder="1" applyFont="1" applyNumberFormat="1">
      <alignment readingOrder="0"/>
    </xf>
    <xf borderId="0" fillId="0" fontId="5" numFmtId="2" xfId="0" applyFont="1" applyNumberFormat="1"/>
    <xf borderId="4" fillId="0" fontId="4" numFmtId="0" xfId="0" applyAlignment="1" applyBorder="1" applyFont="1">
      <alignment horizontal="center" readingOrder="0" vertical="center"/>
    </xf>
    <xf borderId="4" fillId="0" fontId="5" numFmtId="2" xfId="0" applyAlignment="1" applyBorder="1" applyFont="1" applyNumberFormat="1">
      <alignment horizontal="center" readingOrder="0"/>
    </xf>
    <xf borderId="4" fillId="0" fontId="5" numFmtId="2" xfId="0" applyAlignment="1" applyBorder="1" applyFont="1" applyNumberFormat="1">
      <alignment horizontal="center"/>
    </xf>
    <xf borderId="4" fillId="0" fontId="5" numFmtId="0" xfId="0" applyAlignment="1" applyBorder="1" applyFont="1">
      <alignment horizontal="center" vertical="center"/>
    </xf>
    <xf borderId="4" fillId="0" fontId="5" numFmtId="0" xfId="0" applyAlignment="1" applyBorder="1" applyFont="1">
      <alignment horizontal="center" readingOrder="0" vertical="center"/>
    </xf>
    <xf borderId="0" fillId="0" fontId="5" numFmtId="2" xfId="0" applyAlignment="1" applyFont="1" applyNumberFormat="1">
      <alignment horizontal="center"/>
    </xf>
    <xf borderId="0" fillId="0" fontId="5" numFmtId="0" xfId="0" applyAlignment="1" applyFont="1">
      <alignment horizontal="center" vertical="center"/>
    </xf>
    <xf borderId="4" fillId="2" fontId="3" numFmtId="168" xfId="0" applyAlignment="1" applyBorder="1" applyFont="1" applyNumberFormat="1">
      <alignment horizontal="center" shrinkToFit="0" wrapText="1"/>
    </xf>
    <xf borderId="4" fillId="0" fontId="3" numFmtId="0" xfId="0" applyAlignment="1" applyBorder="1" applyFont="1">
      <alignment horizontal="center" readingOrder="0" shrinkToFit="0" wrapText="1"/>
    </xf>
    <xf borderId="4" fillId="2" fontId="3" numFmtId="0" xfId="0" applyAlignment="1" applyBorder="1" applyFont="1">
      <alignment horizontal="center" shrinkToFit="0" wrapText="1"/>
    </xf>
    <xf borderId="4" fillId="0" fontId="3" numFmtId="169" xfId="0" applyAlignment="1" applyBorder="1" applyFont="1" applyNumberFormat="1">
      <alignment horizontal="center" readingOrder="0" shrinkToFit="0" wrapText="1"/>
    </xf>
    <xf borderId="4" fillId="2" fontId="3" numFmtId="0" xfId="0" applyAlignment="1" applyBorder="1" applyFont="1">
      <alignment horizontal="center" shrinkToFit="0" wrapText="1"/>
    </xf>
    <xf borderId="4" fillId="2" fontId="3" numFmtId="169" xfId="0" applyAlignment="1" applyBorder="1" applyFont="1" applyNumberFormat="1">
      <alignment horizontal="center" readingOrder="0" shrinkToFit="0" wrapText="1"/>
    </xf>
    <xf borderId="4" fillId="4" fontId="3" numFmtId="169" xfId="0" applyAlignment="1" applyBorder="1" applyFill="1" applyFont="1" applyNumberFormat="1">
      <alignment horizontal="center" readingOrder="0" shrinkToFit="0" wrapText="1"/>
    </xf>
    <xf borderId="4" fillId="0" fontId="3" numFmtId="169" xfId="0" applyAlignment="1" applyBorder="1" applyFont="1" applyNumberFormat="1">
      <alignment horizontal="center" readingOrder="0"/>
    </xf>
    <xf borderId="4" fillId="0" fontId="3" numFmtId="0" xfId="0" applyAlignment="1" applyBorder="1" applyFont="1">
      <alignment horizontal="center" readingOrder="0"/>
    </xf>
    <xf borderId="4" fillId="0" fontId="3" numFmtId="169" xfId="0" applyAlignment="1" applyBorder="1" applyFont="1" applyNumberFormat="1">
      <alignment horizontal="center" shrinkToFit="0" wrapText="1"/>
    </xf>
    <xf borderId="4" fillId="2" fontId="3" numFmtId="170" xfId="0" applyAlignment="1" applyBorder="1" applyFont="1" applyNumberFormat="1">
      <alignment horizontal="center" shrinkToFit="0" wrapText="1"/>
    </xf>
    <xf borderId="4" fillId="0" fontId="5" numFmtId="0" xfId="0" applyAlignment="1" applyBorder="1" applyFont="1">
      <alignment horizontal="center" readingOrder="0"/>
    </xf>
    <xf borderId="4" fillId="2" fontId="3" numFmtId="171" xfId="0" applyAlignment="1" applyBorder="1" applyFont="1" applyNumberFormat="1">
      <alignment horizontal="center" shrinkToFit="0" wrapText="1"/>
    </xf>
    <xf borderId="4" fillId="0" fontId="3" numFmtId="0" xfId="0" applyBorder="1" applyFont="1"/>
    <xf borderId="4" fillId="2" fontId="3" numFmtId="170" xfId="0" applyAlignment="1" applyBorder="1" applyFont="1" applyNumberFormat="1">
      <alignment horizontal="center" readingOrder="0" shrinkToFit="0" wrapText="1"/>
    </xf>
    <xf borderId="0" fillId="0" fontId="5" numFmtId="0" xfId="0" applyFont="1"/>
    <xf borderId="0" fillId="0" fontId="5" numFmtId="3" xfId="0" applyFont="1" applyNumberFormat="1"/>
    <xf borderId="0" fillId="2" fontId="3" numFmtId="0" xfId="0" applyAlignment="1" applyFont="1">
      <alignment horizontal="center" readingOrder="0" vertical="bottom"/>
    </xf>
    <xf borderId="0" fillId="0" fontId="3" numFmtId="0" xfId="0" applyAlignment="1" applyFont="1">
      <alignment readingOrder="0" vertical="bottom"/>
    </xf>
    <xf borderId="0" fillId="2" fontId="12" numFmtId="0" xfId="0" applyAlignment="1" applyFont="1">
      <alignment readingOrder="0" shrinkToFit="0" vertical="bottom" wrapText="0"/>
    </xf>
    <xf borderId="0" fillId="2" fontId="12" numFmtId="0" xfId="0" applyAlignment="1" applyFont="1">
      <alignment horizontal="right" readingOrder="0" shrinkToFit="0" vertical="bottom" wrapText="0"/>
    </xf>
    <xf borderId="0" fillId="3" fontId="12" numFmtId="0" xfId="0" applyAlignment="1" applyFont="1">
      <alignment horizontal="right" readingOrder="0" shrinkToFit="0" vertical="bottom" wrapText="0"/>
    </xf>
    <xf borderId="4" fillId="0" fontId="4" numFmtId="0" xfId="0" applyAlignment="1" applyBorder="1" applyFont="1">
      <alignment horizontal="center"/>
    </xf>
    <xf borderId="4" fillId="0" fontId="5" numFmtId="172" xfId="0" applyAlignment="1" applyBorder="1" applyFont="1" applyNumberFormat="1">
      <alignment readingOrder="0"/>
    </xf>
    <xf borderId="0" fillId="0" fontId="5" numFmtId="172"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8F9FA"/>
          <bgColor rgb="FFF8F9FA"/>
        </patternFill>
      </fill>
      <border/>
    </dxf>
  </dxfs>
  <tableStyles count="3">
    <tableStyle count="2" pivot="0" name="AVG-style">
      <tableStyleElement dxfId="1" type="firstRowStripe"/>
      <tableStyleElement dxfId="2" type="secondRowStripe"/>
    </tableStyle>
    <tableStyle count="2" pivot="0" name="LOG Complain-style">
      <tableStyleElement dxfId="1" type="firstRowStripe"/>
      <tableStyleElement dxfId="3" type="secondRowStripe"/>
    </tableStyle>
    <tableStyle count="2" pivot="0" name="Retenti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G32" displayName="Table_1" name="Table_1" id="1">
  <tableColumns count="6">
    <tableColumn name="Column1" id="1"/>
    <tableColumn name="Column2" id="2"/>
    <tableColumn name="Column3" id="3"/>
    <tableColumn name="Column4" id="4"/>
    <tableColumn name="Column5" id="5"/>
    <tableColumn name="Column6" id="6"/>
  </tableColumns>
  <tableStyleInfo name="AVG-style" showColumnStripes="0" showFirstColumn="1" showLastColumn="1" showRowStripes="1"/>
</table>
</file>

<file path=xl/tables/table2.xml><?xml version="1.0" encoding="utf-8"?>
<table xmlns="http://schemas.openxmlformats.org/spreadsheetml/2006/main" headerRowCount="0" ref="E4:F8" displayName="Table_2" name="Table_2" id="2">
  <tableColumns count="2">
    <tableColumn name="Column1" id="1"/>
    <tableColumn name="Column2" id="2"/>
  </tableColumns>
  <tableStyleInfo name="LOG Complain-style" showColumnStripes="0" showFirstColumn="1" showLastColumn="1" showRowStripes="1"/>
</table>
</file>

<file path=xl/tables/table3.xml><?xml version="1.0" encoding="utf-8"?>
<table xmlns="http://schemas.openxmlformats.org/spreadsheetml/2006/main" headerRowCount="0" ref="O3:P36" displayName="Table_3" name="Table_3" id="3">
  <tableColumns count="2">
    <tableColumn name="Column1" id="1"/>
    <tableColumn name="Column2" id="2"/>
  </tableColumns>
  <tableStyleInfo name="Reten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2.5"/>
    <col customWidth="1" min="3" max="3" width="8.25"/>
    <col customWidth="1" min="4" max="4" width="13.75"/>
    <col customWidth="1" min="5" max="5" width="48.88"/>
  </cols>
  <sheetData>
    <row r="1">
      <c r="A1" s="1" t="s">
        <v>0</v>
      </c>
      <c r="B1" s="2"/>
      <c r="C1" s="2"/>
      <c r="D1" s="2"/>
      <c r="E1" s="3"/>
    </row>
    <row r="2">
      <c r="A2" s="4" t="s">
        <v>1</v>
      </c>
      <c r="B2" s="4" t="s">
        <v>2</v>
      </c>
      <c r="C2" s="4" t="s">
        <v>3</v>
      </c>
      <c r="D2" s="4" t="s">
        <v>4</v>
      </c>
      <c r="E2" s="4" t="s">
        <v>5</v>
      </c>
    </row>
    <row r="3">
      <c r="A3" s="5" t="s">
        <v>6</v>
      </c>
      <c r="B3" s="5" t="s">
        <v>7</v>
      </c>
      <c r="C3" s="6" t="s">
        <v>8</v>
      </c>
      <c r="D3" s="7">
        <v>0.4</v>
      </c>
      <c r="E3" s="8" t="s">
        <v>9</v>
      </c>
    </row>
    <row r="4">
      <c r="A4" s="5" t="s">
        <v>6</v>
      </c>
      <c r="B4" s="5" t="s">
        <v>10</v>
      </c>
      <c r="C4" s="6">
        <v>55000.0</v>
      </c>
      <c r="D4" s="7">
        <v>0.1</v>
      </c>
      <c r="E4" s="5" t="s">
        <v>11</v>
      </c>
    </row>
    <row r="5">
      <c r="A5" s="5" t="s">
        <v>6</v>
      </c>
      <c r="B5" s="5" t="s">
        <v>12</v>
      </c>
      <c r="C5" s="7">
        <v>0.65</v>
      </c>
      <c r="D5" s="7">
        <v>0.05</v>
      </c>
      <c r="E5" s="5" t="s">
        <v>13</v>
      </c>
    </row>
    <row r="6">
      <c r="A6" s="5" t="s">
        <v>6</v>
      </c>
      <c r="B6" s="5" t="s">
        <v>14</v>
      </c>
      <c r="C6" s="7">
        <v>0.05</v>
      </c>
      <c r="D6" s="7">
        <v>0.05</v>
      </c>
      <c r="E6" s="5" t="s">
        <v>15</v>
      </c>
    </row>
    <row r="7">
      <c r="A7" s="5" t="s">
        <v>6</v>
      </c>
      <c r="B7" s="5" t="s">
        <v>16</v>
      </c>
      <c r="C7" s="7">
        <v>0.1</v>
      </c>
      <c r="D7" s="7">
        <v>0.05</v>
      </c>
      <c r="E7" s="5" t="s">
        <v>17</v>
      </c>
    </row>
    <row r="8">
      <c r="A8" s="5" t="s">
        <v>6</v>
      </c>
      <c r="B8" s="5" t="s">
        <v>18</v>
      </c>
      <c r="C8" s="7">
        <v>0.05</v>
      </c>
      <c r="D8" s="7">
        <v>0.05</v>
      </c>
      <c r="E8" s="8" t="s">
        <v>19</v>
      </c>
    </row>
    <row r="9">
      <c r="A9" s="5" t="s">
        <v>20</v>
      </c>
      <c r="B9" s="5" t="s">
        <v>21</v>
      </c>
      <c r="C9" s="7">
        <v>0.9</v>
      </c>
      <c r="D9" s="7">
        <v>0.15</v>
      </c>
      <c r="E9" s="5" t="s">
        <v>22</v>
      </c>
    </row>
    <row r="10">
      <c r="A10" s="5" t="s">
        <v>20</v>
      </c>
      <c r="B10" s="5" t="s">
        <v>23</v>
      </c>
      <c r="C10" s="7">
        <v>1.0</v>
      </c>
      <c r="D10" s="7">
        <v>0.05</v>
      </c>
      <c r="E10" s="5" t="s">
        <v>23</v>
      </c>
    </row>
    <row r="11">
      <c r="A11" s="5" t="s">
        <v>20</v>
      </c>
      <c r="B11" s="5" t="s">
        <v>24</v>
      </c>
      <c r="C11" s="7">
        <v>0.001</v>
      </c>
      <c r="D11" s="7">
        <v>0.1</v>
      </c>
      <c r="E11" s="5" t="s">
        <v>25</v>
      </c>
    </row>
    <row r="12">
      <c r="A12" s="9"/>
      <c r="B12" s="9"/>
      <c r="C12" s="10"/>
      <c r="D12" s="10"/>
      <c r="E12" s="9"/>
    </row>
    <row r="13">
      <c r="A13" s="9"/>
      <c r="B13" s="9"/>
      <c r="C13" s="10"/>
      <c r="D13" s="10"/>
      <c r="E13" s="9"/>
    </row>
    <row r="14">
      <c r="A14" s="9"/>
      <c r="B14" s="9"/>
      <c r="C14" s="10"/>
      <c r="D14" s="10"/>
      <c r="E14" s="9"/>
    </row>
    <row r="15">
      <c r="A15" s="1" t="s">
        <v>26</v>
      </c>
      <c r="B15" s="2"/>
      <c r="C15" s="2"/>
      <c r="D15" s="2"/>
      <c r="E15" s="3"/>
    </row>
    <row r="16">
      <c r="A16" s="4" t="s">
        <v>27</v>
      </c>
      <c r="B16" s="4" t="s">
        <v>2</v>
      </c>
      <c r="C16" s="4" t="s">
        <v>3</v>
      </c>
      <c r="D16" s="4" t="s">
        <v>4</v>
      </c>
      <c r="E16" s="4" t="s">
        <v>5</v>
      </c>
    </row>
    <row r="17">
      <c r="A17" s="5" t="s">
        <v>28</v>
      </c>
      <c r="B17" s="5" t="s">
        <v>29</v>
      </c>
      <c r="C17" s="11">
        <v>1.0</v>
      </c>
      <c r="D17" s="12">
        <v>0.05</v>
      </c>
      <c r="E17" s="5" t="s">
        <v>30</v>
      </c>
    </row>
    <row r="18">
      <c r="A18" s="5" t="s">
        <v>28</v>
      </c>
      <c r="B18" s="5" t="s">
        <v>31</v>
      </c>
      <c r="C18" s="11">
        <v>1.0</v>
      </c>
      <c r="D18" s="12">
        <v>0.05</v>
      </c>
      <c r="E18" s="5" t="s">
        <v>32</v>
      </c>
    </row>
    <row r="19">
      <c r="A19" s="5" t="s">
        <v>28</v>
      </c>
      <c r="B19" s="5" t="s">
        <v>33</v>
      </c>
      <c r="C19" s="11">
        <v>1.0</v>
      </c>
      <c r="D19" s="12">
        <v>0.4</v>
      </c>
      <c r="E19" s="5" t="s">
        <v>34</v>
      </c>
    </row>
    <row r="20">
      <c r="A20" s="5" t="s">
        <v>35</v>
      </c>
      <c r="B20" s="5" t="s">
        <v>36</v>
      </c>
      <c r="C20" s="7">
        <v>0.47</v>
      </c>
      <c r="D20" s="12">
        <v>0.05</v>
      </c>
      <c r="E20" s="5" t="s">
        <v>37</v>
      </c>
    </row>
    <row r="21">
      <c r="A21" s="5" t="s">
        <v>35</v>
      </c>
      <c r="B21" s="5" t="s">
        <v>38</v>
      </c>
      <c r="C21" s="11">
        <v>1.0</v>
      </c>
      <c r="D21" s="12">
        <v>0.025</v>
      </c>
      <c r="E21" s="5" t="s">
        <v>39</v>
      </c>
    </row>
    <row r="22">
      <c r="A22" s="5" t="s">
        <v>35</v>
      </c>
      <c r="B22" s="5" t="s">
        <v>40</v>
      </c>
      <c r="C22" s="11">
        <v>1.0</v>
      </c>
      <c r="D22" s="12">
        <v>0.025</v>
      </c>
      <c r="E22" s="5" t="s">
        <v>41</v>
      </c>
    </row>
    <row r="23">
      <c r="A23" s="5" t="s">
        <v>35</v>
      </c>
      <c r="B23" s="5" t="s">
        <v>42</v>
      </c>
      <c r="C23" s="11">
        <v>0.03</v>
      </c>
      <c r="D23" s="12">
        <v>0.025</v>
      </c>
      <c r="E23" s="5" t="s">
        <v>43</v>
      </c>
    </row>
    <row r="24">
      <c r="A24" s="5" t="s">
        <v>44</v>
      </c>
      <c r="B24" s="5" t="s">
        <v>45</v>
      </c>
      <c r="C24" s="11">
        <v>0.5</v>
      </c>
      <c r="D24" s="12">
        <v>0.05</v>
      </c>
      <c r="E24" s="5" t="s">
        <v>46</v>
      </c>
    </row>
    <row r="25">
      <c r="A25" s="5" t="s">
        <v>44</v>
      </c>
      <c r="B25" s="5" t="s">
        <v>47</v>
      </c>
      <c r="C25" s="11">
        <v>1.0</v>
      </c>
      <c r="D25" s="12">
        <v>0.05</v>
      </c>
      <c r="E25" s="5" t="s">
        <v>48</v>
      </c>
    </row>
    <row r="26">
      <c r="A26" s="5" t="s">
        <v>44</v>
      </c>
      <c r="B26" s="5" t="s">
        <v>49</v>
      </c>
      <c r="C26" s="11">
        <v>1.0</v>
      </c>
      <c r="D26" s="12">
        <v>0.025</v>
      </c>
      <c r="E26" s="5" t="s">
        <v>50</v>
      </c>
    </row>
    <row r="27">
      <c r="A27" s="5" t="s">
        <v>20</v>
      </c>
      <c r="B27" s="5" t="s">
        <v>51</v>
      </c>
      <c r="C27" s="11">
        <v>0.9</v>
      </c>
      <c r="D27" s="12">
        <v>0.1</v>
      </c>
      <c r="E27" s="5" t="s">
        <v>52</v>
      </c>
    </row>
    <row r="28">
      <c r="A28" s="5" t="s">
        <v>20</v>
      </c>
      <c r="B28" s="5" t="s">
        <v>53</v>
      </c>
      <c r="C28" s="11">
        <v>1.0</v>
      </c>
      <c r="D28" s="12">
        <v>0.05</v>
      </c>
      <c r="E28" s="5" t="s">
        <v>41</v>
      </c>
    </row>
    <row r="29">
      <c r="A29" s="5" t="s">
        <v>20</v>
      </c>
      <c r="B29" s="5" t="s">
        <v>54</v>
      </c>
      <c r="C29" s="7">
        <v>0.05</v>
      </c>
      <c r="D29" s="12">
        <v>0.05</v>
      </c>
      <c r="E29" s="5" t="s">
        <v>55</v>
      </c>
    </row>
    <row r="30">
      <c r="A30" s="5" t="s">
        <v>56</v>
      </c>
      <c r="B30" s="5" t="s">
        <v>57</v>
      </c>
      <c r="C30" s="11" t="s">
        <v>58</v>
      </c>
      <c r="D30" s="12">
        <v>0.05</v>
      </c>
      <c r="E30" s="5" t="s">
        <v>59</v>
      </c>
    </row>
    <row r="31">
      <c r="A31" s="9"/>
      <c r="B31" s="9"/>
      <c r="C31" s="13"/>
      <c r="D31" s="13"/>
      <c r="E31" s="9"/>
    </row>
    <row r="32">
      <c r="A32" s="9"/>
      <c r="B32" s="9"/>
      <c r="C32" s="9"/>
      <c r="D32" s="13"/>
      <c r="E32" s="9"/>
    </row>
    <row r="33">
      <c r="A33" s="1" t="s">
        <v>60</v>
      </c>
      <c r="B33" s="2"/>
      <c r="C33" s="2"/>
      <c r="D33" s="2"/>
      <c r="E33" s="3"/>
    </row>
    <row r="34">
      <c r="A34" s="4" t="s">
        <v>27</v>
      </c>
      <c r="B34" s="4" t="s">
        <v>2</v>
      </c>
      <c r="C34" s="4" t="s">
        <v>3</v>
      </c>
      <c r="D34" s="4" t="s">
        <v>4</v>
      </c>
      <c r="E34" s="4" t="s">
        <v>5</v>
      </c>
    </row>
    <row r="35">
      <c r="A35" s="5" t="s">
        <v>61</v>
      </c>
      <c r="B35" s="5" t="s">
        <v>62</v>
      </c>
      <c r="C35" s="11">
        <v>1.0</v>
      </c>
      <c r="D35" s="11">
        <v>0.4</v>
      </c>
      <c r="E35" s="5" t="s">
        <v>63</v>
      </c>
    </row>
    <row r="36">
      <c r="A36" s="5" t="s">
        <v>61</v>
      </c>
      <c r="B36" s="5" t="s">
        <v>64</v>
      </c>
      <c r="C36" s="11">
        <v>1.0</v>
      </c>
      <c r="D36" s="11">
        <v>0.1</v>
      </c>
      <c r="E36" s="5" t="s">
        <v>65</v>
      </c>
    </row>
    <row r="37">
      <c r="A37" s="5" t="s">
        <v>66</v>
      </c>
      <c r="B37" s="5" t="s">
        <v>67</v>
      </c>
      <c r="C37" s="11">
        <v>1.0</v>
      </c>
      <c r="D37" s="11">
        <v>0.1</v>
      </c>
      <c r="E37" s="5" t="s">
        <v>68</v>
      </c>
    </row>
    <row r="38">
      <c r="A38" s="5" t="s">
        <v>66</v>
      </c>
      <c r="B38" s="5" t="s">
        <v>69</v>
      </c>
      <c r="C38" s="11">
        <v>1.0</v>
      </c>
      <c r="D38" s="11">
        <v>0.05</v>
      </c>
      <c r="E38" s="5" t="s">
        <v>70</v>
      </c>
    </row>
    <row r="39">
      <c r="A39" s="5" t="s">
        <v>66</v>
      </c>
      <c r="B39" s="5" t="s">
        <v>71</v>
      </c>
      <c r="C39" s="11">
        <v>1.0</v>
      </c>
      <c r="D39" s="11">
        <v>0.05</v>
      </c>
      <c r="E39" s="5" t="s">
        <v>72</v>
      </c>
    </row>
    <row r="40">
      <c r="A40" s="5" t="s">
        <v>73</v>
      </c>
      <c r="B40" s="5" t="s">
        <v>74</v>
      </c>
      <c r="C40" s="7">
        <v>0.475</v>
      </c>
      <c r="D40" s="11">
        <v>0.05</v>
      </c>
      <c r="E40" s="5" t="s">
        <v>37</v>
      </c>
    </row>
    <row r="41">
      <c r="A41" s="5" t="s">
        <v>73</v>
      </c>
      <c r="B41" s="5" t="s">
        <v>75</v>
      </c>
      <c r="C41" s="11">
        <v>0.9</v>
      </c>
      <c r="D41" s="11">
        <v>0.05</v>
      </c>
      <c r="E41" s="5" t="s">
        <v>21</v>
      </c>
    </row>
    <row r="42">
      <c r="A42" s="5" t="s">
        <v>73</v>
      </c>
      <c r="B42" s="5" t="s">
        <v>76</v>
      </c>
      <c r="C42" s="11" t="s">
        <v>77</v>
      </c>
      <c r="D42" s="11">
        <v>0.05</v>
      </c>
      <c r="E42" s="5" t="s">
        <v>78</v>
      </c>
    </row>
    <row r="43">
      <c r="A43" s="5" t="s">
        <v>79</v>
      </c>
      <c r="B43" s="5" t="s">
        <v>80</v>
      </c>
      <c r="C43" s="11">
        <v>1.0</v>
      </c>
      <c r="D43" s="11">
        <v>0.1</v>
      </c>
      <c r="E43" s="5" t="s">
        <v>81</v>
      </c>
    </row>
    <row r="44">
      <c r="A44" s="5" t="s">
        <v>79</v>
      </c>
      <c r="B44" s="5" t="s">
        <v>82</v>
      </c>
      <c r="C44" s="11">
        <v>1.0</v>
      </c>
      <c r="D44" s="11">
        <v>0.05</v>
      </c>
      <c r="E44" s="5" t="s">
        <v>83</v>
      </c>
    </row>
    <row r="45">
      <c r="A45" s="9"/>
      <c r="B45" s="9"/>
      <c r="C45" s="13"/>
      <c r="D45" s="13"/>
      <c r="E45" s="9"/>
    </row>
    <row r="46">
      <c r="A46" s="9"/>
      <c r="B46" s="9"/>
      <c r="C46" s="13"/>
      <c r="D46" s="13"/>
      <c r="E46" s="9"/>
    </row>
    <row r="47">
      <c r="A47" s="1" t="s">
        <v>84</v>
      </c>
      <c r="B47" s="2"/>
      <c r="C47" s="2"/>
      <c r="D47" s="2"/>
      <c r="E47" s="3"/>
    </row>
    <row r="48">
      <c r="A48" s="4" t="s">
        <v>1</v>
      </c>
      <c r="B48" s="4" t="s">
        <v>2</v>
      </c>
      <c r="C48" s="14" t="s">
        <v>3</v>
      </c>
      <c r="D48" s="14" t="s">
        <v>4</v>
      </c>
      <c r="E48" s="4" t="s">
        <v>5</v>
      </c>
    </row>
    <row r="49">
      <c r="A49" s="5" t="s">
        <v>61</v>
      </c>
      <c r="B49" s="5" t="s">
        <v>62</v>
      </c>
      <c r="C49" s="11">
        <v>1.0</v>
      </c>
      <c r="D49" s="11">
        <v>0.4</v>
      </c>
      <c r="E49" s="5" t="s">
        <v>63</v>
      </c>
    </row>
    <row r="50">
      <c r="A50" s="5" t="s">
        <v>61</v>
      </c>
      <c r="B50" s="5" t="s">
        <v>85</v>
      </c>
      <c r="C50" s="15">
        <v>60000.0</v>
      </c>
      <c r="D50" s="11">
        <v>0.1</v>
      </c>
      <c r="E50" s="5" t="s">
        <v>86</v>
      </c>
    </row>
    <row r="51">
      <c r="A51" s="5" t="s">
        <v>87</v>
      </c>
      <c r="B51" s="5" t="s">
        <v>88</v>
      </c>
      <c r="C51" s="11">
        <v>1.0</v>
      </c>
      <c r="D51" s="11">
        <v>0.1</v>
      </c>
      <c r="E51" s="5" t="s">
        <v>89</v>
      </c>
    </row>
    <row r="52">
      <c r="A52" s="5" t="s">
        <v>87</v>
      </c>
      <c r="B52" s="5" t="s">
        <v>90</v>
      </c>
      <c r="C52" s="11">
        <v>1.0</v>
      </c>
      <c r="D52" s="11">
        <v>0.05</v>
      </c>
      <c r="E52" s="5" t="s">
        <v>70</v>
      </c>
    </row>
    <row r="53">
      <c r="A53" s="5" t="s">
        <v>73</v>
      </c>
      <c r="B53" s="5" t="s">
        <v>91</v>
      </c>
      <c r="C53" s="7">
        <v>0.475</v>
      </c>
      <c r="D53" s="11">
        <v>0.05</v>
      </c>
      <c r="E53" s="5" t="s">
        <v>37</v>
      </c>
    </row>
    <row r="54">
      <c r="A54" s="5" t="s">
        <v>73</v>
      </c>
      <c r="B54" s="5" t="s">
        <v>92</v>
      </c>
      <c r="C54" s="11">
        <v>0.9</v>
      </c>
      <c r="D54" s="11">
        <v>0.05</v>
      </c>
      <c r="E54" s="5" t="s">
        <v>21</v>
      </c>
    </row>
    <row r="55">
      <c r="A55" s="5" t="s">
        <v>73</v>
      </c>
      <c r="B55" s="5" t="s">
        <v>93</v>
      </c>
      <c r="C55" s="11">
        <v>1.0</v>
      </c>
      <c r="D55" s="11">
        <v>0.05</v>
      </c>
      <c r="E55" s="5" t="s">
        <v>94</v>
      </c>
    </row>
    <row r="56">
      <c r="A56" s="5" t="s">
        <v>79</v>
      </c>
      <c r="B56" s="5" t="s">
        <v>80</v>
      </c>
      <c r="C56" s="11">
        <v>1.0</v>
      </c>
      <c r="D56" s="11">
        <v>0.1</v>
      </c>
      <c r="E56" s="5" t="s">
        <v>81</v>
      </c>
    </row>
    <row r="57">
      <c r="A57" s="5" t="s">
        <v>79</v>
      </c>
      <c r="B57" s="5" t="s">
        <v>82</v>
      </c>
      <c r="C57" s="11">
        <v>1.0</v>
      </c>
      <c r="D57" s="11">
        <v>0.05</v>
      </c>
      <c r="E57" s="5" t="s">
        <v>95</v>
      </c>
    </row>
    <row r="58">
      <c r="A58" s="5" t="s">
        <v>79</v>
      </c>
      <c r="B58" s="5" t="s">
        <v>96</v>
      </c>
      <c r="C58" s="11">
        <v>1.0</v>
      </c>
      <c r="D58" s="11">
        <v>0.05</v>
      </c>
      <c r="E58" s="5" t="s">
        <v>97</v>
      </c>
    </row>
  </sheetData>
  <mergeCells count="4">
    <mergeCell ref="A1:E1"/>
    <mergeCell ref="A15:E15"/>
    <mergeCell ref="A33:E33"/>
    <mergeCell ref="A47:E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3.63"/>
    <col customWidth="1" min="7" max="7" width="14.0"/>
  </cols>
  <sheetData>
    <row r="1">
      <c r="A1" s="16"/>
      <c r="B1" s="16" t="s">
        <v>98</v>
      </c>
      <c r="C1" s="16" t="s">
        <v>7</v>
      </c>
      <c r="D1" s="16" t="s">
        <v>99</v>
      </c>
      <c r="E1" s="16" t="s">
        <v>100</v>
      </c>
      <c r="F1" s="16" t="s">
        <v>101</v>
      </c>
      <c r="G1" s="16" t="s">
        <v>102</v>
      </c>
      <c r="H1" s="16" t="s">
        <v>103</v>
      </c>
      <c r="I1" s="16" t="s">
        <v>21</v>
      </c>
      <c r="J1" s="16" t="s">
        <v>104</v>
      </c>
      <c r="K1" s="16" t="s">
        <v>24</v>
      </c>
      <c r="L1" s="16" t="s">
        <v>105</v>
      </c>
      <c r="N1" s="16" t="s">
        <v>106</v>
      </c>
      <c r="O1" s="16" t="s">
        <v>107</v>
      </c>
    </row>
    <row r="2">
      <c r="A2" s="17" t="s">
        <v>108</v>
      </c>
      <c r="B2" s="18" t="s">
        <v>109</v>
      </c>
      <c r="C2" s="18">
        <f t="array" ref="C2">iferror(LET(
    kode, B2,
    actual, XLOOKUP(kode, Sales!A:A, Sales!C:C),
    target, XLOOKUP(kode, Sales!A:A, Sales!B:B),
    ratio, actual/target,
    skor, IFS(
        ratio&gt;1, 5,
        ratio&gt;=0.975, 4,
        ratio&gt;=0.95, 3,
        ratio&gt;=0.9, 2,
        TRUE, 1
    ),
    skor
),0)</f>
        <v>4</v>
      </c>
      <c r="D2" s="18">
        <f t="array" ref="D2">iferror(LET(
    kode, B2,
    actual, XLOOKUP(kode, AVG!A:A, AVG!C:C),
    target, XLOOKUP(kode, AVG!A:A, AVG!B:B),
    ratio, actual/target,
    skor, IFS(
        ratio&gt;1, 5,
        ratio&gt;=0.975, 4,
        ratio&gt;=0.95, 3,
        ratio&gt;=0.9, 2,
        TRUE, 1
    ),
    skor
),0)</f>
        <v>5</v>
      </c>
      <c r="E2" s="18">
        <f t="array" ref="E2">iferror(LET(
    kode, B2,
    large, XLOOKUP(kode, Large!A:A, Large!C:C),
    small, XLOOKUP(kode, Large!A:A, Large!B:B),
    ratio, large/(large+small),
    skor, IFS(
        ratio&lt;0.45, 1,
        ratio&lt;=0.5, 2,
        ratio&lt;=0.55, 3,
        ratio&lt;=0.6, 4,
        TRUE, 5
    ),
    skor
),0)</f>
        <v>4</v>
      </c>
      <c r="F2" s="18">
        <f t="array" ref="F2">iferror(LET(
    kode, B2,
    oatmilk, XLOOKUP(kode, Oatside!A:A, Oatside!C:C),
    drink, XLOOKUP(kode, Oatside!A:A, Oatside!B:B),
    ratio, oatmilk/drink,
    skor, IFS(
        ratio&gt;5%, 5,
        ratio&gt;=4%, 4,
        ratio&gt;=3%, 3,
        ratio&gt;=2%, 2,
        TRUE, 1
    ),
    skor
),0)</f>
        <v>5</v>
      </c>
      <c r="G2" s="18">
        <f t="array" ref="G2">iferror(LET(
    kode, B2,
    actual, XLOOKUP(kode, 'Snack Platter'!A:A, 'Snack Platter'!C:C),
    target, XLOOKUP(kode, 'Snack Platter'!A:A, 'Snack Platter'!B:B),
    ratio, actual/target,
    skor, IFS(
        ratio&gt;10%, 5,
        ratio&gt;=7.5%, 4,
        ratio&gt;=5%, 3,
        ratio&gt;=2.5%, 2,
        TRUE, 1
    ),
    skor
),0)</f>
        <v>3</v>
      </c>
      <c r="H2" s="18">
        <f t="array" ref="H2">iferror(LET(
    kode, B2,
    actual, XLOOKUP(kode, 'Bundling Asik'!A:A, 'Bundling Asik'!C:C),
    target, XLOOKUP(kode, 'Bundling Asik'!A:A, 'Bundling Asik'!B:B),
    ratio, actual/target,
    skor, IFS(
        ratio&gt;5%, 5,
        ratio&gt;=4%, 4,
        ratio&gt;=3%, 3,
        ratio&gt;=2%, 2,
        TRUE, 1
    ),
    skor
),0)</f>
        <v>5</v>
      </c>
      <c r="I2" s="18">
        <f t="array" ref="I2">iferror(LET(
    kode, B2,
    ratio, XLOOKUP(kode, Audit!A:A, Audit!B:B),
    skor, IFS(
        ratio&gt;90, 5,
        ratio&gt;=85, 4,
        ratio&gt;=80, 3,
        ratio&gt;=75, 2,
        TRUE, 1
    ),
    skor
),0)</f>
        <v>5</v>
      </c>
      <c r="J2" s="18">
        <f t="array" ref="J2">iferror(LET(
    kode, B2,
    ratio, XLOOKUP(kode, 'Mistery Shopper'!A:A, 'Mistery Shopper'!B:B),
    skor, IFS(
        ratio&gt;90%, 5,
        ratio&gt;=85%, 4,
        ratio&gt;=80%, 3,
        ratio&gt;=75%, 2,
        TRUE, 1
    ),
    skor
),0)</f>
        <v>5</v>
      </c>
      <c r="K2" s="18">
        <f t="array" ref="K2">iferror(LET(
    kode, B2,
    actual, XLOOKUP(kode, Complain!A:A, Complain!C:C),
    target, XLOOKUP(kode, Complain!A:A, Complain!B:B),
    ratio, actual/target,
    skor, IFS(
        ratio&gt;=0.16%, 1,
        ratio&gt;=0.15%, 2,
        ratio&gt;=0.125%, 3,
        ratio&gt;=0.1%, 4,
        TRUE, 5
    ),
    skor
),0)</f>
        <v>5</v>
      </c>
      <c r="L2" s="19">
        <f t="shared" ref="L2:L31" si="1">LET(
    nilai, C2:K2,
    bobot, {0.4,0.1,0.05,0.05,0.05,0.05,0.15,0.05,0.1},
    SUMPRODUCT(nilai,bobot)
)/5</f>
        <v>0.89</v>
      </c>
      <c r="N2" s="18" t="s">
        <v>110</v>
      </c>
      <c r="O2" s="19">
        <f t="shared" ref="O2:O7" si="2">averageif(A:A,N2,L:L)</f>
        <v>0.688</v>
      </c>
    </row>
    <row r="3">
      <c r="A3" s="17" t="s">
        <v>108</v>
      </c>
      <c r="B3" s="18" t="s">
        <v>111</v>
      </c>
      <c r="C3" s="18">
        <f t="array" ref="C3">iferror(LET(
    kode, B3,
    actual, XLOOKUP(kode, Sales!A:A, Sales!C:C),
    target, XLOOKUP(kode, Sales!A:A, Sales!B:B),
    ratio, actual/target,
    skor, IFS(
        ratio&gt;1, 5,
        ratio&gt;=0.975, 4,
        ratio&gt;=0.95, 3,
        ratio&gt;=0.9, 2,
        TRUE, 1
    ),
    skor
),0)</f>
        <v>5</v>
      </c>
      <c r="D3" s="18">
        <f t="array" ref="D3">iferror(LET(
    kode, B3,
    actual, XLOOKUP(kode, AVG!A:A, AVG!C:C),
    target, XLOOKUP(kode, AVG!A:A, AVG!B:B),
    ratio, actual/target,
    skor, IFS(
        ratio&gt;1, 5,
        ratio&gt;=0.975, 4,
        ratio&gt;=0.95, 3,
        ratio&gt;=0.9, 2,
        TRUE, 1
    ),
    skor
),0)</f>
        <v>5</v>
      </c>
      <c r="E3" s="18">
        <f t="array" ref="E3">iferror(LET(
    kode, B3,
    large, XLOOKUP(kode, Large!A:A, Large!C:C),
    small, XLOOKUP(kode, Large!A:A, Large!B:B),
    ratio, large/(large+small),
    skor, IFS(
        ratio&lt;0.45, 1,
        ratio&lt;=0.5, 2,
        ratio&lt;=0.55, 3,
        ratio&lt;=0.6, 4,
        TRUE, 5
    ),
    skor
),0)</f>
        <v>5</v>
      </c>
      <c r="F3" s="18">
        <f t="array" ref="F3">iferror(LET(
    kode, B3,
    oatmilk, XLOOKUP(kode, Oatside!A:A, Oatside!C:C),
    drink, XLOOKUP(kode, Oatside!A:A, Oatside!B:B),
    ratio, oatmilk/drink,
    skor, IFS(
        ratio&gt;5%, 5,
        ratio&gt;=4%, 4,
        ratio&gt;=3%, 3,
        ratio&gt;=2%, 2,
        TRUE, 1
    ),
    skor
),0)</f>
        <v>5</v>
      </c>
      <c r="G3" s="18">
        <f t="array" ref="G3">iferror(LET(
    kode, B3,
    actual, XLOOKUP(kode, 'Snack Platter'!A:A, 'Snack Platter'!C:C),
    target, XLOOKUP(kode, 'Snack Platter'!A:A, 'Snack Platter'!B:B),
    ratio, actual/target,
    skor, IFS(
        ratio&gt;10%, 5,
        ratio&gt;=7.5%, 4,
        ratio&gt;=5%, 3,
        ratio&gt;=2.5%, 2,
        TRUE, 1
    ),
    skor
),0)</f>
        <v>4</v>
      </c>
      <c r="H3" s="18">
        <f t="array" ref="H3">iferror(LET(
    kode, B3,
    actual, XLOOKUP(kode, 'Bundling Asik'!A:A, 'Bundling Asik'!C:C),
    target, XLOOKUP(kode, 'Bundling Asik'!A:A, 'Bundling Asik'!B:B),
    ratio, actual/target,
    skor, IFS(
        ratio&gt;5%, 5,
        ratio&gt;=4%, 4,
        ratio&gt;=3%, 3,
        ratio&gt;=2%, 2,
        TRUE, 1
    ),
    skor
),0)</f>
        <v>4</v>
      </c>
      <c r="I3" s="18">
        <f t="array" ref="I3">iferror(LET(
    kode, B3,
    ratio, XLOOKUP(kode, Audit!A:A, Audit!B:B),
    skor, IFS(
        ratio&gt;90, 5,
        ratio&gt;=85, 4,
        ratio&gt;=80, 3,
        ratio&gt;=75, 2,
        TRUE, 1
    ),
    skor
),0)</f>
        <v>4</v>
      </c>
      <c r="J3" s="18">
        <f t="array" ref="J3">iferror(LET(
    kode, B3,
    ratio, XLOOKUP(kode, 'Mistery Shopper'!A:A, 'Mistery Shopper'!B:B),
    skor, IFS(
        ratio&gt;90%, 5,
        ratio&gt;=85%, 4,
        ratio&gt;=80%, 3,
        ratio&gt;=75%, 2,
        TRUE, 1
    ),
    skor
),0)</f>
        <v>5</v>
      </c>
      <c r="K3" s="18">
        <f t="array" ref="K3">iferror(LET(
    kode, B3,
    actual, XLOOKUP(kode, Complain!A:A, Complain!C:C),
    target, XLOOKUP(kode, Complain!A:A, Complain!B:B),
    ratio, actual/target,
    skor, IFS(
        ratio&gt;=0.16%, 1,
        ratio&gt;=0.15%, 2,
        ratio&gt;=0.125%, 3,
        ratio&gt;=0.1%, 4,
        TRUE, 5
    ),
    skor
),0)</f>
        <v>1</v>
      </c>
      <c r="L3" s="19">
        <f t="shared" si="1"/>
        <v>0.87</v>
      </c>
      <c r="N3" s="18" t="s">
        <v>108</v>
      </c>
      <c r="O3" s="19">
        <f t="shared" si="2"/>
        <v>0.682</v>
      </c>
    </row>
    <row r="4">
      <c r="A4" s="17" t="s">
        <v>110</v>
      </c>
      <c r="B4" s="18" t="s">
        <v>112</v>
      </c>
      <c r="C4" s="18">
        <f t="array" ref="C4">iferror(LET(
    kode, B4,
    actual, XLOOKUP(kode, Sales!A:A, Sales!C:C),
    target, XLOOKUP(kode, Sales!A:A, Sales!B:B),
    ratio, actual/target,
    skor, IFS(
        ratio&gt;1, 5,
        ratio&gt;=0.975, 4,
        ratio&gt;=0.95, 3,
        ratio&gt;=0.9, 2,
        TRUE, 1
    ),
    skor
),0)</f>
        <v>5</v>
      </c>
      <c r="D4" s="18">
        <f t="array" ref="D4">iferror(LET(
    kode, B4,
    actual, XLOOKUP(kode, AVG!A:A, AVG!C:C),
    target, XLOOKUP(kode, AVG!A:A, AVG!B:B),
    ratio, actual/target,
    skor, IFS(
        ratio&gt;1, 5,
        ratio&gt;=0.975, 4,
        ratio&gt;=0.95, 3,
        ratio&gt;=0.9, 2,
        TRUE, 1
    ),
    skor
),0)</f>
        <v>4</v>
      </c>
      <c r="E4" s="18">
        <f t="array" ref="E4">iferror(LET(
    kode, B4,
    large, XLOOKUP(kode, Large!A:A, Large!C:C),
    small, XLOOKUP(kode, Large!A:A, Large!B:B),
    ratio, large/(large+small),
    skor, IFS(
        ratio&lt;0.45, 1,
        ratio&lt;=0.5, 2,
        ratio&lt;=0.55, 3,
        ratio&lt;=0.6, 4,
        TRUE, 5
    ),
    skor
),0)</f>
        <v>1</v>
      </c>
      <c r="F4" s="18">
        <f t="array" ref="F4">iferror(LET(
    kode, B4,
    oatmilk, XLOOKUP(kode, Oatside!A:A, Oatside!C:C),
    drink, XLOOKUP(kode, Oatside!A:A, Oatside!B:B),
    ratio, oatmilk/drink,
    skor, IFS(
        ratio&gt;5%, 5,
        ratio&gt;=4%, 4,
        ratio&gt;=3%, 3,
        ratio&gt;=2%, 2,
        TRUE, 1
    ),
    skor
),0)</f>
        <v>5</v>
      </c>
      <c r="G4" s="18">
        <f t="array" ref="G4">iferror(LET(
    kode, B4,
    actual, XLOOKUP(kode, 'Snack Platter'!A:A, 'Snack Platter'!C:C),
    target, XLOOKUP(kode, 'Snack Platter'!A:A, 'Snack Platter'!B:B),
    ratio, actual/target,
    skor, IFS(
        ratio&gt;10%, 5,
        ratio&gt;=7.5%, 4,
        ratio&gt;=5%, 3,
        ratio&gt;=2.5%, 2,
        TRUE, 1
    ),
    skor
),0)</f>
        <v>2</v>
      </c>
      <c r="H4" s="18">
        <f t="array" ref="H4">iferror(LET(
    kode, B4,
    actual, XLOOKUP(kode, 'Bundling Asik'!A:A, 'Bundling Asik'!C:C),
    target, XLOOKUP(kode, 'Bundling Asik'!A:A, 'Bundling Asik'!B:B),
    ratio, actual/target,
    skor, IFS(
        ratio&gt;5%, 5,
        ratio&gt;=4%, 4,
        ratio&gt;=3%, 3,
        ratio&gt;=2%, 2,
        TRUE, 1
    ),
    skor
),0)</f>
        <v>2</v>
      </c>
      <c r="I4" s="18">
        <f t="array" ref="I4">iferror(LET(
    kode, B4,
    ratio, XLOOKUP(kode, Audit!A:A, Audit!B:B),
    skor, IFS(
        ratio&gt;90, 5,
        ratio&gt;=85, 4,
        ratio&gt;=80, 3,
        ratio&gt;=75, 2,
        TRUE, 1
    ),
    skor
),0)</f>
        <v>4</v>
      </c>
      <c r="J4" s="18">
        <f t="array" ref="J4">iferror(LET(
    kode, B4,
    ratio, XLOOKUP(kode, 'Mistery Shopper'!A:A, 'Mistery Shopper'!B:B),
    skor, IFS(
        ratio&gt;90%, 5,
        ratio&gt;=85%, 4,
        ratio&gt;=80%, 3,
        ratio&gt;=75%, 2,
        TRUE, 1
    ),
    skor
),0)</f>
        <v>5</v>
      </c>
      <c r="K4" s="18">
        <f t="array" ref="K4">iferror(LET(
    kode, B4,
    actual, XLOOKUP(kode, Complain!A:A, Complain!C:C),
    target, XLOOKUP(kode, Complain!A:A, Complain!B:B),
    ratio, actual/target,
    skor, IFS(
        ratio&gt;=0.16%, 1,
        ratio&gt;=0.15%, 2,
        ratio&gt;=0.125%, 3,
        ratio&gt;=0.1%, 4,
        TRUE, 5
    ),
    skor
),0)</f>
        <v>5</v>
      </c>
      <c r="L4" s="19">
        <f t="shared" si="1"/>
        <v>0.85</v>
      </c>
      <c r="N4" s="18" t="s">
        <v>113</v>
      </c>
      <c r="O4" s="19">
        <f t="shared" si="2"/>
        <v>0.625</v>
      </c>
    </row>
    <row r="5">
      <c r="A5" s="17" t="s">
        <v>110</v>
      </c>
      <c r="B5" s="18" t="s">
        <v>114</v>
      </c>
      <c r="C5" s="18">
        <f t="array" ref="C5">iferror(LET(
    kode, B5,
    actual, XLOOKUP(kode, Sales!A:A, Sales!C:C),
    target, XLOOKUP(kode, Sales!A:A, Sales!B:B),
    ratio, actual/target,
    skor, IFS(
        ratio&gt;1, 5,
        ratio&gt;=0.975, 4,
        ratio&gt;=0.95, 3,
        ratio&gt;=0.9, 2,
        TRUE, 1
    ),
    skor
),0)</f>
        <v>5</v>
      </c>
      <c r="D5" s="18">
        <f t="array" ref="D5">iferror(LET(
    kode, B5,
    actual, XLOOKUP(kode, AVG!A:A, AVG!C:C),
    target, XLOOKUP(kode, AVG!A:A, AVG!B:B),
    ratio, actual/target,
    skor, IFS(
        ratio&gt;1, 5,
        ratio&gt;=0.975, 4,
        ratio&gt;=0.95, 3,
        ratio&gt;=0.9, 2,
        TRUE, 1
    ),
    skor
),0)</f>
        <v>4</v>
      </c>
      <c r="E5" s="18">
        <f t="array" ref="E5">iferror(LET(
    kode, B5,
    large, XLOOKUP(kode, Large!A:A, Large!C:C),
    small, XLOOKUP(kode, Large!A:A, Large!B:B),
    ratio, large/(large+small),
    skor, IFS(
        ratio&lt;0.45, 1,
        ratio&lt;=0.5, 2,
        ratio&lt;=0.55, 3,
        ratio&lt;=0.6, 4,
        TRUE, 5
    ),
    skor
),0)</f>
        <v>1</v>
      </c>
      <c r="F5" s="18">
        <f t="array" ref="F5">iferror(LET(
    kode, B5,
    oatmilk, XLOOKUP(kode, Oatside!A:A, Oatside!C:C),
    drink, XLOOKUP(kode, Oatside!A:A, Oatside!B:B),
    ratio, oatmilk/drink,
    skor, IFS(
        ratio&gt;5%, 5,
        ratio&gt;=4%, 4,
        ratio&gt;=3%, 3,
        ratio&gt;=2%, 2,
        TRUE, 1
    ),
    skor
),0)</f>
        <v>5</v>
      </c>
      <c r="G5" s="18">
        <f t="array" ref="G5">iferror(LET(
    kode, B5,
    actual, XLOOKUP(kode, 'Snack Platter'!A:A, 'Snack Platter'!C:C),
    target, XLOOKUP(kode, 'Snack Platter'!A:A, 'Snack Platter'!B:B),
    ratio, actual/target,
    skor, IFS(
        ratio&gt;10%, 5,
        ratio&gt;=7.5%, 4,
        ratio&gt;=5%, 3,
        ratio&gt;=2.5%, 2,
        TRUE, 1
    ),
    skor
),0)</f>
        <v>1</v>
      </c>
      <c r="H5" s="18">
        <f t="array" ref="H5">iferror(LET(
    kode, B5,
    actual, XLOOKUP(kode, 'Bundling Asik'!A:A, 'Bundling Asik'!C:C),
    target, XLOOKUP(kode, 'Bundling Asik'!A:A, 'Bundling Asik'!B:B),
    ratio, actual/target,
    skor, IFS(
        ratio&gt;5%, 5,
        ratio&gt;=4%, 4,
        ratio&gt;=3%, 3,
        ratio&gt;=2%, 2,
        TRUE, 1
    ),
    skor
),0)</f>
        <v>2</v>
      </c>
      <c r="I5" s="18">
        <f t="array" ref="I5">iferror(LET(
    kode, B5,
    ratio, XLOOKUP(kode, Audit!A:A, Audit!B:B),
    skor, IFS(
        ratio&gt;90, 5,
        ratio&gt;=85, 4,
        ratio&gt;=80, 3,
        ratio&gt;=75, 2,
        TRUE, 1
    ),
    skor
),0)</f>
        <v>4</v>
      </c>
      <c r="J5" s="18">
        <f t="array" ref="J5">iferror(LET(
    kode, B5,
    ratio, XLOOKUP(kode, 'Mistery Shopper'!A:A, 'Mistery Shopper'!B:B),
    skor, IFS(
        ratio&gt;90%, 5,
        ratio&gt;=85%, 4,
        ratio&gt;=80%, 3,
        ratio&gt;=75%, 2,
        TRUE, 1
    ),
    skor
),0)</f>
        <v>5</v>
      </c>
      <c r="K5" s="18">
        <f t="array" ref="K5">iferror(LET(
    kode, B5,
    actual, XLOOKUP(kode, Complain!A:A, Complain!C:C),
    target, XLOOKUP(kode, Complain!A:A, Complain!B:B),
    ratio, actual/target,
    skor, IFS(
        ratio&gt;=0.16%, 1,
        ratio&gt;=0.15%, 2,
        ratio&gt;=0.125%, 3,
        ratio&gt;=0.1%, 4,
        TRUE, 5
    ),
    skor
),0)</f>
        <v>5</v>
      </c>
      <c r="L5" s="19">
        <f t="shared" si="1"/>
        <v>0.84</v>
      </c>
      <c r="N5" s="18" t="s">
        <v>115</v>
      </c>
      <c r="O5" s="19">
        <f t="shared" si="2"/>
        <v>0.5075</v>
      </c>
    </row>
    <row r="6">
      <c r="A6" s="17" t="s">
        <v>113</v>
      </c>
      <c r="B6" s="18" t="s">
        <v>116</v>
      </c>
      <c r="C6" s="18">
        <f t="array" ref="C6">iferror(LET(
    kode, B6,
    actual, XLOOKUP(kode, Sales!A:A, Sales!C:C),
    target, XLOOKUP(kode, Sales!A:A, Sales!B:B),
    ratio, actual/target,
    skor, IFS(
        ratio&gt;1, 5,
        ratio&gt;=0.975, 4,
        ratio&gt;=0.95, 3,
        ratio&gt;=0.9, 2,
        TRUE, 1
    ),
    skor
),0)</f>
        <v>4</v>
      </c>
      <c r="D6" s="18">
        <f t="array" ref="D6">iferror(LET(
    kode, B6,
    actual, XLOOKUP(kode, AVG!A:A, AVG!C:C),
    target, XLOOKUP(kode, AVG!A:A, AVG!B:B),
    ratio, actual/target,
    skor, IFS(
        ratio&gt;1, 5,
        ratio&gt;=0.975, 4,
        ratio&gt;=0.95, 3,
        ratio&gt;=0.9, 2,
        TRUE, 1
    ),
    skor
),0)</f>
        <v>5</v>
      </c>
      <c r="E6" s="18">
        <f t="array" ref="E6">iferror(LET(
    kode, B6,
    large, XLOOKUP(kode, Large!A:A, Large!C:C),
    small, XLOOKUP(kode, Large!A:A, Large!B:B),
    ratio, large/(large+small),
    skor, IFS(
        ratio&lt;0.45, 1,
        ratio&lt;=0.5, 2,
        ratio&lt;=0.55, 3,
        ratio&lt;=0.6, 4,
        TRUE, 5
    ),
    skor
),0)</f>
        <v>1</v>
      </c>
      <c r="F6" s="18">
        <f t="array" ref="F6">iferror(LET(
    kode, B6,
    oatmilk, XLOOKUP(kode, Oatside!A:A, Oatside!C:C),
    drink, XLOOKUP(kode, Oatside!A:A, Oatside!B:B),
    ratio, oatmilk/drink,
    skor, IFS(
        ratio&gt;5%, 5,
        ratio&gt;=4%, 4,
        ratio&gt;=3%, 3,
        ratio&gt;=2%, 2,
        TRUE, 1
    ),
    skor
),0)</f>
        <v>5</v>
      </c>
      <c r="G6" s="18">
        <f t="array" ref="G6">iferror(LET(
    kode, B6,
    actual, XLOOKUP(kode, 'Snack Platter'!A:A, 'Snack Platter'!C:C),
    target, XLOOKUP(kode, 'Snack Platter'!A:A, 'Snack Platter'!B:B),
    ratio, actual/target,
    skor, IFS(
        ratio&gt;10%, 5,
        ratio&gt;=7.5%, 4,
        ratio&gt;=5%, 3,
        ratio&gt;=2.5%, 2,
        TRUE, 1
    ),
    skor
),0)</f>
        <v>2</v>
      </c>
      <c r="H6" s="18">
        <f t="array" ref="H6">iferror(LET(
    kode, B6,
    actual, XLOOKUP(kode, 'Bundling Asik'!A:A, 'Bundling Asik'!C:C),
    target, XLOOKUP(kode, 'Bundling Asik'!A:A, 'Bundling Asik'!B:B),
    ratio, actual/target,
    skor, IFS(
        ratio&gt;5%, 5,
        ratio&gt;=4%, 4,
        ratio&gt;=3%, 3,
        ratio&gt;=2%, 2,
        TRUE, 1
    ),
    skor
),0)</f>
        <v>1</v>
      </c>
      <c r="I6" s="18">
        <f t="array" ref="I6">iferror(LET(
    kode, B6,
    ratio, XLOOKUP(kode, Audit!A:A, Audit!B:B),
    skor, IFS(
        ratio&gt;90, 5,
        ratio&gt;=85, 4,
        ratio&gt;=80, 3,
        ratio&gt;=75, 2,
        TRUE, 1
    ),
    skor
),0)</f>
        <v>3</v>
      </c>
      <c r="J6" s="18">
        <f t="array" ref="J6">iferror(LET(
    kode, B6,
    ratio, XLOOKUP(kode, 'Mistery Shopper'!A:A, 'Mistery Shopper'!B:B),
    skor, IFS(
        ratio&gt;90%, 5,
        ratio&gt;=85%, 4,
        ratio&gt;=80%, 3,
        ratio&gt;=75%, 2,
        TRUE, 1
    ),
    skor
),0)</f>
        <v>5</v>
      </c>
      <c r="K6" s="18">
        <f t="array" ref="K6">iferror(LET(
    kode, B6,
    actual, XLOOKUP(kode, Complain!A:A, Complain!C:C),
    target, XLOOKUP(kode, Complain!A:A, Complain!B:B),
    ratio, actual/target,
    skor, IFS(
        ratio&gt;=0.16%, 1,
        ratio&gt;=0.15%, 2,
        ratio&gt;=0.125%, 3,
        ratio&gt;=0.1%, 4,
        TRUE, 5
    ),
    skor
),0)</f>
        <v>5</v>
      </c>
      <c r="L6" s="19">
        <f t="shared" si="1"/>
        <v>0.75</v>
      </c>
      <c r="N6" s="18" t="s">
        <v>117</v>
      </c>
      <c r="O6" s="19">
        <f t="shared" si="2"/>
        <v>0.455</v>
      </c>
    </row>
    <row r="7">
      <c r="A7" s="17" t="s">
        <v>110</v>
      </c>
      <c r="B7" s="18" t="s">
        <v>118</v>
      </c>
      <c r="C7" s="18">
        <f t="array" ref="C7">iferror(LET(
    kode, B7,
    actual, XLOOKUP(kode, Sales!A:A, Sales!C:C),
    target, XLOOKUP(kode, Sales!A:A, Sales!B:B),
    ratio, actual/target,
    skor, IFS(
        ratio&gt;1, 5,
        ratio&gt;=0.975, 4,
        ratio&gt;=0.95, 3,
        ratio&gt;=0.9, 2,
        TRUE, 1
    ),
    skor
),0)</f>
        <v>3</v>
      </c>
      <c r="D7" s="18">
        <f t="array" ref="D7">iferror(LET(
    kode, B7,
    actual, XLOOKUP(kode, AVG!A:A, AVG!C:C),
    target, XLOOKUP(kode, AVG!A:A, AVG!B:B),
    ratio, actual/target,
    skor, IFS(
        ratio&gt;1, 5,
        ratio&gt;=0.975, 4,
        ratio&gt;=0.95, 3,
        ratio&gt;=0.9, 2,
        TRUE, 1
    ),
    skor
),0)</f>
        <v>5</v>
      </c>
      <c r="E7" s="18">
        <f t="array" ref="E7">iferror(LET(
    kode, B7,
    large, XLOOKUP(kode, Large!A:A, Large!C:C),
    small, XLOOKUP(kode, Large!A:A, Large!B:B),
    ratio, large/(large+small),
    skor, IFS(
        ratio&lt;0.45, 1,
        ratio&lt;=0.5, 2,
        ratio&lt;=0.55, 3,
        ratio&lt;=0.6, 4,
        TRUE, 5
    ),
    skor
),0)</f>
        <v>2</v>
      </c>
      <c r="F7" s="18">
        <f t="array" ref="F7">iferror(LET(
    kode, B7,
    oatmilk, XLOOKUP(kode, Oatside!A:A, Oatside!C:C),
    drink, XLOOKUP(kode, Oatside!A:A, Oatside!B:B),
    ratio, oatmilk/drink,
    skor, IFS(
        ratio&gt;5%, 5,
        ratio&gt;=4%, 4,
        ratio&gt;=3%, 3,
        ratio&gt;=2%, 2,
        TRUE, 1
    ),
    skor
),0)</f>
        <v>5</v>
      </c>
      <c r="G7" s="18">
        <f t="array" ref="G7">iferror(LET(
    kode, B7,
    actual, XLOOKUP(kode, 'Snack Platter'!A:A, 'Snack Platter'!C:C),
    target, XLOOKUP(kode, 'Snack Platter'!A:A, 'Snack Platter'!B:B),
    ratio, actual/target,
    skor, IFS(
        ratio&gt;10%, 5,
        ratio&gt;=7.5%, 4,
        ratio&gt;=5%, 3,
        ratio&gt;=2.5%, 2,
        TRUE, 1
    ),
    skor
),0)</f>
        <v>2</v>
      </c>
      <c r="H7" s="18">
        <f t="array" ref="H7">iferror(LET(
    kode, B7,
    actual, XLOOKUP(kode, 'Bundling Asik'!A:A, 'Bundling Asik'!C:C),
    target, XLOOKUP(kode, 'Bundling Asik'!A:A, 'Bundling Asik'!B:B),
    ratio, actual/target,
    skor, IFS(
        ratio&gt;5%, 5,
        ratio&gt;=4%, 4,
        ratio&gt;=3%, 3,
        ratio&gt;=2%, 2,
        TRUE, 1
    ),
    skor
),0)</f>
        <v>2</v>
      </c>
      <c r="I7" s="18">
        <f t="array" ref="I7">iferror(LET(
    kode, B7,
    ratio, XLOOKUP(kode, Audit!A:A, Audit!B:B),
    skor, IFS(
        ratio&gt;90, 5,
        ratio&gt;=85, 4,
        ratio&gt;=80, 3,
        ratio&gt;=75, 2,
        TRUE, 1
    ),
    skor
),0)</f>
        <v>4</v>
      </c>
      <c r="J7" s="18">
        <f t="array" ref="J7">iferror(LET(
    kode, B7,
    ratio, XLOOKUP(kode, 'Mistery Shopper'!A:A, 'Mistery Shopper'!B:B),
    skor, IFS(
        ratio&gt;90%, 5,
        ratio&gt;=85%, 4,
        ratio&gt;=80%, 3,
        ratio&gt;=75%, 2,
        TRUE, 1
    ),
    skor
),0)</f>
        <v>5</v>
      </c>
      <c r="K7" s="18">
        <f t="array" ref="K7">iferror(LET(
    kode, B7,
    actual, XLOOKUP(kode, Complain!A:A, Complain!C:C),
    target, XLOOKUP(kode, Complain!A:A, Complain!B:B),
    ratio, actual/target,
    skor, IFS(
        ratio&gt;=0.16%, 1,
        ratio&gt;=0.15%, 2,
        ratio&gt;=0.125%, 3,
        ratio&gt;=0.1%, 4,
        TRUE, 5
    ),
    skor
),0)</f>
        <v>3</v>
      </c>
      <c r="L7" s="19">
        <f t="shared" si="1"/>
        <v>0.68</v>
      </c>
      <c r="N7" s="18" t="s">
        <v>119</v>
      </c>
      <c r="O7" s="19">
        <f t="shared" si="2"/>
        <v>0.325</v>
      </c>
    </row>
    <row r="8">
      <c r="A8" s="17" t="s">
        <v>113</v>
      </c>
      <c r="B8" s="18" t="s">
        <v>120</v>
      </c>
      <c r="C8" s="18">
        <f t="array" ref="C8">iferror(LET(
    kode, B8,
    actual, XLOOKUP(kode, Sales!A:A, Sales!C:C),
    target, XLOOKUP(kode, Sales!A:A, Sales!B:B),
    ratio, actual/target,
    skor, IFS(
        ratio&gt;1, 5,
        ratio&gt;=0.975, 4,
        ratio&gt;=0.95, 3,
        ratio&gt;=0.9, 2,
        TRUE, 1
    ),
    skor
),0)</f>
        <v>3</v>
      </c>
      <c r="D8" s="18">
        <f t="array" ref="D8">iferror(LET(
    kode, B8,
    actual, XLOOKUP(kode, AVG!A:A, AVG!C:C),
    target, XLOOKUP(kode, AVG!A:A, AVG!B:B),
    ratio, actual/target,
    skor, IFS(
        ratio&gt;1, 5,
        ratio&gt;=0.975, 4,
        ratio&gt;=0.95, 3,
        ratio&gt;=0.9, 2,
        TRUE, 1
    ),
    skor
),0)</f>
        <v>4</v>
      </c>
      <c r="E8" s="18">
        <f t="array" ref="E8">iferror(LET(
    kode, B8,
    large, XLOOKUP(kode, Large!A:A, Large!C:C),
    small, XLOOKUP(kode, Large!A:A, Large!B:B),
    ratio, large/(large+small),
    skor, IFS(
        ratio&lt;0.45, 1,
        ratio&lt;=0.5, 2,
        ratio&lt;=0.55, 3,
        ratio&lt;=0.6, 4,
        TRUE, 5
    ),
    skor
),0)</f>
        <v>1</v>
      </c>
      <c r="F8" s="18">
        <f t="array" ref="F8">iferror(LET(
    kode, B8,
    oatmilk, XLOOKUP(kode, Oatside!A:A, Oatside!C:C),
    drink, XLOOKUP(kode, Oatside!A:A, Oatside!B:B),
    ratio, oatmilk/drink,
    skor, IFS(
        ratio&gt;5%, 5,
        ratio&gt;=4%, 4,
        ratio&gt;=3%, 3,
        ratio&gt;=2%, 2,
        TRUE, 1
    ),
    skor
),0)</f>
        <v>5</v>
      </c>
      <c r="G8" s="18">
        <f t="array" ref="G8">iferror(LET(
    kode, B8,
    actual, XLOOKUP(kode, 'Snack Platter'!A:A, 'Snack Platter'!C:C),
    target, XLOOKUP(kode, 'Snack Platter'!A:A, 'Snack Platter'!B:B),
    ratio, actual/target,
    skor, IFS(
        ratio&gt;10%, 5,
        ratio&gt;=7.5%, 4,
        ratio&gt;=5%, 3,
        ratio&gt;=2.5%, 2,
        TRUE, 1
    ),
    skor
),0)</f>
        <v>2</v>
      </c>
      <c r="H8" s="18">
        <f t="array" ref="H8">iferror(LET(
    kode, B8,
    actual, XLOOKUP(kode, 'Bundling Asik'!A:A, 'Bundling Asik'!C:C),
    target, XLOOKUP(kode, 'Bundling Asik'!A:A, 'Bundling Asik'!B:B),
    ratio, actual/target,
    skor, IFS(
        ratio&gt;5%, 5,
        ratio&gt;=4%, 4,
        ratio&gt;=3%, 3,
        ratio&gt;=2%, 2,
        TRUE, 1
    ),
    skor
),0)</f>
        <v>1</v>
      </c>
      <c r="I8" s="18">
        <f t="array" ref="I8">iferror(LET(
    kode, B8,
    ratio, XLOOKUP(kode, Audit!A:A, Audit!B:B),
    skor, IFS(
        ratio&gt;90, 5,
        ratio&gt;=85, 4,
        ratio&gt;=80, 3,
        ratio&gt;=75, 2,
        TRUE, 1
    ),
    skor
),0)</f>
        <v>4</v>
      </c>
      <c r="J8" s="18">
        <f t="array" ref="J8">iferror(LET(
    kode, B8,
    ratio, XLOOKUP(kode, 'Mistery Shopper'!A:A, 'Mistery Shopper'!B:B),
    skor, IFS(
        ratio&gt;90%, 5,
        ratio&gt;=85%, 4,
        ratio&gt;=80%, 3,
        ratio&gt;=75%, 2,
        TRUE, 1
    ),
    skor
),0)</f>
        <v>5</v>
      </c>
      <c r="K8" s="18">
        <f t="array" ref="K8">iferror(LET(
    kode, B8,
    actual, XLOOKUP(kode, Complain!A:A, Complain!C:C),
    target, XLOOKUP(kode, Complain!A:A, Complain!B:B),
    ratio, actual/target,
    skor, IFS(
        ratio&gt;=0.16%, 1,
        ratio&gt;=0.15%, 2,
        ratio&gt;=0.125%, 3,
        ratio&gt;=0.1%, 4,
        TRUE, 5
    ),
    skor
),0)</f>
        <v>5</v>
      </c>
      <c r="L8" s="19">
        <f t="shared" si="1"/>
        <v>0.68</v>
      </c>
    </row>
    <row r="9">
      <c r="A9" s="17" t="s">
        <v>115</v>
      </c>
      <c r="B9" s="18" t="s">
        <v>121</v>
      </c>
      <c r="C9" s="18">
        <f t="array" ref="C9">iferror(LET(
    kode, B9,
    actual, XLOOKUP(kode, Sales!A:A, Sales!C:C),
    target, XLOOKUP(kode, Sales!A:A, Sales!B:B),
    ratio, actual/target,
    skor, IFS(
        ratio&gt;1, 5,
        ratio&gt;=0.975, 4,
        ratio&gt;=0.95, 3,
        ratio&gt;=0.9, 2,
        TRUE, 1
    ),
    skor
),0)</f>
        <v>4</v>
      </c>
      <c r="D9" s="18">
        <f t="array" ref="D9">iferror(LET(
    kode, B9,
    actual, XLOOKUP(kode, AVG!A:A, AVG!C:C),
    target, XLOOKUP(kode, AVG!A:A, AVG!B:B),
    ratio, actual/target,
    skor, IFS(
        ratio&gt;1, 5,
        ratio&gt;=0.975, 4,
        ratio&gt;=0.95, 3,
        ratio&gt;=0.9, 2,
        TRUE, 1
    ),
    skor
),0)</f>
        <v>5</v>
      </c>
      <c r="E9" s="18">
        <f t="array" ref="E9">iferror(LET(
    kode, B9,
    large, XLOOKUP(kode, Large!A:A, Large!C:C),
    small, XLOOKUP(kode, Large!A:A, Large!B:B),
    ratio, large/(large+small),
    skor, IFS(
        ratio&lt;0.45, 1,
        ratio&lt;=0.5, 2,
        ratio&lt;=0.55, 3,
        ratio&lt;=0.6, 4,
        TRUE, 5
    ),
    skor
),0)</f>
        <v>1</v>
      </c>
      <c r="F9" s="18">
        <f t="array" ref="F9">iferror(LET(
    kode, B9,
    oatmilk, XLOOKUP(kode, Oatside!A:A, Oatside!C:C),
    drink, XLOOKUP(kode, Oatside!A:A, Oatside!B:B),
    ratio, oatmilk/drink,
    skor, IFS(
        ratio&gt;5%, 5,
        ratio&gt;=4%, 4,
        ratio&gt;=3%, 3,
        ratio&gt;=2%, 2,
        TRUE, 1
    ),
    skor
),0)</f>
        <v>1</v>
      </c>
      <c r="G9" s="18">
        <f t="array" ref="G9">iferror(LET(
    kode, B9,
    actual, XLOOKUP(kode, 'Snack Platter'!A:A, 'Snack Platter'!C:C),
    target, XLOOKUP(kode, 'Snack Platter'!A:A, 'Snack Platter'!B:B),
    ratio, actual/target,
    skor, IFS(
        ratio&gt;10%, 5,
        ratio&gt;=7.5%, 4,
        ratio&gt;=5%, 3,
        ratio&gt;=2.5%, 2,
        TRUE, 1
    ),
    skor
),0)</f>
        <v>1</v>
      </c>
      <c r="H9" s="18">
        <f t="array" ref="H9">iferror(LET(
    kode, B9,
    actual, XLOOKUP(kode, 'Bundling Asik'!A:A, 'Bundling Asik'!C:C),
    target, XLOOKUP(kode, 'Bundling Asik'!A:A, 'Bundling Asik'!B:B),
    ratio, actual/target,
    skor, IFS(
        ratio&gt;5%, 5,
        ratio&gt;=4%, 4,
        ratio&gt;=3%, 3,
        ratio&gt;=2%, 2,
        TRUE, 1
    ),
    skor
),0)</f>
        <v>1</v>
      </c>
      <c r="I9" s="18">
        <f t="array" ref="I9">iferror(LET(
    kode, B9,
    ratio, XLOOKUP(kode, Audit!A:A, Audit!B:B),
    skor, IFS(
        ratio&gt;90, 5,
        ratio&gt;=85, 4,
        ratio&gt;=80, 3,
        ratio&gt;=75, 2,
        TRUE, 1
    ),
    skor
),0)</f>
        <v>3</v>
      </c>
      <c r="J9" s="18">
        <f t="array" ref="J9">iferror(LET(
    kode, B9,
    ratio, XLOOKUP(kode, 'Mistery Shopper'!A:A, 'Mistery Shopper'!B:B),
    skor, IFS(
        ratio&gt;90%, 5,
        ratio&gt;=85%, 4,
        ratio&gt;=80%, 3,
        ratio&gt;=75%, 2,
        TRUE, 1
    ),
    skor
),0)</f>
        <v>5</v>
      </c>
      <c r="K9" s="18">
        <f t="array" ref="K9">iferror(LET(
    kode, B9,
    actual, XLOOKUP(kode, Complain!A:A, Complain!C:C),
    target, XLOOKUP(kode, Complain!A:A, Complain!B:B),
    ratio, actual/target,
    skor, IFS(
        ratio&gt;=0.16%, 1,
        ratio&gt;=0.15%, 2,
        ratio&gt;=0.125%, 3,
        ratio&gt;=0.1%, 4,
        TRUE, 5
    ),
    skor
),0)</f>
        <v>4</v>
      </c>
      <c r="L9" s="19">
        <f t="shared" si="1"/>
        <v>0.68</v>
      </c>
    </row>
    <row r="10">
      <c r="A10" s="17" t="s">
        <v>117</v>
      </c>
      <c r="B10" s="18" t="s">
        <v>122</v>
      </c>
      <c r="C10" s="18">
        <f t="array" ref="C10">iferror(LET(
    kode, B10,
    actual, XLOOKUP(kode, Sales!A:A, Sales!C:C),
    target, XLOOKUP(kode, Sales!A:A, Sales!B:B),
    ratio, actual/target,
    skor, IFS(
        ratio&gt;1, 5,
        ratio&gt;=0.975, 4,
        ratio&gt;=0.95, 3,
        ratio&gt;=0.9, 2,
        TRUE, 1
    ),
    skor
),0)</f>
        <v>4</v>
      </c>
      <c r="D10" s="18">
        <f t="array" ref="D10">iferror(LET(
    kode, B10,
    actual, XLOOKUP(kode, AVG!A:A, AVG!C:C),
    target, XLOOKUP(kode, AVG!A:A, AVG!B:B),
    ratio, actual/target,
    skor, IFS(
        ratio&gt;1, 5,
        ratio&gt;=0.975, 4,
        ratio&gt;=0.95, 3,
        ratio&gt;=0.9, 2,
        TRUE, 1
    ),
    skor
),0)</f>
        <v>5</v>
      </c>
      <c r="E10" s="18">
        <f t="array" ref="E10">iferror(LET(
    kode, B10,
    large, XLOOKUP(kode, Large!A:A, Large!C:C),
    small, XLOOKUP(kode, Large!A:A, Large!B:B),
    ratio, large/(large+small),
    skor, IFS(
        ratio&lt;0.45, 1,
        ratio&lt;=0.5, 2,
        ratio&lt;=0.55, 3,
        ratio&lt;=0.6, 4,
        TRUE, 5
    ),
    skor
),0)</f>
        <v>1</v>
      </c>
      <c r="F10" s="18">
        <f t="array" ref="F10">iferror(LET(
    kode, B10,
    oatmilk, XLOOKUP(kode, Oatside!A:A, Oatside!C:C),
    drink, XLOOKUP(kode, Oatside!A:A, Oatside!B:B),
    ratio, oatmilk/drink,
    skor, IFS(
        ratio&gt;5%, 5,
        ratio&gt;=4%, 4,
        ratio&gt;=3%, 3,
        ratio&gt;=2%, 2,
        TRUE, 1
    ),
    skor
),0)</f>
        <v>1</v>
      </c>
      <c r="G10" s="18">
        <f t="array" ref="G10">iferror(LET(
    kode, B10,
    actual, XLOOKUP(kode, 'Snack Platter'!A:A, 'Snack Platter'!C:C),
    target, XLOOKUP(kode, 'Snack Platter'!A:A, 'Snack Platter'!B:B),
    ratio, actual/target,
    skor, IFS(
        ratio&gt;10%, 5,
        ratio&gt;=7.5%, 4,
        ratio&gt;=5%, 3,
        ratio&gt;=2.5%, 2,
        TRUE, 1
    ),
    skor
),0)</f>
        <v>1</v>
      </c>
      <c r="H10" s="18">
        <f t="array" ref="H10">iferror(LET(
    kode, B10,
    actual, XLOOKUP(kode, 'Bundling Asik'!A:A, 'Bundling Asik'!C:C),
    target, XLOOKUP(kode, 'Bundling Asik'!A:A, 'Bundling Asik'!B:B),
    ratio, actual/target,
    skor, IFS(
        ratio&gt;5%, 5,
        ratio&gt;=4%, 4,
        ratio&gt;=3%, 3,
        ratio&gt;=2%, 2,
        TRUE, 1
    ),
    skor
),0)</f>
        <v>1</v>
      </c>
      <c r="I10" s="18">
        <f t="array" ref="I10">iferror(LET(
    kode, B10,
    ratio, XLOOKUP(kode, Audit!A:A, Audit!B:B),
    skor, IFS(
        ratio&gt;90, 5,
        ratio&gt;=85, 4,
        ratio&gt;=80, 3,
        ratio&gt;=75, 2,
        TRUE, 1
    ),
    skor
),0)</f>
        <v>2</v>
      </c>
      <c r="J10" s="18">
        <f t="array" ref="J10">iferror(LET(
    kode, B10,
    ratio, XLOOKUP(kode, 'Mistery Shopper'!A:A, 'Mistery Shopper'!B:B),
    skor, IFS(
        ratio&gt;90%, 5,
        ratio&gt;=85%, 4,
        ratio&gt;=80%, 3,
        ratio&gt;=75%, 2,
        TRUE, 1
    ),
    skor
),0)</f>
        <v>5</v>
      </c>
      <c r="K10" s="18">
        <f t="array" ref="K10">iferror(LET(
    kode, B10,
    actual, XLOOKUP(kode, Complain!A:A, Complain!C:C),
    target, XLOOKUP(kode, Complain!A:A, Complain!B:B),
    ratio, actual/target,
    skor, IFS(
        ratio&gt;=0.16%, 1,
        ratio&gt;=0.15%, 2,
        ratio&gt;=0.125%, 3,
        ratio&gt;=0.1%, 4,
        TRUE, 5
    ),
    skor
),0)</f>
        <v>5</v>
      </c>
      <c r="L10" s="19">
        <f t="shared" si="1"/>
        <v>0.67</v>
      </c>
    </row>
    <row r="11">
      <c r="A11" s="17" t="s">
        <v>113</v>
      </c>
      <c r="B11" s="18" t="s">
        <v>123</v>
      </c>
      <c r="C11" s="18">
        <f t="array" ref="C11">iferror(LET(
    kode, B11,
    actual, XLOOKUP(kode, Sales!A:A, Sales!C:C),
    target, XLOOKUP(kode, Sales!A:A, Sales!B:B),
    ratio, actual/target,
    skor, IFS(
        ratio&gt;1, 5,
        ratio&gt;=0.975, 4,
        ratio&gt;=0.95, 3,
        ratio&gt;=0.9, 2,
        TRUE, 1
    ),
    skor
),0)</f>
        <v>4</v>
      </c>
      <c r="D11" s="18">
        <f t="array" ref="D11">iferror(LET(
    kode, B11,
    actual, XLOOKUP(kode, AVG!A:A, AVG!C:C),
    target, XLOOKUP(kode, AVG!A:A, AVG!B:B),
    ratio, actual/target,
    skor, IFS(
        ratio&gt;1, 5,
        ratio&gt;=0.975, 4,
        ratio&gt;=0.95, 3,
        ratio&gt;=0.9, 2,
        TRUE, 1
    ),
    skor
),0)</f>
        <v>1</v>
      </c>
      <c r="E11" s="18">
        <f t="array" ref="E11">iferror(LET(
    kode, B11,
    large, XLOOKUP(kode, Large!A:A, Large!C:C),
    small, XLOOKUP(kode, Large!A:A, Large!B:B),
    ratio, large/(large+small),
    skor, IFS(
        ratio&lt;0.45, 1,
        ratio&lt;=0.5, 2,
        ratio&lt;=0.55, 3,
        ratio&lt;=0.6, 4,
        TRUE, 5
    ),
    skor
),0)</f>
        <v>1</v>
      </c>
      <c r="F11" s="18">
        <f t="array" ref="F11">iferror(LET(
    kode, B11,
    oatmilk, XLOOKUP(kode, Oatside!A:A, Oatside!C:C),
    drink, XLOOKUP(kode, Oatside!A:A, Oatside!B:B),
    ratio, oatmilk/drink,
    skor, IFS(
        ratio&gt;5%, 5,
        ratio&gt;=4%, 4,
        ratio&gt;=3%, 3,
        ratio&gt;=2%, 2,
        TRUE, 1
    ),
    skor
),0)</f>
        <v>5</v>
      </c>
      <c r="G11" s="18">
        <f t="array" ref="G11">iferror(LET(
    kode, B11,
    actual, XLOOKUP(kode, 'Snack Platter'!A:A, 'Snack Platter'!C:C),
    target, XLOOKUP(kode, 'Snack Platter'!A:A, 'Snack Platter'!B:B),
    ratio, actual/target,
    skor, IFS(
        ratio&gt;10%, 5,
        ratio&gt;=7.5%, 4,
        ratio&gt;=5%, 3,
        ratio&gt;=2.5%, 2,
        TRUE, 1
    ),
    skor
),0)</f>
        <v>1</v>
      </c>
      <c r="H11" s="18">
        <f t="array" ref="H11">iferror(LET(
    kode, B11,
    actual, XLOOKUP(kode, 'Bundling Asik'!A:A, 'Bundling Asik'!C:C),
    target, XLOOKUP(kode, 'Bundling Asik'!A:A, 'Bundling Asik'!B:B),
    ratio, actual/target,
    skor, IFS(
        ratio&gt;5%, 5,
        ratio&gt;=4%, 4,
        ratio&gt;=3%, 3,
        ratio&gt;=2%, 2,
        TRUE, 1
    ),
    skor
),0)</f>
        <v>1</v>
      </c>
      <c r="I11" s="18">
        <f t="array" ref="I11">iferror(LET(
    kode, B11,
    ratio, XLOOKUP(kode, Audit!A:A, Audit!B:B),
    skor, IFS(
        ratio&gt;90, 5,
        ratio&gt;=85, 4,
        ratio&gt;=80, 3,
        ratio&gt;=75, 2,
        TRUE, 1
    ),
    skor
),0)</f>
        <v>3</v>
      </c>
      <c r="J11" s="18">
        <f t="array" ref="J11">iferror(LET(
    kode, B11,
    ratio, XLOOKUP(kode, 'Mistery Shopper'!A:A, 'Mistery Shopper'!B:B),
    skor, IFS(
        ratio&gt;90%, 5,
        ratio&gt;=85%, 4,
        ratio&gt;=80%, 3,
        ratio&gt;=75%, 2,
        TRUE, 1
    ),
    skor
),0)</f>
        <v>5</v>
      </c>
      <c r="K11" s="18">
        <f t="array" ref="K11">iferror(LET(
    kode, B11,
    actual, XLOOKUP(kode, Complain!A:A, Complain!C:C),
    target, XLOOKUP(kode, Complain!A:A, Complain!B:B),
    ratio, actual/target,
    skor, IFS(
        ratio&gt;=0.16%, 1,
        ratio&gt;=0.15%, 2,
        ratio&gt;=0.125%, 3,
        ratio&gt;=0.1%, 4,
        TRUE, 5
    ),
    skor
),0)</f>
        <v>5</v>
      </c>
      <c r="L11" s="19">
        <f t="shared" si="1"/>
        <v>0.66</v>
      </c>
    </row>
    <row r="12">
      <c r="A12" s="17" t="s">
        <v>115</v>
      </c>
      <c r="B12" s="18" t="s">
        <v>124</v>
      </c>
      <c r="C12" s="18">
        <f t="array" ref="C12">iferror(LET(
    kode, B12,
    actual, XLOOKUP(kode, Sales!A:A, Sales!C:C),
    target, XLOOKUP(kode, Sales!A:A, Sales!B:B),
    ratio, actual/target,
    skor, IFS(
        ratio&gt;1, 5,
        ratio&gt;=0.975, 4,
        ratio&gt;=0.95, 3,
        ratio&gt;=0.9, 2,
        TRUE, 1
    ),
    skor
),0)</f>
        <v>3</v>
      </c>
      <c r="D12" s="18">
        <f t="array" ref="D12">iferror(LET(
    kode, B12,
    actual, XLOOKUP(kode, AVG!A:A, AVG!C:C),
    target, XLOOKUP(kode, AVG!A:A, AVG!B:B),
    ratio, actual/target,
    skor, IFS(
        ratio&gt;1, 5,
        ratio&gt;=0.975, 4,
        ratio&gt;=0.95, 3,
        ratio&gt;=0.9, 2,
        TRUE, 1
    ),
    skor
),0)</f>
        <v>2</v>
      </c>
      <c r="E12" s="18">
        <f t="array" ref="E12">iferror(LET(
    kode, B12,
    large, XLOOKUP(kode, Large!A:A, Large!C:C),
    small, XLOOKUP(kode, Large!A:A, Large!B:B),
    ratio, large/(large+small),
    skor, IFS(
        ratio&lt;0.45, 1,
        ratio&lt;=0.5, 2,
        ratio&lt;=0.55, 3,
        ratio&lt;=0.6, 4,
        TRUE, 5
    ),
    skor
),0)</f>
        <v>2</v>
      </c>
      <c r="F12" s="18">
        <f t="array" ref="F12">iferror(LET(
    kode, B12,
    oatmilk, XLOOKUP(kode, Oatside!A:A, Oatside!C:C),
    drink, XLOOKUP(kode, Oatside!A:A, Oatside!B:B),
    ratio, oatmilk/drink,
    skor, IFS(
        ratio&gt;5%, 5,
        ratio&gt;=4%, 4,
        ratio&gt;=3%, 3,
        ratio&gt;=2%, 2,
        TRUE, 1
    ),
    skor
),0)</f>
        <v>5</v>
      </c>
      <c r="G12" s="18">
        <f t="array" ref="G12">iferror(LET(
    kode, B12,
    actual, XLOOKUP(kode, 'Snack Platter'!A:A, 'Snack Platter'!C:C),
    target, XLOOKUP(kode, 'Snack Platter'!A:A, 'Snack Platter'!B:B),
    ratio, actual/target,
    skor, IFS(
        ratio&gt;10%, 5,
        ratio&gt;=7.5%, 4,
        ratio&gt;=5%, 3,
        ratio&gt;=2.5%, 2,
        TRUE, 1
    ),
    skor
),0)</f>
        <v>1</v>
      </c>
      <c r="H12" s="18">
        <f t="array" ref="H12">iferror(LET(
    kode, B12,
    actual, XLOOKUP(kode, 'Bundling Asik'!A:A, 'Bundling Asik'!C:C),
    target, XLOOKUP(kode, 'Bundling Asik'!A:A, 'Bundling Asik'!B:B),
    ratio, actual/target,
    skor, IFS(
        ratio&gt;5%, 5,
        ratio&gt;=4%, 4,
        ratio&gt;=3%, 3,
        ratio&gt;=2%, 2,
        TRUE, 1
    ),
    skor
),0)</f>
        <v>1</v>
      </c>
      <c r="I12" s="18">
        <f t="array" ref="I12">iferror(LET(
    kode, B12,
    ratio, XLOOKUP(kode, Audit!A:A, Audit!B:B),
    skor, IFS(
        ratio&gt;90, 5,
        ratio&gt;=85, 4,
        ratio&gt;=80, 3,
        ratio&gt;=75, 2,
        TRUE, 1
    ),
    skor
),0)</f>
        <v>3</v>
      </c>
      <c r="J12" s="18">
        <f t="array" ref="J12">iferror(LET(
    kode, B12,
    ratio, XLOOKUP(kode, 'Mistery Shopper'!A:A, 'Mistery Shopper'!B:B),
    skor, IFS(
        ratio&gt;90%, 5,
        ratio&gt;=85%, 4,
        ratio&gt;=80%, 3,
        ratio&gt;=75%, 2,
        TRUE, 1
    ),
    skor
),0)</f>
        <v>5</v>
      </c>
      <c r="K12" s="18">
        <f t="array" ref="K12">iferror(LET(
    kode, B12,
    actual, XLOOKUP(kode, Complain!A:A, Complain!C:C),
    target, XLOOKUP(kode, Complain!A:A, Complain!B:B),
    ratio, actual/target,
    skor, IFS(
        ratio&gt;=0.16%, 1,
        ratio&gt;=0.15%, 2,
        ratio&gt;=0.125%, 3,
        ratio&gt;=0.1%, 4,
        TRUE, 5
    ),
    skor
),0)</f>
        <v>5</v>
      </c>
      <c r="L12" s="19">
        <f t="shared" si="1"/>
        <v>0.61</v>
      </c>
    </row>
    <row r="13">
      <c r="A13" s="17" t="s">
        <v>108</v>
      </c>
      <c r="B13" s="18" t="s">
        <v>125</v>
      </c>
      <c r="C13" s="18">
        <f t="array" ref="C13">iferror(LET(
    kode, B13,
    actual, XLOOKUP(kode, Sales!A:A, Sales!C:C),
    target, XLOOKUP(kode, Sales!A:A, Sales!B:B),
    ratio, actual/target,
    skor, IFS(
        ratio&gt;1, 5,
        ratio&gt;=0.975, 4,
        ratio&gt;=0.95, 3,
        ratio&gt;=0.9, 2,
        TRUE, 1
    ),
    skor
),0)</f>
        <v>2</v>
      </c>
      <c r="D13" s="18">
        <f t="array" ref="D13">iferror(LET(
    kode, B13,
    actual, XLOOKUP(kode, AVG!A:A, AVG!C:C),
    target, XLOOKUP(kode, AVG!A:A, AVG!B:B),
    ratio, actual/target,
    skor, IFS(
        ratio&gt;1, 5,
        ratio&gt;=0.975, 4,
        ratio&gt;=0.95, 3,
        ratio&gt;=0.9, 2,
        TRUE, 1
    ),
    skor
),0)</f>
        <v>5</v>
      </c>
      <c r="E13" s="18">
        <f t="array" ref="E13">iferror(LET(
    kode, B13,
    large, XLOOKUP(kode, Large!A:A, Large!C:C),
    small, XLOOKUP(kode, Large!A:A, Large!B:B),
    ratio, large/(large+small),
    skor, IFS(
        ratio&lt;0.45, 1,
        ratio&lt;=0.5, 2,
        ratio&lt;=0.55, 3,
        ratio&lt;=0.6, 4,
        TRUE, 5
    ),
    skor
),0)</f>
        <v>2</v>
      </c>
      <c r="F13" s="18">
        <f t="array" ref="F13">iferror(LET(
    kode, B13,
    oatmilk, XLOOKUP(kode, Oatside!A:A, Oatside!C:C),
    drink, XLOOKUP(kode, Oatside!A:A, Oatside!B:B),
    ratio, oatmilk/drink,
    skor, IFS(
        ratio&gt;5%, 5,
        ratio&gt;=4%, 4,
        ratio&gt;=3%, 3,
        ratio&gt;=2%, 2,
        TRUE, 1
    ),
    skor
),0)</f>
        <v>1</v>
      </c>
      <c r="G13" s="18">
        <f t="array" ref="G13">iferror(LET(
    kode, B13,
    actual, XLOOKUP(kode, 'Snack Platter'!A:A, 'Snack Platter'!C:C),
    target, XLOOKUP(kode, 'Snack Platter'!A:A, 'Snack Platter'!B:B),
    ratio, actual/target,
    skor, IFS(
        ratio&gt;10%, 5,
        ratio&gt;=7.5%, 4,
        ratio&gt;=5%, 3,
        ratio&gt;=2.5%, 2,
        TRUE, 1
    ),
    skor
),0)</f>
        <v>2</v>
      </c>
      <c r="H13" s="18">
        <f t="array" ref="H13">iferror(LET(
    kode, B13,
    actual, XLOOKUP(kode, 'Bundling Asik'!A:A, 'Bundling Asik'!C:C),
    target, XLOOKUP(kode, 'Bundling Asik'!A:A, 'Bundling Asik'!B:B),
    ratio, actual/target,
    skor, IFS(
        ratio&gt;5%, 5,
        ratio&gt;=4%, 4,
        ratio&gt;=3%, 3,
        ratio&gt;=2%, 2,
        TRUE, 1
    ),
    skor
),0)</f>
        <v>2</v>
      </c>
      <c r="I13" s="18">
        <f t="array" ref="I13">iferror(LET(
    kode, B13,
    ratio, XLOOKUP(kode, Audit!A:A, Audit!B:B),
    skor, IFS(
        ratio&gt;90, 5,
        ratio&gt;=85, 4,
        ratio&gt;=80, 3,
        ratio&gt;=75, 2,
        TRUE, 1
    ),
    skor
),0)</f>
        <v>3</v>
      </c>
      <c r="J13" s="18">
        <f t="array" ref="J13">iferror(LET(
    kode, B13,
    ratio, XLOOKUP(kode, 'Mistery Shopper'!A:A, 'Mistery Shopper'!B:B),
    skor, IFS(
        ratio&gt;90%, 5,
        ratio&gt;=85%, 4,
        ratio&gt;=80%, 3,
        ratio&gt;=75%, 2,
        TRUE, 1
    ),
    skor
),0)</f>
        <v>5</v>
      </c>
      <c r="K13" s="18">
        <f t="array" ref="K13">iferror(LET(
    kode, B13,
    actual, XLOOKUP(kode, Complain!A:A, Complain!C:C),
    target, XLOOKUP(kode, Complain!A:A, Complain!B:B),
    ratio, actual/target,
    skor, IFS(
        ratio&gt;=0.16%, 1,
        ratio&gt;=0.15%, 2,
        ratio&gt;=0.125%, 3,
        ratio&gt;=0.1%, 4,
        TRUE, 5
    ),
    skor
),0)</f>
        <v>5</v>
      </c>
      <c r="L13" s="19">
        <f t="shared" si="1"/>
        <v>0.57</v>
      </c>
    </row>
    <row r="14">
      <c r="A14" s="17" t="s">
        <v>115</v>
      </c>
      <c r="B14" s="18" t="s">
        <v>126</v>
      </c>
      <c r="C14" s="18">
        <f t="array" ref="C14">iferror(LET(
    kode, B14,
    actual, XLOOKUP(kode, Sales!A:A, Sales!C:C),
    target, XLOOKUP(kode, Sales!A:A, Sales!B:B),
    ratio, actual/target,
    skor, IFS(
        ratio&gt;1, 5,
        ratio&gt;=0.975, 4,
        ratio&gt;=0.95, 3,
        ratio&gt;=0.9, 2,
        TRUE, 1
    ),
    skor
),0)</f>
        <v>2</v>
      </c>
      <c r="D14" s="18">
        <f t="array" ref="D14">iferror(LET(
    kode, B14,
    actual, XLOOKUP(kode, AVG!A:A, AVG!C:C),
    target, XLOOKUP(kode, AVG!A:A, AVG!B:B),
    ratio, actual/target,
    skor, IFS(
        ratio&gt;1, 5,
        ratio&gt;=0.975, 4,
        ratio&gt;=0.95, 3,
        ratio&gt;=0.9, 2,
        TRUE, 1
    ),
    skor
),0)</f>
        <v>4</v>
      </c>
      <c r="E14" s="18">
        <f t="array" ref="E14">iferror(LET(
    kode, B14,
    large, XLOOKUP(kode, Large!A:A, Large!C:C),
    small, XLOOKUP(kode, Large!A:A, Large!B:B),
    ratio, large/(large+small),
    skor, IFS(
        ratio&lt;0.45, 1,
        ratio&lt;=0.5, 2,
        ratio&lt;=0.55, 3,
        ratio&lt;=0.6, 4,
        TRUE, 5
    ),
    skor
),0)</f>
        <v>1</v>
      </c>
      <c r="F14" s="18">
        <f t="array" ref="F14">iferror(LET(
    kode, B14,
    oatmilk, XLOOKUP(kode, Oatside!A:A, Oatside!C:C),
    drink, XLOOKUP(kode, Oatside!A:A, Oatside!B:B),
    ratio, oatmilk/drink,
    skor, IFS(
        ratio&gt;5%, 5,
        ratio&gt;=4%, 4,
        ratio&gt;=3%, 3,
        ratio&gt;=2%, 2,
        TRUE, 1
    ),
    skor
),0)</f>
        <v>4</v>
      </c>
      <c r="G14" s="18">
        <f t="array" ref="G14">iferror(LET(
    kode, B14,
    actual, XLOOKUP(kode, 'Snack Platter'!A:A, 'Snack Platter'!C:C),
    target, XLOOKUP(kode, 'Snack Platter'!A:A, 'Snack Platter'!B:B),
    ratio, actual/target,
    skor, IFS(
        ratio&gt;10%, 5,
        ratio&gt;=7.5%, 4,
        ratio&gt;=5%, 3,
        ratio&gt;=2.5%, 2,
        TRUE, 1
    ),
    skor
),0)</f>
        <v>2</v>
      </c>
      <c r="H14" s="18">
        <f t="array" ref="H14">iferror(LET(
    kode, B14,
    actual, XLOOKUP(kode, 'Bundling Asik'!A:A, 'Bundling Asik'!C:C),
    target, XLOOKUP(kode, 'Bundling Asik'!A:A, 'Bundling Asik'!B:B),
    ratio, actual/target,
    skor, IFS(
        ratio&gt;5%, 5,
        ratio&gt;=4%, 4,
        ratio&gt;=3%, 3,
        ratio&gt;=2%, 2,
        TRUE, 1
    ),
    skor
),0)</f>
        <v>1</v>
      </c>
      <c r="I14" s="18">
        <f t="array" ref="I14">iferror(LET(
    kode, B14,
    ratio, XLOOKUP(kode, Audit!A:A, Audit!B:B),
    skor, IFS(
        ratio&gt;90, 5,
        ratio&gt;=85, 4,
        ratio&gt;=80, 3,
        ratio&gt;=75, 2,
        TRUE, 1
    ),
    skor
),0)</f>
        <v>3</v>
      </c>
      <c r="J14" s="18">
        <f t="array" ref="J14">iferror(LET(
    kode, B14,
    ratio, XLOOKUP(kode, 'Mistery Shopper'!A:A, 'Mistery Shopper'!B:B),
    skor, IFS(
        ratio&gt;90%, 5,
        ratio&gt;=85%, 4,
        ratio&gt;=80%, 3,
        ratio&gt;=75%, 2,
        TRUE, 1
    ),
    skor
),0)</f>
        <v>5</v>
      </c>
      <c r="K14" s="18">
        <f t="array" ref="K14">iferror(LET(
    kode, B14,
    actual, XLOOKUP(kode, Complain!A:A, Complain!C:C),
    target, XLOOKUP(kode, Complain!A:A, Complain!B:B),
    ratio, actual/target,
    skor, IFS(
        ratio&gt;=0.16%, 1,
        ratio&gt;=0.15%, 2,
        ratio&gt;=0.125%, 3,
        ratio&gt;=0.1%, 4,
        TRUE, 5
    ),
    skor
),0)</f>
        <v>5</v>
      </c>
      <c r="L14" s="19">
        <f t="shared" si="1"/>
        <v>0.56</v>
      </c>
    </row>
    <row r="15">
      <c r="A15" s="20" t="s">
        <v>108</v>
      </c>
      <c r="B15" s="18" t="s">
        <v>127</v>
      </c>
      <c r="C15" s="18">
        <f t="array" ref="C15">iferror(LET(
    kode, B15,
    actual, XLOOKUP(kode, Sales!A:A, Sales!C:C),
    target, XLOOKUP(kode, Sales!A:A, Sales!B:B),
    ratio, actual/target,
    skor, IFS(
        ratio&gt;1, 5,
        ratio&gt;=0.975, 4,
        ratio&gt;=0.95, 3,
        ratio&gt;=0.9, 2,
        TRUE, 1
    ),
    skor
),0)</f>
        <v>2</v>
      </c>
      <c r="D15" s="18">
        <f t="array" ref="D15">iferror(LET(
    kode, B15,
    actual, XLOOKUP(kode, AVG!A:A, AVG!C:C),
    target, XLOOKUP(kode, AVG!A:A, AVG!B:B),
    ratio, actual/target,
    skor, IFS(
        ratio&gt;1, 5,
        ratio&gt;=0.975, 4,
        ratio&gt;=0.95, 3,
        ratio&gt;=0.9, 2,
        TRUE, 1
    ),
    skor
),0)</f>
        <v>2</v>
      </c>
      <c r="E15" s="18">
        <f t="array" ref="E15">iferror(LET(
    kode, B15,
    large, XLOOKUP(kode, Large!A:A, Large!C:C),
    small, XLOOKUP(kode, Large!A:A, Large!B:B),
    ratio, large/(large+small),
    skor, IFS(
        ratio&lt;0.45, 1,
        ratio&lt;=0.5, 2,
        ratio&lt;=0.55, 3,
        ratio&lt;=0.6, 4,
        TRUE, 5
    ),
    skor
),0)</f>
        <v>1</v>
      </c>
      <c r="F15" s="18">
        <f t="array" ref="F15">iferror(LET(
    kode, B15,
    oatmilk, XLOOKUP(kode, Oatside!A:A, Oatside!C:C),
    drink, XLOOKUP(kode, Oatside!A:A, Oatside!B:B),
    ratio, oatmilk/drink,
    skor, IFS(
        ratio&gt;5%, 5,
        ratio&gt;=4%, 4,
        ratio&gt;=3%, 3,
        ratio&gt;=2%, 2,
        TRUE, 1
    ),
    skor
),0)</f>
        <v>5</v>
      </c>
      <c r="G15" s="18">
        <f t="array" ref="G15">iferror(LET(
    kode, B15,
    actual, XLOOKUP(kode, 'Snack Platter'!A:A, 'Snack Platter'!C:C),
    target, XLOOKUP(kode, 'Snack Platter'!A:A, 'Snack Platter'!B:B),
    ratio, actual/target,
    skor, IFS(
        ratio&gt;10%, 5,
        ratio&gt;=7.5%, 4,
        ratio&gt;=5%, 3,
        ratio&gt;=2.5%, 2,
        TRUE, 1
    ),
    skor
),0)</f>
        <v>2</v>
      </c>
      <c r="H15" s="18">
        <f t="array" ref="H15">iferror(LET(
    kode, B15,
    actual, XLOOKUP(kode, 'Bundling Asik'!A:A, 'Bundling Asik'!C:C),
    target, XLOOKUP(kode, 'Bundling Asik'!A:A, 'Bundling Asik'!B:B),
    ratio, actual/target,
    skor, IFS(
        ratio&gt;5%, 5,
        ratio&gt;=4%, 4,
        ratio&gt;=3%, 3,
        ratio&gt;=2%, 2,
        TRUE, 1
    ),
    skor
),0)</f>
        <v>1</v>
      </c>
      <c r="I15" s="18">
        <f t="array" ref="I15">iferror(LET(
    kode, B15,
    ratio, XLOOKUP(kode, Audit!A:A, Audit!B:B),
    skor, IFS(
        ratio&gt;90, 5,
        ratio&gt;=85, 4,
        ratio&gt;=80, 3,
        ratio&gt;=75, 2,
        TRUE, 1
    ),
    skor
),0)</f>
        <v>4</v>
      </c>
      <c r="J15" s="18">
        <f t="array" ref="J15">iferror(LET(
    kode, B15,
    ratio, XLOOKUP(kode, 'Mistery Shopper'!A:A, 'Mistery Shopper'!B:B),
    skor, IFS(
        ratio&gt;90%, 5,
        ratio&gt;=85%, 4,
        ratio&gt;=80%, 3,
        ratio&gt;=75%, 2,
        TRUE, 1
    ),
    skor
),0)</f>
        <v>5</v>
      </c>
      <c r="K15" s="18">
        <f t="array" ref="K15">iferror(LET(
    kode, B15,
    actual, XLOOKUP(kode, Complain!A:A, Complain!C:C),
    target, XLOOKUP(kode, Complain!A:A, Complain!B:B),
    ratio, actual/target,
    skor, IFS(
        ratio&gt;=0.16%, 1,
        ratio&gt;=0.15%, 2,
        ratio&gt;=0.125%, 3,
        ratio&gt;=0.1%, 4,
        TRUE, 5
    ),
    skor
),0)</f>
        <v>5</v>
      </c>
      <c r="L15" s="19">
        <f t="shared" si="1"/>
        <v>0.56</v>
      </c>
    </row>
    <row r="16">
      <c r="A16" s="20" t="s">
        <v>110</v>
      </c>
      <c r="B16" s="18" t="s">
        <v>128</v>
      </c>
      <c r="C16" s="18">
        <f t="array" ref="C16">iferror(LET(
    kode, B16,
    actual, XLOOKUP(kode, Sales!A:A, Sales!C:C),
    target, XLOOKUP(kode, Sales!A:A, Sales!B:B),
    ratio, actual/target,
    skor, IFS(
        ratio&gt;1, 5,
        ratio&gt;=0.975, 4,
        ratio&gt;=0.95, 3,
        ratio&gt;=0.9, 2,
        TRUE, 1
    ),
    skor
),0)</f>
        <v>1</v>
      </c>
      <c r="D16" s="18">
        <f t="array" ref="D16">iferror(LET(
    kode, B16,
    actual, XLOOKUP(kode, AVG!A:A, AVG!C:C),
    target, XLOOKUP(kode, AVG!A:A, AVG!B:B),
    ratio, actual/target,
    skor, IFS(
        ratio&gt;1, 5,
        ratio&gt;=0.975, 4,
        ratio&gt;=0.95, 3,
        ratio&gt;=0.9, 2,
        TRUE, 1
    ),
    skor
),0)</f>
        <v>5</v>
      </c>
      <c r="E16" s="18">
        <f t="array" ref="E16">iferror(LET(
    kode, B16,
    large, XLOOKUP(kode, Large!A:A, Large!C:C),
    small, XLOOKUP(kode, Large!A:A, Large!B:B),
    ratio, large/(large+small),
    skor, IFS(
        ratio&lt;0.45, 1,
        ratio&lt;=0.5, 2,
        ratio&lt;=0.55, 3,
        ratio&lt;=0.6, 4,
        TRUE, 5
    ),
    skor
),0)</f>
        <v>1</v>
      </c>
      <c r="F16" s="18">
        <f t="array" ref="F16">iferror(LET(
    kode, B16,
    oatmilk, XLOOKUP(kode, Oatside!A:A, Oatside!C:C),
    drink, XLOOKUP(kode, Oatside!A:A, Oatside!B:B),
    ratio, oatmilk/drink,
    skor, IFS(
        ratio&gt;5%, 5,
        ratio&gt;=4%, 4,
        ratio&gt;=3%, 3,
        ratio&gt;=2%, 2,
        TRUE, 1
    ),
    skor
),0)</f>
        <v>5</v>
      </c>
      <c r="G16" s="18">
        <f t="array" ref="G16">iferror(LET(
    kode, B16,
    actual, XLOOKUP(kode, 'Snack Platter'!A:A, 'Snack Platter'!C:C),
    target, XLOOKUP(kode, 'Snack Platter'!A:A, 'Snack Platter'!B:B),
    ratio, actual/target,
    skor, IFS(
        ratio&gt;10%, 5,
        ratio&gt;=7.5%, 4,
        ratio&gt;=5%, 3,
        ratio&gt;=2.5%, 2,
        TRUE, 1
    ),
    skor
),0)</f>
        <v>2</v>
      </c>
      <c r="H16" s="18">
        <f t="array" ref="H16">iferror(LET(
    kode, B16,
    actual, XLOOKUP(kode, 'Bundling Asik'!A:A, 'Bundling Asik'!C:C),
    target, XLOOKUP(kode, 'Bundling Asik'!A:A, 'Bundling Asik'!B:B),
    ratio, actual/target,
    skor, IFS(
        ratio&gt;5%, 5,
        ratio&gt;=4%, 4,
        ratio&gt;=3%, 3,
        ratio&gt;=2%, 2,
        TRUE, 1
    ),
    skor
),0)</f>
        <v>2</v>
      </c>
      <c r="I16" s="18">
        <f t="array" ref="I16">iferror(LET(
    kode, B16,
    ratio, XLOOKUP(kode, Audit!A:A, Audit!B:B),
    skor, IFS(
        ratio&gt;90, 5,
        ratio&gt;=85, 4,
        ratio&gt;=80, 3,
        ratio&gt;=75, 2,
        TRUE, 1
    ),
    skor
),0)</f>
        <v>4</v>
      </c>
      <c r="J16" s="18">
        <f t="array" ref="J16">iferror(LET(
    kode, B16,
    ratio, XLOOKUP(kode, 'Mistery Shopper'!A:A, 'Mistery Shopper'!B:B),
    skor, IFS(
        ratio&gt;90%, 5,
        ratio&gt;=85%, 4,
        ratio&gt;=80%, 3,
        ratio&gt;=75%, 2,
        TRUE, 1
    ),
    skor
),0)</f>
        <v>5</v>
      </c>
      <c r="K16" s="18">
        <f t="array" ref="K16">iferror(LET(
    kode, B16,
    actual, XLOOKUP(kode, Complain!A:A, Complain!C:C),
    target, XLOOKUP(kode, Complain!A:A, Complain!B:B),
    ratio, actual/target,
    skor, IFS(
        ratio&gt;=0.16%, 1,
        ratio&gt;=0.15%, 2,
        ratio&gt;=0.125%, 3,
        ratio&gt;=0.1%, 4,
        TRUE, 5
    ),
    skor
),0)</f>
        <v>5</v>
      </c>
      <c r="L16" s="19">
        <f t="shared" si="1"/>
        <v>0.55</v>
      </c>
    </row>
    <row r="17">
      <c r="A17" s="20" t="s">
        <v>115</v>
      </c>
      <c r="B17" s="18" t="s">
        <v>129</v>
      </c>
      <c r="C17" s="18">
        <f t="array" ref="C17">iferror(LET(
    kode, B17,
    actual, XLOOKUP(kode, Sales!A:A, Sales!C:C),
    target, XLOOKUP(kode, Sales!A:A, Sales!B:B),
    ratio, actual/target,
    skor, IFS(
        ratio&gt;1, 5,
        ratio&gt;=0.975, 4,
        ratio&gt;=0.95, 3,
        ratio&gt;=0.9, 2,
        TRUE, 1
    ),
    skor
),0)</f>
        <v>1</v>
      </c>
      <c r="D17" s="18">
        <f t="array" ref="D17">iferror(LET(
    kode, B17,
    actual, XLOOKUP(kode, AVG!A:A, AVG!C:C),
    target, XLOOKUP(kode, AVG!A:A, AVG!B:B),
    ratio, actual/target,
    skor, IFS(
        ratio&gt;1, 5,
        ratio&gt;=0.975, 4,
        ratio&gt;=0.95, 3,
        ratio&gt;=0.9, 2,
        TRUE, 1
    ),
    skor
),0)</f>
        <v>5</v>
      </c>
      <c r="E17" s="18">
        <f t="array" ref="E17">iferror(LET(
    kode, B17,
    large, XLOOKUP(kode, Large!A:A, Large!C:C),
    small, XLOOKUP(kode, Large!A:A, Large!B:B),
    ratio, large/(large+small),
    skor, IFS(
        ratio&lt;0.45, 1,
        ratio&lt;=0.5, 2,
        ratio&lt;=0.55, 3,
        ratio&lt;=0.6, 4,
        TRUE, 5
    ),
    skor
),0)</f>
        <v>2</v>
      </c>
      <c r="F17" s="18">
        <f t="array" ref="F17">iferror(LET(
    kode, B17,
    oatmilk, XLOOKUP(kode, Oatside!A:A, Oatside!C:C),
    drink, XLOOKUP(kode, Oatside!A:A, Oatside!B:B),
    ratio, oatmilk/drink,
    skor, IFS(
        ratio&gt;5%, 5,
        ratio&gt;=4%, 4,
        ratio&gt;=3%, 3,
        ratio&gt;=2%, 2,
        TRUE, 1
    ),
    skor
),0)</f>
        <v>5</v>
      </c>
      <c r="G17" s="18">
        <f t="array" ref="G17">iferror(LET(
    kode, B17,
    actual, XLOOKUP(kode, 'Snack Platter'!A:A, 'Snack Platter'!C:C),
    target, XLOOKUP(kode, 'Snack Platter'!A:A, 'Snack Platter'!B:B),
    ratio, actual/target,
    skor, IFS(
        ratio&gt;10%, 5,
        ratio&gt;=7.5%, 4,
        ratio&gt;=5%, 3,
        ratio&gt;=2.5%, 2,
        TRUE, 1
    ),
    skor
),0)</f>
        <v>2</v>
      </c>
      <c r="H17" s="18">
        <f t="array" ref="H17">iferror(LET(
    kode, B17,
    actual, XLOOKUP(kode, 'Bundling Asik'!A:A, 'Bundling Asik'!C:C),
    target, XLOOKUP(kode, 'Bundling Asik'!A:A, 'Bundling Asik'!B:B),
    ratio, actual/target,
    skor, IFS(
        ratio&gt;5%, 5,
        ratio&gt;=4%, 4,
        ratio&gt;=3%, 3,
        ratio&gt;=2%, 2,
        TRUE, 1
    ),
    skor
),0)</f>
        <v>1</v>
      </c>
      <c r="I17" s="18">
        <f t="array" ref="I17">iferror(LET(
    kode, B17,
    ratio, XLOOKUP(kode, Audit!A:A, Audit!B:B),
    skor, IFS(
        ratio&gt;90, 5,
        ratio&gt;=85, 4,
        ratio&gt;=80, 3,
        ratio&gt;=75, 2,
        TRUE, 1
    ),
    skor
),0)</f>
        <v>4</v>
      </c>
      <c r="J17" s="18">
        <f t="array" ref="J17">iferror(LET(
    kode, B17,
    ratio, XLOOKUP(kode, 'Mistery Shopper'!A:A, 'Mistery Shopper'!B:B),
    skor, IFS(
        ratio&gt;90%, 5,
        ratio&gt;=85%, 4,
        ratio&gt;=80%, 3,
        ratio&gt;=75%, 2,
        TRUE, 1
    ),
    skor
),0)</f>
        <v>5</v>
      </c>
      <c r="K17" s="18">
        <f t="array" ref="K17">iferror(LET(
    kode, B17,
    actual, XLOOKUP(kode, Complain!A:A, Complain!C:C),
    target, XLOOKUP(kode, Complain!A:A, Complain!B:B),
    ratio, actual/target,
    skor, IFS(
        ratio&gt;=0.16%, 1,
        ratio&gt;=0.15%, 2,
        ratio&gt;=0.125%, 3,
        ratio&gt;=0.1%, 4,
        TRUE, 5
    ),
    skor
),0)</f>
        <v>4</v>
      </c>
      <c r="L17" s="19">
        <f t="shared" si="1"/>
        <v>0.53</v>
      </c>
    </row>
    <row r="18">
      <c r="A18" s="20" t="s">
        <v>108</v>
      </c>
      <c r="B18" s="18" t="s">
        <v>130</v>
      </c>
      <c r="C18" s="18">
        <f t="array" ref="C18">iferror(LET(
    kode, B18,
    actual, XLOOKUP(kode, Sales!A:A, Sales!C:C),
    target, XLOOKUP(kode, Sales!A:A, Sales!B:B),
    ratio, actual/target,
    skor, IFS(
        ratio&gt;1, 5,
        ratio&gt;=0.975, 4,
        ratio&gt;=0.95, 3,
        ratio&gt;=0.9, 2,
        TRUE, 1
    ),
    skor
),0)</f>
        <v>2</v>
      </c>
      <c r="D18" s="18">
        <f t="array" ref="D18">iferror(LET(
    kode, B18,
    actual, XLOOKUP(kode, AVG!A:A, AVG!C:C),
    target, XLOOKUP(kode, AVG!A:A, AVG!B:B),
    ratio, actual/target,
    skor, IFS(
        ratio&gt;1, 5,
        ratio&gt;=0.975, 4,
        ratio&gt;=0.95, 3,
        ratio&gt;=0.9, 2,
        TRUE, 1
    ),
    skor
),0)</f>
        <v>2</v>
      </c>
      <c r="E18" s="18">
        <f t="array" ref="E18">iferror(LET(
    kode, B18,
    large, XLOOKUP(kode, Large!A:A, Large!C:C),
    small, XLOOKUP(kode, Large!A:A, Large!B:B),
    ratio, large/(large+small),
    skor, IFS(
        ratio&lt;0.45, 1,
        ratio&lt;=0.5, 2,
        ratio&lt;=0.55, 3,
        ratio&lt;=0.6, 4,
        TRUE, 5
    ),
    skor
),0)</f>
        <v>1</v>
      </c>
      <c r="F18" s="18">
        <f t="array" ref="F18">iferror(LET(
    kode, B18,
    oatmilk, XLOOKUP(kode, Oatside!A:A, Oatside!C:C),
    drink, XLOOKUP(kode, Oatside!A:A, Oatside!B:B),
    ratio, oatmilk/drink,
    skor, IFS(
        ratio&gt;5%, 5,
        ratio&gt;=4%, 4,
        ratio&gt;=3%, 3,
        ratio&gt;=2%, 2,
        TRUE, 1
    ),
    skor
),0)</f>
        <v>3</v>
      </c>
      <c r="G18" s="18">
        <f t="array" ref="G18">iferror(LET(
    kode, B18,
    actual, XLOOKUP(kode, 'Snack Platter'!A:A, 'Snack Platter'!C:C),
    target, XLOOKUP(kode, 'Snack Platter'!A:A, 'Snack Platter'!B:B),
    ratio, actual/target,
    skor, IFS(
        ratio&gt;10%, 5,
        ratio&gt;=7.5%, 4,
        ratio&gt;=5%, 3,
        ratio&gt;=2.5%, 2,
        TRUE, 1
    ),
    skor
),0)</f>
        <v>2</v>
      </c>
      <c r="H18" s="18">
        <f t="array" ref="H18">iferror(LET(
    kode, B18,
    actual, XLOOKUP(kode, 'Bundling Asik'!A:A, 'Bundling Asik'!C:C),
    target, XLOOKUP(kode, 'Bundling Asik'!A:A, 'Bundling Asik'!B:B),
    ratio, actual/target,
    skor, IFS(
        ratio&gt;5%, 5,
        ratio&gt;=4%, 4,
        ratio&gt;=3%, 3,
        ratio&gt;=2%, 2,
        TRUE, 1
    ),
    skor
),0)</f>
        <v>2</v>
      </c>
      <c r="I18" s="18">
        <f t="array" ref="I18">iferror(LET(
    kode, B18,
    ratio, XLOOKUP(kode, Audit!A:A, Audit!B:B),
    skor, IFS(
        ratio&gt;90, 5,
        ratio&gt;=85, 4,
        ratio&gt;=80, 3,
        ratio&gt;=75, 2,
        TRUE, 1
    ),
    skor
),0)</f>
        <v>3</v>
      </c>
      <c r="J18" s="18">
        <f t="array" ref="J18">iferror(LET(
    kode, B18,
    ratio, XLOOKUP(kode, 'Mistery Shopper'!A:A, 'Mistery Shopper'!B:B),
    skor, IFS(
        ratio&gt;90%, 5,
        ratio&gt;=85%, 4,
        ratio&gt;=80%, 3,
        ratio&gt;=75%, 2,
        TRUE, 1
    ),
    skor
),0)</f>
        <v>5</v>
      </c>
      <c r="K18" s="18">
        <f t="array" ref="K18">iferror(LET(
    kode, B18,
    actual, XLOOKUP(kode, Complain!A:A, Complain!C:C),
    target, XLOOKUP(kode, Complain!A:A, Complain!B:B),
    ratio, actual/target,
    skor, IFS(
        ratio&gt;=0.16%, 1,
        ratio&gt;=0.15%, 2,
        ratio&gt;=0.125%, 3,
        ratio&gt;=0.1%, 4,
        TRUE, 5
    ),
    skor
),0)</f>
        <v>5</v>
      </c>
      <c r="L18" s="19">
        <f t="shared" si="1"/>
        <v>0.52</v>
      </c>
    </row>
    <row r="19">
      <c r="A19" s="20" t="s">
        <v>110</v>
      </c>
      <c r="B19" s="18" t="s">
        <v>131</v>
      </c>
      <c r="C19" s="18">
        <f t="array" ref="C19">iferror(LET(
    kode, B19,
    actual, XLOOKUP(kode, Sales!A:A, Sales!C:C),
    target, XLOOKUP(kode, Sales!A:A, Sales!B:B),
    ratio, actual/target,
    skor, IFS(
        ratio&gt;1, 5,
        ratio&gt;=0.975, 4,
        ratio&gt;=0.95, 3,
        ratio&gt;=0.9, 2,
        TRUE, 1
    ),
    skor
),0)</f>
        <v>2</v>
      </c>
      <c r="D19" s="18">
        <f t="array" ref="D19">iferror(LET(
    kode, B19,
    actual, XLOOKUP(kode, AVG!A:A, AVG!C:C),
    target, XLOOKUP(kode, AVG!A:A, AVG!B:B),
    ratio, actual/target,
    skor, IFS(
        ratio&gt;1, 5,
        ratio&gt;=0.975, 4,
        ratio&gt;=0.95, 3,
        ratio&gt;=0.9, 2,
        TRUE, 1
    ),
    skor
),0)</f>
        <v>5</v>
      </c>
      <c r="E19" s="18">
        <f t="array" ref="E19">iferror(LET(
    kode, B19,
    large, XLOOKUP(kode, Large!A:A, Large!C:C),
    small, XLOOKUP(kode, Large!A:A, Large!B:B),
    ratio, large/(large+small),
    skor, IFS(
        ratio&lt;0.45, 1,
        ratio&lt;=0.5, 2,
        ratio&lt;=0.55, 3,
        ratio&lt;=0.6, 4,
        TRUE, 5
    ),
    skor
),0)</f>
        <v>1</v>
      </c>
      <c r="F19" s="18">
        <f t="array" ref="F19">iferror(LET(
    kode, B19,
    oatmilk, XLOOKUP(kode, Oatside!A:A, Oatside!C:C),
    drink, XLOOKUP(kode, Oatside!A:A, Oatside!B:B),
    ratio, oatmilk/drink,
    skor, IFS(
        ratio&gt;5%, 5,
        ratio&gt;=4%, 4,
        ratio&gt;=3%, 3,
        ratio&gt;=2%, 2,
        TRUE, 1
    ),
    skor
),0)</f>
        <v>5</v>
      </c>
      <c r="G19" s="18">
        <f t="array" ref="G19">iferror(LET(
    kode, B19,
    actual, XLOOKUP(kode, 'Snack Platter'!A:A, 'Snack Platter'!C:C),
    target, XLOOKUP(kode, 'Snack Platter'!A:A, 'Snack Platter'!B:B),
    ratio, actual/target,
    skor, IFS(
        ratio&gt;10%, 5,
        ratio&gt;=7.5%, 4,
        ratio&gt;=5%, 3,
        ratio&gt;=2.5%, 2,
        TRUE, 1
    ),
    skor
),0)</f>
        <v>1</v>
      </c>
      <c r="H19" s="18">
        <f t="array" ref="H19">iferror(LET(
    kode, B19,
    actual, XLOOKUP(kode, 'Bundling Asik'!A:A, 'Bundling Asik'!C:C),
    target, XLOOKUP(kode, 'Bundling Asik'!A:A, 'Bundling Asik'!B:B),
    ratio, actual/target,
    skor, IFS(
        ratio&gt;5%, 5,
        ratio&gt;=4%, 4,
        ratio&gt;=3%, 3,
        ratio&gt;=2%, 2,
        TRUE, 1
    ),
    skor
),0)</f>
        <v>1</v>
      </c>
      <c r="I19" s="18">
        <f t="array" ref="I19">iferror(LET(
    kode, B19,
    ratio, XLOOKUP(kode, Audit!A:A, Audit!B:B),
    skor, IFS(
        ratio&gt;90, 5,
        ratio&gt;=85, 4,
        ratio&gt;=80, 3,
        ratio&gt;=75, 2,
        TRUE, 1
    ),
    skor
),0)</f>
        <v>1</v>
      </c>
      <c r="J19" s="18">
        <f t="array" ref="J19">iferror(LET(
    kode, B19,
    ratio, XLOOKUP(kode, 'Mistery Shopper'!A:A, 'Mistery Shopper'!B:B),
    skor, IFS(
        ratio&gt;90%, 5,
        ratio&gt;=85%, 4,
        ratio&gt;=80%, 3,
        ratio&gt;=75%, 2,
        TRUE, 1
    ),
    skor
),0)</f>
        <v>5</v>
      </c>
      <c r="K19" s="18">
        <f t="array" ref="K19">iferror(LET(
    kode, B19,
    actual, XLOOKUP(kode, Complain!A:A, Complain!C:C),
    target, XLOOKUP(kode, Complain!A:A, Complain!B:B),
    ratio, actual/target,
    skor, IFS(
        ratio&gt;=0.16%, 1,
        ratio&gt;=0.15%, 2,
        ratio&gt;=0.125%, 3,
        ratio&gt;=0.1%, 4,
        TRUE, 5
    ),
    skor
),0)</f>
        <v>5</v>
      </c>
      <c r="L19" s="19">
        <f t="shared" si="1"/>
        <v>0.52</v>
      </c>
    </row>
    <row r="20">
      <c r="A20" s="20" t="s">
        <v>115</v>
      </c>
      <c r="B20" s="18" t="s">
        <v>132</v>
      </c>
      <c r="C20" s="18">
        <f t="array" ref="C20">iferror(LET(
    kode, B20,
    actual, XLOOKUP(kode, Sales!A:A, Sales!C:C),
    target, XLOOKUP(kode, Sales!A:A, Sales!B:B),
    ratio, actual/target,
    skor, IFS(
        ratio&gt;1, 5,
        ratio&gt;=0.975, 4,
        ratio&gt;=0.95, 3,
        ratio&gt;=0.9, 2,
        TRUE, 1
    ),
    skor
),0)</f>
        <v>2</v>
      </c>
      <c r="D20" s="18">
        <f t="array" ref="D20">iferror(LET(
    kode, B20,
    actual, XLOOKUP(kode, AVG!A:A, AVG!C:C),
    target, XLOOKUP(kode, AVG!A:A, AVG!B:B),
    ratio, actual/target,
    skor, IFS(
        ratio&gt;1, 5,
        ratio&gt;=0.975, 4,
        ratio&gt;=0.95, 3,
        ratio&gt;=0.9, 2,
        TRUE, 1
    ),
    skor
),0)</f>
        <v>5</v>
      </c>
      <c r="E20" s="18">
        <f t="array" ref="E20">iferror(LET(
    kode, B20,
    large, XLOOKUP(kode, Large!A:A, Large!C:C),
    small, XLOOKUP(kode, Large!A:A, Large!B:B),
    ratio, large/(large+small),
    skor, IFS(
        ratio&lt;0.45, 1,
        ratio&lt;=0.5, 2,
        ratio&lt;=0.55, 3,
        ratio&lt;=0.6, 4,
        TRUE, 5
    ),
    skor
),0)</f>
        <v>1</v>
      </c>
      <c r="F20" s="18">
        <f t="array" ref="F20">iferror(LET(
    kode, B20,
    oatmilk, XLOOKUP(kode, Oatside!A:A, Oatside!C:C),
    drink, XLOOKUP(kode, Oatside!A:A, Oatside!B:B),
    ratio, oatmilk/drink,
    skor, IFS(
        ratio&gt;5%, 5,
        ratio&gt;=4%, 4,
        ratio&gt;=3%, 3,
        ratio&gt;=2%, 2,
        TRUE, 1
    ),
    skor
),0)</f>
        <v>1</v>
      </c>
      <c r="G20" s="18">
        <f t="array" ref="G20">iferror(LET(
    kode, B20,
    actual, XLOOKUP(kode, 'Snack Platter'!A:A, 'Snack Platter'!C:C),
    target, XLOOKUP(kode, 'Snack Platter'!A:A, 'Snack Platter'!B:B),
    ratio, actual/target,
    skor, IFS(
        ratio&gt;10%, 5,
        ratio&gt;=7.5%, 4,
        ratio&gt;=5%, 3,
        ratio&gt;=2.5%, 2,
        TRUE, 1
    ),
    skor
),0)</f>
        <v>1</v>
      </c>
      <c r="H20" s="18">
        <f t="array" ref="H20">iferror(LET(
    kode, B20,
    actual, XLOOKUP(kode, 'Bundling Asik'!A:A, 'Bundling Asik'!C:C),
    target, XLOOKUP(kode, 'Bundling Asik'!A:A, 'Bundling Asik'!B:B),
    ratio, actual/target,
    skor, IFS(
        ratio&gt;5%, 5,
        ratio&gt;=4%, 4,
        ratio&gt;=3%, 3,
        ratio&gt;=2%, 2,
        TRUE, 1
    ),
    skor
),0)</f>
        <v>2</v>
      </c>
      <c r="I20" s="18">
        <f t="array" ref="I20">iferror(LET(
    kode, B20,
    ratio, XLOOKUP(kode, Audit!A:A, Audit!B:B),
    skor, IFS(
        ratio&gt;90, 5,
        ratio&gt;=85, 4,
        ratio&gt;=80, 3,
        ratio&gt;=75, 2,
        TRUE, 1
    ),
    skor
),0)</f>
        <v>1</v>
      </c>
      <c r="J20" s="18">
        <f t="array" ref="J20">iferror(LET(
    kode, B20,
    ratio, XLOOKUP(kode, 'Mistery Shopper'!A:A, 'Mistery Shopper'!B:B),
    skor, IFS(
        ratio&gt;90%, 5,
        ratio&gt;=85%, 4,
        ratio&gt;=80%, 3,
        ratio&gt;=75%, 2,
        TRUE, 1
    ),
    skor
),0)</f>
        <v>5</v>
      </c>
      <c r="K20" s="18">
        <f t="array" ref="K20">iferror(LET(
    kode, B20,
    actual, XLOOKUP(kode, Complain!A:A, Complain!C:C),
    target, XLOOKUP(kode, Complain!A:A, Complain!B:B),
    ratio, actual/target,
    skor, IFS(
        ratio&gt;=0.16%, 1,
        ratio&gt;=0.15%, 2,
        ratio&gt;=0.125%, 3,
        ratio&gt;=0.1%, 4,
        TRUE, 5
    ),
    skor
),0)</f>
        <v>5</v>
      </c>
      <c r="L20" s="19">
        <f t="shared" si="1"/>
        <v>0.49</v>
      </c>
    </row>
    <row r="21">
      <c r="A21" s="20" t="s">
        <v>117</v>
      </c>
      <c r="B21" s="18" t="s">
        <v>133</v>
      </c>
      <c r="C21" s="18">
        <f t="array" ref="C21">iferror(LET(
    kode, B21,
    actual, XLOOKUP(kode, Sales!A:A, Sales!C:C),
    target, XLOOKUP(kode, Sales!A:A, Sales!B:B),
    ratio, actual/target,
    skor, IFS(
        ratio&gt;1, 5,
        ratio&gt;=0.975, 4,
        ratio&gt;=0.95, 3,
        ratio&gt;=0.9, 2,
        TRUE, 1
    ),
    skor
),0)</f>
        <v>1</v>
      </c>
      <c r="D21" s="18">
        <f t="array" ref="D21">iferror(LET(
    kode, B21,
    actual, XLOOKUP(kode, AVG!A:A, AVG!C:C),
    target, XLOOKUP(kode, AVG!A:A, AVG!B:B),
    ratio, actual/target,
    skor, IFS(
        ratio&gt;1, 5,
        ratio&gt;=0.975, 4,
        ratio&gt;=0.95, 3,
        ratio&gt;=0.9, 2,
        TRUE, 1
    ),
    skor
),0)</f>
        <v>2</v>
      </c>
      <c r="E21" s="18">
        <f t="array" ref="E21">iferror(LET(
    kode, B21,
    large, XLOOKUP(kode, Large!A:A, Large!C:C),
    small, XLOOKUP(kode, Large!A:A, Large!B:B),
    ratio, large/(large+small),
    skor, IFS(
        ratio&lt;0.45, 1,
        ratio&lt;=0.5, 2,
        ratio&lt;=0.55, 3,
        ratio&lt;=0.6, 4,
        TRUE, 5
    ),
    skor
),0)</f>
        <v>1</v>
      </c>
      <c r="F21" s="18">
        <f t="array" ref="F21">iferror(LET(
    kode, B21,
    oatmilk, XLOOKUP(kode, Oatside!A:A, Oatside!C:C),
    drink, XLOOKUP(kode, Oatside!A:A, Oatside!B:B),
    ratio, oatmilk/drink,
    skor, IFS(
        ratio&gt;5%, 5,
        ratio&gt;=4%, 4,
        ratio&gt;=3%, 3,
        ratio&gt;=2%, 2,
        TRUE, 1
    ),
    skor
),0)</f>
        <v>3</v>
      </c>
      <c r="G21" s="18">
        <f t="array" ref="G21">iferror(LET(
    kode, B21,
    actual, XLOOKUP(kode, 'Snack Platter'!A:A, 'Snack Platter'!C:C),
    target, XLOOKUP(kode, 'Snack Platter'!A:A, 'Snack Platter'!B:B),
    ratio, actual/target,
    skor, IFS(
        ratio&gt;10%, 5,
        ratio&gt;=7.5%, 4,
        ratio&gt;=5%, 3,
        ratio&gt;=2.5%, 2,
        TRUE, 1
    ),
    skor
),0)</f>
        <v>2</v>
      </c>
      <c r="H21" s="18">
        <f t="array" ref="H21">iferror(LET(
    kode, B21,
    actual, XLOOKUP(kode, 'Bundling Asik'!A:A, 'Bundling Asik'!C:C),
    target, XLOOKUP(kode, 'Bundling Asik'!A:A, 'Bundling Asik'!B:B),
    ratio, actual/target,
    skor, IFS(
        ratio&gt;5%, 5,
        ratio&gt;=4%, 4,
        ratio&gt;=3%, 3,
        ratio&gt;=2%, 2,
        TRUE, 1
    ),
    skor
),0)</f>
        <v>2</v>
      </c>
      <c r="I21" s="18">
        <f t="array" ref="I21">iferror(LET(
    kode, B21,
    ratio, XLOOKUP(kode, Audit!A:A, Audit!B:B),
    skor, IFS(
        ratio&gt;90, 5,
        ratio&gt;=85, 4,
        ratio&gt;=80, 3,
        ratio&gt;=75, 2,
        TRUE, 1
    ),
    skor
),0)</f>
        <v>4</v>
      </c>
      <c r="J21" s="18">
        <f t="array" ref="J21">iferror(LET(
    kode, B21,
    ratio, XLOOKUP(kode, 'Mistery Shopper'!A:A, 'Mistery Shopper'!B:B),
    skor, IFS(
        ratio&gt;90%, 5,
        ratio&gt;=85%, 4,
        ratio&gt;=80%, 3,
        ratio&gt;=75%, 2,
        TRUE, 1
    ),
    skor
),0)</f>
        <v>5</v>
      </c>
      <c r="K21" s="18">
        <f t="array" ref="K21">iferror(LET(
    kode, B21,
    actual, XLOOKUP(kode, Complain!A:A, Complain!C:C),
    target, XLOOKUP(kode, Complain!A:A, Complain!B:B),
    ratio, actual/target,
    skor, IFS(
        ratio&gt;=0.16%, 1,
        ratio&gt;=0.15%, 2,
        ratio&gt;=0.125%, 3,
        ratio&gt;=0.1%, 4,
        TRUE, 5
    ),
    skor
),0)</f>
        <v>5</v>
      </c>
      <c r="L21" s="19">
        <f t="shared" si="1"/>
        <v>0.47</v>
      </c>
    </row>
    <row r="22">
      <c r="A22" s="20" t="s">
        <v>117</v>
      </c>
      <c r="B22" s="18" t="s">
        <v>134</v>
      </c>
      <c r="C22" s="18">
        <f t="array" ref="C22">iferror(LET(
    kode, B22,
    actual, XLOOKUP(kode, Sales!A:A, Sales!C:C),
    target, XLOOKUP(kode, Sales!A:A, Sales!B:B),
    ratio, actual/target,
    skor, IFS(
        ratio&gt;1, 5,
        ratio&gt;=0.975, 4,
        ratio&gt;=0.95, 3,
        ratio&gt;=0.9, 2,
        TRUE, 1
    ),
    skor
),0)</f>
        <v>1</v>
      </c>
      <c r="D22" s="18">
        <f t="array" ref="D22">iferror(LET(
    kode, B22,
    actual, XLOOKUP(kode, AVG!A:A, AVG!C:C),
    target, XLOOKUP(kode, AVG!A:A, AVG!B:B),
    ratio, actual/target,
    skor, IFS(
        ratio&gt;1, 5,
        ratio&gt;=0.975, 4,
        ratio&gt;=0.95, 3,
        ratio&gt;=0.9, 2,
        TRUE, 1
    ),
    skor
),0)</f>
        <v>5</v>
      </c>
      <c r="E22" s="18">
        <f t="array" ref="E22">iferror(LET(
    kode, B22,
    large, XLOOKUP(kode, Large!A:A, Large!C:C),
    small, XLOOKUP(kode, Large!A:A, Large!B:B),
    ratio, large/(large+small),
    skor, IFS(
        ratio&lt;0.45, 1,
        ratio&lt;=0.5, 2,
        ratio&lt;=0.55, 3,
        ratio&lt;=0.6, 4,
        TRUE, 5
    ),
    skor
),0)</f>
        <v>1</v>
      </c>
      <c r="F22" s="18">
        <f t="array" ref="F22">iferror(LET(
    kode, B22,
    oatmilk, XLOOKUP(kode, Oatside!A:A, Oatside!C:C),
    drink, XLOOKUP(kode, Oatside!A:A, Oatside!B:B),
    ratio, oatmilk/drink,
    skor, IFS(
        ratio&gt;5%, 5,
        ratio&gt;=4%, 4,
        ratio&gt;=3%, 3,
        ratio&gt;=2%, 2,
        TRUE, 1
    ),
    skor
),0)</f>
        <v>2</v>
      </c>
      <c r="G22" s="18">
        <f t="array" ref="G22">iferror(LET(
    kode, B22,
    actual, XLOOKUP(kode, 'Snack Platter'!A:A, 'Snack Platter'!C:C),
    target, XLOOKUP(kode, 'Snack Platter'!A:A, 'Snack Platter'!B:B),
    ratio, actual/target,
    skor, IFS(
        ratio&gt;10%, 5,
        ratio&gt;=7.5%, 4,
        ratio&gt;=5%, 3,
        ratio&gt;=2.5%, 2,
        TRUE, 1
    ),
    skor
),0)</f>
        <v>1</v>
      </c>
      <c r="H22" s="18">
        <f t="array" ref="H22">iferror(LET(
    kode, B22,
    actual, XLOOKUP(kode, 'Bundling Asik'!A:A, 'Bundling Asik'!C:C),
    target, XLOOKUP(kode, 'Bundling Asik'!A:A, 'Bundling Asik'!B:B),
    ratio, actual/target,
    skor, IFS(
        ratio&gt;5%, 5,
        ratio&gt;=4%, 4,
        ratio&gt;=3%, 3,
        ratio&gt;=2%, 2,
        TRUE, 1
    ),
    skor
),0)</f>
        <v>1</v>
      </c>
      <c r="I22" s="18">
        <f t="array" ref="I22">iferror(LET(
    kode, B22,
    ratio, XLOOKUP(kode, Audit!A:A, Audit!B:B),
    skor, IFS(
        ratio&gt;90, 5,
        ratio&gt;=85, 4,
        ratio&gt;=80, 3,
        ratio&gt;=75, 2,
        TRUE, 1
    ),
    skor
),0)</f>
        <v>2</v>
      </c>
      <c r="J22" s="18">
        <f t="array" ref="J22">iferror(LET(
    kode, B22,
    ratio, XLOOKUP(kode, 'Mistery Shopper'!A:A, 'Mistery Shopper'!B:B),
    skor, IFS(
        ratio&gt;90%, 5,
        ratio&gt;=85%, 4,
        ratio&gt;=80%, 3,
        ratio&gt;=75%, 2,
        TRUE, 1
    ),
    skor
),0)</f>
        <v>5</v>
      </c>
      <c r="K22" s="18">
        <f t="array" ref="K22">iferror(LET(
    kode, B22,
    actual, XLOOKUP(kode, Complain!A:A, Complain!C:C),
    target, XLOOKUP(kode, Complain!A:A, Complain!B:B),
    ratio, actual/target,
    skor, IFS(
        ratio&gt;=0.16%, 1,
        ratio&gt;=0.15%, 2,
        ratio&gt;=0.125%, 3,
        ratio&gt;=0.1%, 4,
        TRUE, 5
    ),
    skor
),0)</f>
        <v>5</v>
      </c>
      <c r="L22" s="19">
        <f t="shared" si="1"/>
        <v>0.44</v>
      </c>
    </row>
    <row r="23">
      <c r="A23" s="20" t="s">
        <v>115</v>
      </c>
      <c r="B23" s="18" t="s">
        <v>135</v>
      </c>
      <c r="C23" s="18">
        <f t="array" ref="C23">iferror(LET(
    kode, B23,
    actual, XLOOKUP(kode, Sales!A:A, Sales!C:C),
    target, XLOOKUP(kode, Sales!A:A, Sales!B:B),
    ratio, actual/target,
    skor, IFS(
        ratio&gt;1, 5,
        ratio&gt;=0.975, 4,
        ratio&gt;=0.95, 3,
        ratio&gt;=0.9, 2,
        TRUE, 1
    ),
    skor
),0)</f>
        <v>1</v>
      </c>
      <c r="D23" s="18">
        <f t="array" ref="D23">iferror(LET(
    kode, B23,
    actual, XLOOKUP(kode, AVG!A:A, AVG!C:C),
    target, XLOOKUP(kode, AVG!A:A, AVG!B:B),
    ratio, actual/target,
    skor, IFS(
        ratio&gt;1, 5,
        ratio&gt;=0.975, 4,
        ratio&gt;=0.95, 3,
        ratio&gt;=0.9, 2,
        TRUE, 1
    ),
    skor
),0)</f>
        <v>2</v>
      </c>
      <c r="E23" s="18">
        <f t="array" ref="E23">iferror(LET(
    kode, B23,
    large, XLOOKUP(kode, Large!A:A, Large!C:C),
    small, XLOOKUP(kode, Large!A:A, Large!B:B),
    ratio, large/(large+small),
    skor, IFS(
        ratio&lt;0.45, 1,
        ratio&lt;=0.5, 2,
        ratio&lt;=0.55, 3,
        ratio&lt;=0.6, 4,
        TRUE, 5
    ),
    skor
),0)</f>
        <v>3</v>
      </c>
      <c r="F23" s="18">
        <f t="array" ref="F23">iferror(LET(
    kode, B23,
    oatmilk, XLOOKUP(kode, Oatside!A:A, Oatside!C:C),
    drink, XLOOKUP(kode, Oatside!A:A, Oatside!B:B),
    ratio, oatmilk/drink,
    skor, IFS(
        ratio&gt;5%, 5,
        ratio&gt;=4%, 4,
        ratio&gt;=3%, 3,
        ratio&gt;=2%, 2,
        TRUE, 1
    ),
    skor
),0)</f>
        <v>5</v>
      </c>
      <c r="G23" s="18">
        <f t="array" ref="G23">iferror(LET(
    kode, B23,
    actual, XLOOKUP(kode, 'Snack Platter'!A:A, 'Snack Platter'!C:C),
    target, XLOOKUP(kode, 'Snack Platter'!A:A, 'Snack Platter'!B:B),
    ratio, actual/target,
    skor, IFS(
        ratio&gt;10%, 5,
        ratio&gt;=7.5%, 4,
        ratio&gt;=5%, 3,
        ratio&gt;=2.5%, 2,
        TRUE, 1
    ),
    skor
),0)</f>
        <v>2</v>
      </c>
      <c r="H23" s="18">
        <f t="array" ref="H23">iferror(LET(
    kode, B23,
    actual, XLOOKUP(kode, 'Bundling Asik'!A:A, 'Bundling Asik'!C:C),
    target, XLOOKUP(kode, 'Bundling Asik'!A:A, 'Bundling Asik'!B:B),
    ratio, actual/target,
    skor, IFS(
        ratio&gt;5%, 5,
        ratio&gt;=4%, 4,
        ratio&gt;=3%, 3,
        ratio&gt;=2%, 2,
        TRUE, 1
    ),
    skor
),0)</f>
        <v>1</v>
      </c>
      <c r="I23" s="18">
        <f t="array" ref="I23">iferror(LET(
    kode, B23,
    ratio, XLOOKUP(kode, Audit!A:A, Audit!B:B),
    skor, IFS(
        ratio&gt;90, 5,
        ratio&gt;=85, 4,
        ratio&gt;=80, 3,
        ratio&gt;=75, 2,
        TRUE, 1
    ),
    skor
),0)</f>
        <v>2</v>
      </c>
      <c r="J23" s="18">
        <f t="array" ref="J23">iferror(LET(
    kode, B23,
    ratio, XLOOKUP(kode, 'Mistery Shopper'!A:A, 'Mistery Shopper'!B:B),
    skor, IFS(
        ratio&gt;90%, 5,
        ratio&gt;=85%, 4,
        ratio&gt;=80%, 3,
        ratio&gt;=75%, 2,
        TRUE, 1
    ),
    skor
),0)</f>
        <v>5</v>
      </c>
      <c r="K23" s="18">
        <f t="array" ref="K23">iferror(LET(
    kode, B23,
    actual, XLOOKUP(kode, Complain!A:A, Complain!C:C),
    target, XLOOKUP(kode, Complain!A:A, Complain!B:B),
    ratio, actual/target,
    skor, IFS(
        ratio&gt;=0.16%, 1,
        ratio&gt;=0.15%, 2,
        ratio&gt;=0.125%, 3,
        ratio&gt;=0.1%, 4,
        TRUE, 5
    ),
    skor
),0)</f>
        <v>5</v>
      </c>
      <c r="L23" s="19">
        <f t="shared" si="1"/>
        <v>0.44</v>
      </c>
    </row>
    <row r="24">
      <c r="A24" s="20" t="s">
        <v>115</v>
      </c>
      <c r="B24" s="18" t="s">
        <v>136</v>
      </c>
      <c r="C24" s="18">
        <f t="array" ref="C24">iferror(LET(
    kode, B24,
    actual, XLOOKUP(kode, Sales!A:A, Sales!C:C),
    target, XLOOKUP(kode, Sales!A:A, Sales!B:B),
    ratio, actual/target,
    skor, IFS(
        ratio&gt;1, 5,
        ratio&gt;=0.975, 4,
        ratio&gt;=0.95, 3,
        ratio&gt;=0.9, 2,
        TRUE, 1
    ),
    skor
),0)</f>
        <v>1</v>
      </c>
      <c r="D24" s="18">
        <f t="array" ref="D24">iferror(LET(
    kode, B24,
    actual, XLOOKUP(kode, AVG!A:A, AVG!C:C),
    target, XLOOKUP(kode, AVG!A:A, AVG!B:B),
    ratio, actual/target,
    skor, IFS(
        ratio&gt;1, 5,
        ratio&gt;=0.975, 4,
        ratio&gt;=0.95, 3,
        ratio&gt;=0.9, 2,
        TRUE, 1
    ),
    skor
),0)</f>
        <v>4</v>
      </c>
      <c r="E24" s="18">
        <f t="array" ref="E24">iferror(LET(
    kode, B24,
    large, XLOOKUP(kode, Large!A:A, Large!C:C),
    small, XLOOKUP(kode, Large!A:A, Large!B:B),
    ratio, large/(large+small),
    skor, IFS(
        ratio&lt;0.45, 1,
        ratio&lt;=0.5, 2,
        ratio&lt;=0.55, 3,
        ratio&lt;=0.6, 4,
        TRUE, 5
    ),
    skor
),0)</f>
        <v>1</v>
      </c>
      <c r="F24" s="18">
        <f t="array" ref="F24">iferror(LET(
    kode, B24,
    oatmilk, XLOOKUP(kode, Oatside!A:A, Oatside!C:C),
    drink, XLOOKUP(kode, Oatside!A:A, Oatside!B:B),
    ratio, oatmilk/drink,
    skor, IFS(
        ratio&gt;5%, 5,
        ratio&gt;=4%, 4,
        ratio&gt;=3%, 3,
        ratio&gt;=2%, 2,
        TRUE, 1
    ),
    skor
),0)</f>
        <v>5</v>
      </c>
      <c r="G24" s="18">
        <f t="array" ref="G24">iferror(LET(
    kode, B24,
    actual, XLOOKUP(kode, 'Snack Platter'!A:A, 'Snack Platter'!C:C),
    target, XLOOKUP(kode, 'Snack Platter'!A:A, 'Snack Platter'!B:B),
    ratio, actual/target,
    skor, IFS(
        ratio&gt;10%, 5,
        ratio&gt;=7.5%, 4,
        ratio&gt;=5%, 3,
        ratio&gt;=2.5%, 2,
        TRUE, 1
    ),
    skor
),0)</f>
        <v>2</v>
      </c>
      <c r="H24" s="18">
        <f t="array" ref="H24">iferror(LET(
    kode, B24,
    actual, XLOOKUP(kode, 'Bundling Asik'!A:A, 'Bundling Asik'!C:C),
    target, XLOOKUP(kode, 'Bundling Asik'!A:A, 'Bundling Asik'!B:B),
    ratio, actual/target,
    skor, IFS(
        ratio&gt;5%, 5,
        ratio&gt;=4%, 4,
        ratio&gt;=3%, 3,
        ratio&gt;=2%, 2,
        TRUE, 1
    ),
    skor
),0)</f>
        <v>1</v>
      </c>
      <c r="I24" s="18">
        <f t="array" ref="I24">iferror(LET(
    kode, B24,
    ratio, XLOOKUP(kode, Audit!A:A, Audit!B:B),
    skor, IFS(
        ratio&gt;90, 5,
        ratio&gt;=85, 4,
        ratio&gt;=80, 3,
        ratio&gt;=75, 2,
        TRUE, 1
    ),
    skor
),0)</f>
        <v>2</v>
      </c>
      <c r="J24" s="18">
        <f t="array" ref="J24">iferror(LET(
    kode, B24,
    ratio, XLOOKUP(kode, 'Mistery Shopper'!A:A, 'Mistery Shopper'!B:B),
    skor, IFS(
        ratio&gt;90%, 5,
        ratio&gt;=85%, 4,
        ratio&gt;=80%, 3,
        ratio&gt;=75%, 2,
        TRUE, 1
    ),
    skor
),0)</f>
        <v>5</v>
      </c>
      <c r="K24" s="18">
        <f t="array" ref="K24">iferror(LET(
    kode, B24,
    actual, XLOOKUP(kode, Complain!A:A, Complain!C:C),
    target, XLOOKUP(kode, Complain!A:A, Complain!B:B),
    ratio, actual/target,
    skor, IFS(
        ratio&gt;=0.16%, 1,
        ratio&gt;=0.15%, 2,
        ratio&gt;=0.125%, 3,
        ratio&gt;=0.1%, 4,
        TRUE, 5
    ),
    skor
),0)</f>
        <v>3</v>
      </c>
      <c r="L24" s="19">
        <f t="shared" si="1"/>
        <v>0.42</v>
      </c>
    </row>
    <row r="25">
      <c r="A25" s="20" t="s">
        <v>113</v>
      </c>
      <c r="B25" s="18" t="s">
        <v>137</v>
      </c>
      <c r="C25" s="18">
        <f t="array" ref="C25">iferror(LET(
    kode, B25,
    actual, XLOOKUP(kode, Sales!A:A, Sales!C:C),
    target, XLOOKUP(kode, Sales!A:A, Sales!B:B),
    ratio, actual/target,
    skor, IFS(
        ratio&gt;1, 5,
        ratio&gt;=0.975, 4,
        ratio&gt;=0.95, 3,
        ratio&gt;=0.9, 2,
        TRUE, 1
    ),
    skor
),0)</f>
        <v>1</v>
      </c>
      <c r="D25" s="18">
        <f t="array" ref="D25">iferror(LET(
    kode, B25,
    actual, XLOOKUP(kode, AVG!A:A, AVG!C:C),
    target, XLOOKUP(kode, AVG!A:A, AVG!B:B),
    ratio, actual/target,
    skor, IFS(
        ratio&gt;1, 5,
        ratio&gt;=0.975, 4,
        ratio&gt;=0.95, 3,
        ratio&gt;=0.9, 2,
        TRUE, 1
    ),
    skor
),0)</f>
        <v>1</v>
      </c>
      <c r="E25" s="18">
        <f t="array" ref="E25">iferror(LET(
    kode, B25,
    large, XLOOKUP(kode, Large!A:A, Large!C:C),
    small, XLOOKUP(kode, Large!A:A, Large!B:B),
    ratio, large/(large+small),
    skor, IFS(
        ratio&lt;0.45, 1,
        ratio&lt;=0.5, 2,
        ratio&lt;=0.55, 3,
        ratio&lt;=0.6, 4,
        TRUE, 5
    ),
    skor
),0)</f>
        <v>2</v>
      </c>
      <c r="F25" s="18">
        <f t="array" ref="F25">iferror(LET(
    kode, B25,
    oatmilk, XLOOKUP(kode, Oatside!A:A, Oatside!C:C),
    drink, XLOOKUP(kode, Oatside!A:A, Oatside!B:B),
    ratio, oatmilk/drink,
    skor, IFS(
        ratio&gt;5%, 5,
        ratio&gt;=4%, 4,
        ratio&gt;=3%, 3,
        ratio&gt;=2%, 2,
        TRUE, 1
    ),
    skor
),0)</f>
        <v>5</v>
      </c>
      <c r="G25" s="18">
        <f t="array" ref="G25">iferror(LET(
    kode, B25,
    actual, XLOOKUP(kode, 'Snack Platter'!A:A, 'Snack Platter'!C:C),
    target, XLOOKUP(kode, 'Snack Platter'!A:A, 'Snack Platter'!B:B),
    ratio, actual/target,
    skor, IFS(
        ratio&gt;10%, 5,
        ratio&gt;=7.5%, 4,
        ratio&gt;=5%, 3,
        ratio&gt;=2.5%, 2,
        TRUE, 1
    ),
    skor
),0)</f>
        <v>1</v>
      </c>
      <c r="H25" s="18">
        <f t="array" ref="H25">iferror(LET(
    kode, B25,
    actual, XLOOKUP(kode, 'Bundling Asik'!A:A, 'Bundling Asik'!C:C),
    target, XLOOKUP(kode, 'Bundling Asik'!A:A, 'Bundling Asik'!B:B),
    ratio, actual/target,
    skor, IFS(
        ratio&gt;5%, 5,
        ratio&gt;=4%, 4,
        ratio&gt;=3%, 3,
        ratio&gt;=2%, 2,
        TRUE, 1
    ),
    skor
),0)</f>
        <v>2</v>
      </c>
      <c r="I25" s="18">
        <f t="array" ref="I25">iferror(LET(
    kode, B25,
    ratio, XLOOKUP(kode, Audit!A:A, Audit!B:B),
    skor, IFS(
        ratio&gt;90, 5,
        ratio&gt;=85, 4,
        ratio&gt;=80, 3,
        ratio&gt;=75, 2,
        TRUE, 1
    ),
    skor
),0)</f>
        <v>2</v>
      </c>
      <c r="J25" s="18">
        <f t="array" ref="J25">iferror(LET(
    kode, B25,
    ratio, XLOOKUP(kode, 'Mistery Shopper'!A:A, 'Mistery Shopper'!B:B),
    skor, IFS(
        ratio&gt;90%, 5,
        ratio&gt;=85%, 4,
        ratio&gt;=80%, 3,
        ratio&gt;=75%, 2,
        TRUE, 1
    ),
    skor
),0)</f>
        <v>5</v>
      </c>
      <c r="K25" s="18">
        <f t="array" ref="K25">iferror(LET(
    kode, B25,
    actual, XLOOKUP(kode, Complain!A:A, Complain!C:C),
    target, XLOOKUP(kode, Complain!A:A, Complain!B:B),
    ratio, actual/target,
    skor, IFS(
        ratio&gt;=0.16%, 1,
        ratio&gt;=0.15%, 2,
        ratio&gt;=0.125%, 3,
        ratio&gt;=0.1%, 4,
        TRUE, 5
    ),
    skor
),0)</f>
        <v>5</v>
      </c>
      <c r="L25" s="19">
        <f t="shared" si="1"/>
        <v>0.41</v>
      </c>
    </row>
    <row r="26">
      <c r="A26" s="20" t="s">
        <v>117</v>
      </c>
      <c r="B26" s="18" t="s">
        <v>138</v>
      </c>
      <c r="C26" s="18">
        <f t="array" ref="C26">iferror(LET(
    kode, B26,
    actual, XLOOKUP(kode, Sales!A:A, Sales!C:C),
    target, XLOOKUP(kode, Sales!A:A, Sales!B:B),
    ratio, actual/target,
    skor, IFS(
        ratio&gt;1, 5,
        ratio&gt;=0.975, 4,
        ratio&gt;=0.95, 3,
        ratio&gt;=0.9, 2,
        TRUE, 1
    ),
    skor
),0)</f>
        <v>1</v>
      </c>
      <c r="D26" s="18">
        <f t="array" ref="D26">iferror(LET(
    kode, B26,
    actual, XLOOKUP(kode, AVG!A:A, AVG!C:C),
    target, XLOOKUP(kode, AVG!A:A, AVG!B:B),
    ratio, actual/target,
    skor, IFS(
        ratio&gt;1, 5,
        ratio&gt;=0.975, 4,
        ratio&gt;=0.95, 3,
        ratio&gt;=0.9, 2,
        TRUE, 1
    ),
    skor
),0)</f>
        <v>1</v>
      </c>
      <c r="E26" s="18">
        <f t="array" ref="E26">iferror(LET(
    kode, B26,
    large, XLOOKUP(kode, Large!A:A, Large!C:C),
    small, XLOOKUP(kode, Large!A:A, Large!B:B),
    ratio, large/(large+small),
    skor, IFS(
        ratio&lt;0.45, 1,
        ratio&lt;=0.5, 2,
        ratio&lt;=0.55, 3,
        ratio&lt;=0.6, 4,
        TRUE, 5
    ),
    skor
),0)</f>
        <v>2</v>
      </c>
      <c r="F26" s="18">
        <f t="array" ref="F26">iferror(LET(
    kode, B26,
    oatmilk, XLOOKUP(kode, Oatside!A:A, Oatside!C:C),
    drink, XLOOKUP(kode, Oatside!A:A, Oatside!B:B),
    ratio, oatmilk/drink,
    skor, IFS(
        ratio&gt;5%, 5,
        ratio&gt;=4%, 4,
        ratio&gt;=3%, 3,
        ratio&gt;=2%, 2,
        TRUE, 1
    ),
    skor
),0)</f>
        <v>2</v>
      </c>
      <c r="G26" s="18">
        <f t="array" ref="G26">iferror(LET(
    kode, B26,
    actual, XLOOKUP(kode, 'Snack Platter'!A:A, 'Snack Platter'!C:C),
    target, XLOOKUP(kode, 'Snack Platter'!A:A, 'Snack Platter'!B:B),
    ratio, actual/target,
    skor, IFS(
        ratio&gt;10%, 5,
        ratio&gt;=7.5%, 4,
        ratio&gt;=5%, 3,
        ratio&gt;=2.5%, 2,
        TRUE, 1
    ),
    skor
),0)</f>
        <v>2</v>
      </c>
      <c r="H26" s="18">
        <f t="array" ref="H26">iferror(LET(
    kode, B26,
    actual, XLOOKUP(kode, 'Bundling Asik'!A:A, 'Bundling Asik'!C:C),
    target, XLOOKUP(kode, 'Bundling Asik'!A:A, 'Bundling Asik'!B:B),
    ratio, actual/target,
    skor, IFS(
        ratio&gt;5%, 5,
        ratio&gt;=4%, 4,
        ratio&gt;=3%, 3,
        ratio&gt;=2%, 2,
        TRUE, 1
    ),
    skor
),0)</f>
        <v>1</v>
      </c>
      <c r="I26" s="18">
        <f t="array" ref="I26">iferror(LET(
    kode, B26,
    ratio, XLOOKUP(kode, Audit!A:A, Audit!B:B),
    skor, IFS(
        ratio&gt;90, 5,
        ratio&gt;=85, 4,
        ratio&gt;=80, 3,
        ratio&gt;=75, 2,
        TRUE, 1
    ),
    skor
),0)</f>
        <v>3</v>
      </c>
      <c r="J26" s="18">
        <f t="array" ref="J26">iferror(LET(
    kode, B26,
    ratio, XLOOKUP(kode, 'Mistery Shopper'!A:A, 'Mistery Shopper'!B:B),
    skor, IFS(
        ratio&gt;90%, 5,
        ratio&gt;=85%, 4,
        ratio&gt;=80%, 3,
        ratio&gt;=75%, 2,
        TRUE, 1
    ),
    skor
),0)</f>
        <v>5</v>
      </c>
      <c r="K26" s="18">
        <f t="array" ref="K26">iferror(LET(
    kode, B26,
    actual, XLOOKUP(kode, Complain!A:A, Complain!C:C),
    target, XLOOKUP(kode, Complain!A:A, Complain!B:B),
    ratio, actual/target,
    skor, IFS(
        ratio&gt;=0.16%, 1,
        ratio&gt;=0.15%, 2,
        ratio&gt;=0.125%, 3,
        ratio&gt;=0.1%, 4,
        TRUE, 5
    ),
    skor
),0)</f>
        <v>5</v>
      </c>
      <c r="L26" s="19">
        <f t="shared" si="1"/>
        <v>0.41</v>
      </c>
    </row>
    <row r="27">
      <c r="A27" s="20" t="s">
        <v>117</v>
      </c>
      <c r="B27" s="18" t="s">
        <v>139</v>
      </c>
      <c r="C27" s="18">
        <f t="array" ref="C27">iferror(LET(
    kode, B27,
    actual, XLOOKUP(kode, Sales!A:A, Sales!C:C),
    target, XLOOKUP(kode, Sales!A:A, Sales!B:B),
    ratio, actual/target,
    skor, IFS(
        ratio&gt;1, 5,
        ratio&gt;=0.975, 4,
        ratio&gt;=0.95, 3,
        ratio&gt;=0.9, 2,
        TRUE, 1
    ),
    skor
),0)</f>
        <v>1</v>
      </c>
      <c r="D27" s="18">
        <f t="array" ref="D27">iferror(LET(
    kode, B27,
    actual, XLOOKUP(kode, AVG!A:A, AVG!C:C),
    target, XLOOKUP(kode, AVG!A:A, AVG!B:B),
    ratio, actual/target,
    skor, IFS(
        ratio&gt;1, 5,
        ratio&gt;=0.975, 4,
        ratio&gt;=0.95, 3,
        ratio&gt;=0.9, 2,
        TRUE, 1
    ),
    skor
),0)</f>
        <v>5</v>
      </c>
      <c r="E27" s="18">
        <f t="array" ref="E27">iferror(LET(
    kode, B27,
    large, XLOOKUP(kode, Large!A:A, Large!C:C),
    small, XLOOKUP(kode, Large!A:A, Large!B:B),
    ratio, large/(large+small),
    skor, IFS(
        ratio&lt;0.45, 1,
        ratio&lt;=0.5, 2,
        ratio&lt;=0.55, 3,
        ratio&lt;=0.6, 4,
        TRUE, 5
    ),
    skor
),0)</f>
        <v>1</v>
      </c>
      <c r="F27" s="18">
        <f t="array" ref="F27">iferror(LET(
    kode, B27,
    oatmilk, XLOOKUP(kode, Oatside!A:A, Oatside!C:C),
    drink, XLOOKUP(kode, Oatside!A:A, Oatside!B:B),
    ratio, oatmilk/drink,
    skor, IFS(
        ratio&gt;5%, 5,
        ratio&gt;=4%, 4,
        ratio&gt;=3%, 3,
        ratio&gt;=2%, 2,
        TRUE, 1
    ),
    skor
),0)</f>
        <v>1</v>
      </c>
      <c r="G27" s="18">
        <f t="array" ref="G27">iferror(LET(
    kode, B27,
    actual, XLOOKUP(kode, 'Snack Platter'!A:A, 'Snack Platter'!C:C),
    target, XLOOKUP(kode, 'Snack Platter'!A:A, 'Snack Platter'!B:B),
    ratio, actual/target,
    skor, IFS(
        ratio&gt;10%, 5,
        ratio&gt;=7.5%, 4,
        ratio&gt;=5%, 3,
        ratio&gt;=2.5%, 2,
        TRUE, 1
    ),
    skor
),0)</f>
        <v>1</v>
      </c>
      <c r="H27" s="18">
        <f t="array" ref="H27">iferror(LET(
    kode, B27,
    actual, XLOOKUP(kode, 'Bundling Asik'!A:A, 'Bundling Asik'!C:C),
    target, XLOOKUP(kode, 'Bundling Asik'!A:A, 'Bundling Asik'!B:B),
    ratio, actual/target,
    skor, IFS(
        ratio&gt;5%, 5,
        ratio&gt;=4%, 4,
        ratio&gt;=3%, 3,
        ratio&gt;=2%, 2,
        TRUE, 1
    ),
    skor
),0)</f>
        <v>1</v>
      </c>
      <c r="I27" s="18">
        <f t="array" ref="I27">iferror(LET(
    kode, B27,
    ratio, XLOOKUP(kode, Audit!A:A, Audit!B:B),
    skor, IFS(
        ratio&gt;90, 5,
        ratio&gt;=85, 4,
        ratio&gt;=80, 3,
        ratio&gt;=75, 2,
        TRUE, 1
    ),
    skor
),0)</f>
        <v>1</v>
      </c>
      <c r="J27" s="18">
        <f t="array" ref="J27">iferror(LET(
    kode, B27,
    ratio, XLOOKUP(kode, 'Mistery Shopper'!A:A, 'Mistery Shopper'!B:B),
    skor, IFS(
        ratio&gt;90%, 5,
        ratio&gt;=85%, 4,
        ratio&gt;=80%, 3,
        ratio&gt;=75%, 2,
        TRUE, 1
    ),
    skor
),0)</f>
        <v>5</v>
      </c>
      <c r="K27" s="18">
        <f t="array" ref="K27">iferror(LET(
    kode, B27,
    actual, XLOOKUP(kode, Complain!A:A, Complain!C:C),
    target, XLOOKUP(kode, Complain!A:A, Complain!B:B),
    ratio, actual/target,
    skor, IFS(
        ratio&gt;=0.16%, 1,
        ratio&gt;=0.15%, 2,
        ratio&gt;=0.125%, 3,
        ratio&gt;=0.1%, 4,
        TRUE, 5
    ),
    skor
),0)</f>
        <v>4</v>
      </c>
      <c r="L27" s="19">
        <f t="shared" si="1"/>
        <v>0.38</v>
      </c>
    </row>
    <row r="28">
      <c r="A28" s="20" t="s">
        <v>117</v>
      </c>
      <c r="B28" s="18" t="s">
        <v>140</v>
      </c>
      <c r="C28" s="18">
        <f t="array" ref="C28">iferror(LET(
    kode, B28,
    actual, XLOOKUP(kode, Sales!A:A, Sales!C:C),
    target, XLOOKUP(kode, Sales!A:A, Sales!B:B),
    ratio, actual/target,
    skor, IFS(
        ratio&gt;1, 5,
        ratio&gt;=0.975, 4,
        ratio&gt;=0.95, 3,
        ratio&gt;=0.9, 2,
        TRUE, 1
    ),
    skor
),0)</f>
        <v>1</v>
      </c>
      <c r="D28" s="18">
        <f t="array" ref="D28">iferror(LET(
    kode, B28,
    actual, XLOOKUP(kode, AVG!A:A, AVG!C:C),
    target, XLOOKUP(kode, AVG!A:A, AVG!B:B),
    ratio, actual/target,
    skor, IFS(
        ratio&gt;1, 5,
        ratio&gt;=0.975, 4,
        ratio&gt;=0.95, 3,
        ratio&gt;=0.9, 2,
        TRUE, 1
    ),
    skor
),0)</f>
        <v>1</v>
      </c>
      <c r="E28" s="18">
        <f t="array" ref="E28">iferror(LET(
    kode, B28,
    large, XLOOKUP(kode, Large!A:A, Large!C:C),
    small, XLOOKUP(kode, Large!A:A, Large!B:B),
    ratio, large/(large+small),
    skor, IFS(
        ratio&lt;0.45, 1,
        ratio&lt;=0.5, 2,
        ratio&lt;=0.55, 3,
        ratio&lt;=0.6, 4,
        TRUE, 5
    ),
    skor
),0)</f>
        <v>1</v>
      </c>
      <c r="F28" s="18">
        <f t="array" ref="F28">iferror(LET(
    kode, B28,
    oatmilk, XLOOKUP(kode, Oatside!A:A, Oatside!C:C),
    drink, XLOOKUP(kode, Oatside!A:A, Oatside!B:B),
    ratio, oatmilk/drink,
    skor, IFS(
        ratio&gt;5%, 5,
        ratio&gt;=4%, 4,
        ratio&gt;=3%, 3,
        ratio&gt;=2%, 2,
        TRUE, 1
    ),
    skor
),0)</f>
        <v>3</v>
      </c>
      <c r="G28" s="18">
        <f t="array" ref="G28">iferror(LET(
    kode, B28,
    actual, XLOOKUP(kode, 'Snack Platter'!A:A, 'Snack Platter'!C:C),
    target, XLOOKUP(kode, 'Snack Platter'!A:A, 'Snack Platter'!B:B),
    ratio, actual/target,
    skor, IFS(
        ratio&gt;10%, 5,
        ratio&gt;=7.5%, 4,
        ratio&gt;=5%, 3,
        ratio&gt;=2.5%, 2,
        TRUE, 1
    ),
    skor
),0)</f>
        <v>2</v>
      </c>
      <c r="H28" s="18">
        <f t="array" ref="H28">iferror(LET(
    kode, B28,
    actual, XLOOKUP(kode, 'Bundling Asik'!A:A, 'Bundling Asik'!C:C),
    target, XLOOKUP(kode, 'Bundling Asik'!A:A, 'Bundling Asik'!B:B),
    ratio, actual/target,
    skor, IFS(
        ratio&gt;5%, 5,
        ratio&gt;=4%, 4,
        ratio&gt;=3%, 3,
        ratio&gt;=2%, 2,
        TRUE, 1
    ),
    skor
),0)</f>
        <v>1</v>
      </c>
      <c r="I28" s="18">
        <f t="array" ref="I28">iferror(LET(
    kode, B28,
    ratio, XLOOKUP(kode, Audit!A:A, Audit!B:B),
    skor, IFS(
        ratio&gt;90, 5,
        ratio&gt;=85, 4,
        ratio&gt;=80, 3,
        ratio&gt;=75, 2,
        TRUE, 1
    ),
    skor
),0)</f>
        <v>2</v>
      </c>
      <c r="J28" s="18">
        <f t="array" ref="J28">iferror(LET(
    kode, B28,
    ratio, XLOOKUP(kode, 'Mistery Shopper'!A:A, 'Mistery Shopper'!B:B),
    skor, IFS(
        ratio&gt;90%, 5,
        ratio&gt;=85%, 4,
        ratio&gt;=80%, 3,
        ratio&gt;=75%, 2,
        TRUE, 1
    ),
    skor
),0)</f>
        <v>5</v>
      </c>
      <c r="K28" s="18">
        <f t="array" ref="K28">iferror(LET(
    kode, B28,
    actual, XLOOKUP(kode, Complain!A:A, Complain!C:C),
    target, XLOOKUP(kode, Complain!A:A, Complain!B:B),
    ratio, actual/target,
    skor, IFS(
        ratio&gt;=0.16%, 1,
        ratio&gt;=0.15%, 2,
        ratio&gt;=0.125%, 3,
        ratio&gt;=0.1%, 4,
        TRUE, 5
    ),
    skor
),0)</f>
        <v>4</v>
      </c>
      <c r="L28" s="19">
        <f t="shared" si="1"/>
        <v>0.36</v>
      </c>
    </row>
    <row r="29">
      <c r="A29" s="20" t="s">
        <v>119</v>
      </c>
      <c r="B29" s="18" t="s">
        <v>141</v>
      </c>
      <c r="C29" s="18">
        <f t="array" ref="C29">iferror(LET(
    kode, B29,
    actual, XLOOKUP(kode, Sales!A:A, Sales!C:C),
    target, XLOOKUP(kode, Sales!A:A, Sales!B:B),
    ratio, actual/target,
    skor, IFS(
        ratio&gt;1, 5,
        ratio&gt;=0.975, 4,
        ratio&gt;=0.95, 3,
        ratio&gt;=0.9, 2,
        TRUE, 1
    ),
    skor
),0)</f>
        <v>1</v>
      </c>
      <c r="D29" s="18">
        <f t="array" ref="D29">iferror(LET(
    kode, B29,
    actual, XLOOKUP(kode, AVG!A:A, AVG!C:C),
    target, XLOOKUP(kode, AVG!A:A, AVG!B:B),
    ratio, actual/target,
    skor, IFS(
        ratio&gt;1, 5,
        ratio&gt;=0.975, 4,
        ratio&gt;=0.95, 3,
        ratio&gt;=0.9, 2,
        TRUE, 1
    ),
    skor
),0)</f>
        <v>1</v>
      </c>
      <c r="E29" s="18">
        <f t="array" ref="E29">iferror(LET(
    kode, B29,
    large, XLOOKUP(kode, Large!A:A, Large!C:C),
    small, XLOOKUP(kode, Large!A:A, Large!B:B),
    ratio, large/(large+small),
    skor, IFS(
        ratio&lt;0.45, 1,
        ratio&lt;=0.5, 2,
        ratio&lt;=0.55, 3,
        ratio&lt;=0.6, 4,
        TRUE, 5
    ),
    skor
),0)</f>
        <v>1</v>
      </c>
      <c r="F29" s="18">
        <f t="array" ref="F29">iferror(LET(
    kode, B29,
    oatmilk, XLOOKUP(kode, Oatside!A:A, Oatside!C:C),
    drink, XLOOKUP(kode, Oatside!A:A, Oatside!B:B),
    ratio, oatmilk/drink,
    skor, IFS(
        ratio&gt;5%, 5,
        ratio&gt;=4%, 4,
        ratio&gt;=3%, 3,
        ratio&gt;=2%, 2,
        TRUE, 1
    ),
    skor
),0)</f>
        <v>1</v>
      </c>
      <c r="G29" s="18">
        <f t="array" ref="G29">iferror(LET(
    kode, B29,
    actual, XLOOKUP(kode, 'Snack Platter'!A:A, 'Snack Platter'!C:C),
    target, XLOOKUP(kode, 'Snack Platter'!A:A, 'Snack Platter'!B:B),
    ratio, actual/target,
    skor, IFS(
        ratio&gt;10%, 5,
        ratio&gt;=7.5%, 4,
        ratio&gt;=5%, 3,
        ratio&gt;=2.5%, 2,
        TRUE, 1
    ),
    skor
),0)</f>
        <v>1</v>
      </c>
      <c r="H29" s="18">
        <f t="array" ref="H29">iferror(LET(
    kode, B29,
    actual, XLOOKUP(kode, 'Bundling Asik'!A:A, 'Bundling Asik'!C:C),
    target, XLOOKUP(kode, 'Bundling Asik'!A:A, 'Bundling Asik'!B:B),
    ratio, actual/target,
    skor, IFS(
        ratio&gt;5%, 5,
        ratio&gt;=4%, 4,
        ratio&gt;=3%, 3,
        ratio&gt;=2%, 2,
        TRUE, 1
    ),
    skor
),0)</f>
        <v>1</v>
      </c>
      <c r="I29" s="18">
        <f t="array" ref="I29">iferror(LET(
    kode, B29,
    ratio, XLOOKUP(kode, Audit!A:A, Audit!B:B),
    skor, IFS(
        ratio&gt;90, 5,
        ratio&gt;=85, 4,
        ratio&gt;=80, 3,
        ratio&gt;=75, 2,
        TRUE, 1
    ),
    skor
),0)</f>
        <v>2</v>
      </c>
      <c r="J29" s="18">
        <f t="array" ref="J29">iferror(LET(
    kode, B29,
    ratio, XLOOKUP(kode, 'Mistery Shopper'!A:A, 'Mistery Shopper'!B:B),
    skor, IFS(
        ratio&gt;90%, 5,
        ratio&gt;=85%, 4,
        ratio&gt;=80%, 3,
        ratio&gt;=75%, 2,
        TRUE, 1
    ),
    skor
),0)</f>
        <v>5</v>
      </c>
      <c r="K29" s="18">
        <f t="array" ref="K29">iferror(LET(
    kode, B29,
    actual, XLOOKUP(kode, Complain!A:A, Complain!C:C),
    target, XLOOKUP(kode, Complain!A:A, Complain!B:B),
    ratio, actual/target,
    skor, IFS(
        ratio&gt;=0.16%, 1,
        ratio&gt;=0.15%, 2,
        ratio&gt;=0.125%, 3,
        ratio&gt;=0.1%, 4,
        TRUE, 5
    ),
    skor
),0)</f>
        <v>5</v>
      </c>
      <c r="L29" s="19">
        <f t="shared" si="1"/>
        <v>0.35</v>
      </c>
    </row>
    <row r="30">
      <c r="A30" s="20" t="s">
        <v>115</v>
      </c>
      <c r="B30" s="18" t="s">
        <v>142</v>
      </c>
      <c r="C30" s="18">
        <f t="array" ref="C30">iferror(LET(
    kode, B30,
    actual, XLOOKUP(kode, Sales!A:A, Sales!C:C),
    target, XLOOKUP(kode, Sales!A:A, Sales!B:B),
    ratio, actual/target,
    skor, IFS(
        ratio&gt;1, 5,
        ratio&gt;=0.975, 4,
        ratio&gt;=0.95, 3,
        ratio&gt;=0.9, 2,
        TRUE, 1
    ),
    skor
),0)</f>
        <v>1</v>
      </c>
      <c r="D30" s="18">
        <f t="array" ref="D30">iferror(LET(
    kode, B30,
    actual, XLOOKUP(kode, AVG!A:A, AVG!C:C),
    target, XLOOKUP(kode, AVG!A:A, AVG!B:B),
    ratio, actual/target,
    skor, IFS(
        ratio&gt;1, 5,
        ratio&gt;=0.975, 4,
        ratio&gt;=0.95, 3,
        ratio&gt;=0.9, 2,
        TRUE, 1
    ),
    skor
),0)</f>
        <v>1</v>
      </c>
      <c r="E30" s="18">
        <f t="array" ref="E30">iferror(LET(
    kode, B30,
    large, XLOOKUP(kode, Large!A:A, Large!C:C),
    small, XLOOKUP(kode, Large!A:A, Large!B:B),
    ratio, large/(large+small),
    skor, IFS(
        ratio&lt;0.45, 1,
        ratio&lt;=0.5, 2,
        ratio&lt;=0.55, 3,
        ratio&lt;=0.6, 4,
        TRUE, 5
    ),
    skor
),0)</f>
        <v>1</v>
      </c>
      <c r="F30" s="18">
        <f t="array" ref="F30">iferror(LET(
    kode, B30,
    oatmilk, XLOOKUP(kode, Oatside!A:A, Oatside!C:C),
    drink, XLOOKUP(kode, Oatside!A:A, Oatside!B:B),
    ratio, oatmilk/drink,
    skor, IFS(
        ratio&gt;5%, 5,
        ratio&gt;=4%, 4,
        ratio&gt;=3%, 3,
        ratio&gt;=2%, 2,
        TRUE, 1
    ),
    skor
),0)</f>
        <v>1</v>
      </c>
      <c r="G30" s="18">
        <f t="array" ref="G30">iferror(LET(
    kode, B30,
    actual, XLOOKUP(kode, 'Snack Platter'!A:A, 'Snack Platter'!C:C),
    target, XLOOKUP(kode, 'Snack Platter'!A:A, 'Snack Platter'!B:B),
    ratio, actual/target,
    skor, IFS(
        ratio&gt;10%, 5,
        ratio&gt;=7.5%, 4,
        ratio&gt;=5%, 3,
        ratio&gt;=2.5%, 2,
        TRUE, 1
    ),
    skor
),0)</f>
        <v>1</v>
      </c>
      <c r="H30" s="18">
        <f t="array" ref="H30">iferror(LET(
    kode, B30,
    actual, XLOOKUP(kode, 'Bundling Asik'!A:A, 'Bundling Asik'!C:C),
    target, XLOOKUP(kode, 'Bundling Asik'!A:A, 'Bundling Asik'!B:B),
    ratio, actual/target,
    skor, IFS(
        ratio&gt;5%, 5,
        ratio&gt;=4%, 4,
        ratio&gt;=3%, 3,
        ratio&gt;=2%, 2,
        TRUE, 1
    ),
    skor
),0)</f>
        <v>1</v>
      </c>
      <c r="I30" s="18">
        <f t="array" ref="I30">iferror(LET(
    kode, B30,
    ratio, XLOOKUP(kode, Audit!A:A, Audit!B:B),
    skor, IFS(
        ratio&gt;90, 5,
        ratio&gt;=85, 4,
        ratio&gt;=80, 3,
        ratio&gt;=75, 2,
        TRUE, 1
    ),
    skor
),0)</f>
        <v>2</v>
      </c>
      <c r="J30" s="18">
        <f t="array" ref="J30">iferror(LET(
    kode, B30,
    ratio, XLOOKUP(kode, 'Mistery Shopper'!A:A, 'Mistery Shopper'!B:B),
    skor, IFS(
        ratio&gt;90%, 5,
        ratio&gt;=85%, 4,
        ratio&gt;=80%, 3,
        ratio&gt;=75%, 2,
        TRUE, 1
    ),
    skor
),0)</f>
        <v>5</v>
      </c>
      <c r="K30" s="18">
        <f t="array" ref="K30">iferror(LET(
    kode, B30,
    actual, XLOOKUP(kode, Complain!A:A, Complain!C:C),
    target, XLOOKUP(kode, Complain!A:A, Complain!B:B),
    ratio, actual/target,
    skor, IFS(
        ratio&gt;=0.16%, 1,
        ratio&gt;=0.15%, 2,
        ratio&gt;=0.125%, 3,
        ratio&gt;=0.1%, 4,
        TRUE, 5
    ),
    skor
),0)</f>
        <v>4</v>
      </c>
      <c r="L30" s="19">
        <f t="shared" si="1"/>
        <v>0.33</v>
      </c>
    </row>
    <row r="31">
      <c r="A31" s="20" t="s">
        <v>119</v>
      </c>
      <c r="B31" s="18" t="s">
        <v>143</v>
      </c>
      <c r="C31" s="18">
        <f t="array" ref="C31">iferror(LET(
    kode, B31,
    actual, XLOOKUP(kode, Sales!A:A, Sales!C:C),
    target, XLOOKUP(kode, Sales!A:A, Sales!B:B),
    ratio, actual/target,
    skor, IFS(
        ratio&gt;1, 5,
        ratio&gt;=0.975, 4,
        ratio&gt;=0.95, 3,
        ratio&gt;=0.9, 2,
        TRUE, 1
    ),
    skor
),0)</f>
        <v>1</v>
      </c>
      <c r="D31" s="18">
        <f t="array" ref="D31">iferror(LET(
    kode, B31,
    actual, XLOOKUP(kode, AVG!A:A, AVG!C:C),
    target, XLOOKUP(kode, AVG!A:A, AVG!B:B),
    ratio, actual/target,
    skor, IFS(
        ratio&gt;1, 5,
        ratio&gt;=0.975, 4,
        ratio&gt;=0.95, 3,
        ratio&gt;=0.9, 2,
        TRUE, 1
    ),
    skor
),0)</f>
        <v>1</v>
      </c>
      <c r="E31" s="18">
        <f t="array" ref="E31">iferror(LET(
    kode, B31,
    large, XLOOKUP(kode, Large!A:A, Large!C:C),
    small, XLOOKUP(kode, Large!A:A, Large!B:B),
    ratio, large/(large+small),
    skor, IFS(
        ratio&lt;0.45, 1,
        ratio&lt;=0.5, 2,
        ratio&lt;=0.55, 3,
        ratio&lt;=0.6, 4,
        TRUE, 5
    ),
    skor
),0)</f>
        <v>1</v>
      </c>
      <c r="F31" s="18">
        <f t="array" ref="F31">iferror(LET(
    kode, B31,
    oatmilk, XLOOKUP(kode, Oatside!A:A, Oatside!C:C),
    drink, XLOOKUP(kode, Oatside!A:A, Oatside!B:B),
    ratio, oatmilk/drink,
    skor, IFS(
        ratio&gt;5%, 5,
        ratio&gt;=4%, 4,
        ratio&gt;=3%, 3,
        ratio&gt;=2%, 2,
        TRUE, 1
    ),
    skor
),0)</f>
        <v>1</v>
      </c>
      <c r="G31" s="18">
        <f t="array" ref="G31">iferror(LET(
    kode, B31,
    actual, XLOOKUP(kode, 'Snack Platter'!A:A, 'Snack Platter'!C:C),
    target, XLOOKUP(kode, 'Snack Platter'!A:A, 'Snack Platter'!B:B),
    ratio, actual/target,
    skor, IFS(
        ratio&gt;10%, 5,
        ratio&gt;=7.5%, 4,
        ratio&gt;=5%, 3,
        ratio&gt;=2.5%, 2,
        TRUE, 1
    ),
    skor
),0)</f>
        <v>1</v>
      </c>
      <c r="H31" s="18">
        <f t="array" ref="H31">iferror(LET(
    kode, B31,
    actual, XLOOKUP(kode, 'Bundling Asik'!A:A, 'Bundling Asik'!C:C),
    target, XLOOKUP(kode, 'Bundling Asik'!A:A, 'Bundling Asik'!B:B),
    ratio, actual/target,
    skor, IFS(
        ratio&gt;5%, 5,
        ratio&gt;=4%, 4,
        ratio&gt;=3%, 3,
        ratio&gt;=2%, 2,
        TRUE, 1
    ),
    skor
),0)</f>
        <v>1</v>
      </c>
      <c r="I31" s="18">
        <f t="array" ref="I31">iferror(LET(
    kode, B31,
    ratio, XLOOKUP(kode, Audit!A:A, Audit!B:B),
    skor, IFS(
        ratio&gt;90, 5,
        ratio&gt;=85, 4,
        ratio&gt;=80, 3,
        ratio&gt;=75, 2,
        TRUE, 1
    ),
    skor
),0)</f>
        <v>1</v>
      </c>
      <c r="J31" s="18">
        <f t="array" ref="J31">iferror(LET(
    kode, B31,
    ratio, XLOOKUP(kode, 'Mistery Shopper'!A:A, 'Mistery Shopper'!B:B),
    skor, IFS(
        ratio&gt;90%, 5,
        ratio&gt;=85%, 4,
        ratio&gt;=80%, 3,
        ratio&gt;=75%, 2,
        TRUE, 1
    ),
    skor
),0)</f>
        <v>5</v>
      </c>
      <c r="K31" s="18">
        <f t="array" ref="K31">iferror(LET(
    kode, B31,
    actual, XLOOKUP(kode, Complain!A:A, Complain!C:C),
    target, XLOOKUP(kode, Complain!A:A, Complain!B:B),
    ratio, actual/target,
    skor, IFS(
        ratio&gt;=0.16%, 1,
        ratio&gt;=0.15%, 2,
        ratio&gt;=0.125%, 3,
        ratio&gt;=0.1%, 4,
        TRUE, 5
    ),
    skor
),0)</f>
        <v>4</v>
      </c>
      <c r="L31" s="19">
        <f t="shared" si="1"/>
        <v>0.3</v>
      </c>
    </row>
  </sheetData>
  <autoFilter ref="$A$1:$L$31">
    <sortState ref="A1:L31">
      <sortCondition descending="1" ref="L1:L31"/>
      <sortCondition descending="1" ref="D1:D3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3.63"/>
    <col customWidth="1" min="7" max="7" width="14.0"/>
  </cols>
  <sheetData>
    <row r="1">
      <c r="A1" s="16"/>
      <c r="B1" s="16" t="s">
        <v>98</v>
      </c>
      <c r="C1" s="16" t="s">
        <v>7</v>
      </c>
      <c r="D1" s="16" t="s">
        <v>99</v>
      </c>
      <c r="E1" s="16" t="s">
        <v>100</v>
      </c>
      <c r="F1" s="16" t="s">
        <v>101</v>
      </c>
      <c r="G1" s="16" t="s">
        <v>144</v>
      </c>
      <c r="H1" s="16" t="s">
        <v>103</v>
      </c>
      <c r="I1" s="16" t="s">
        <v>21</v>
      </c>
      <c r="J1" s="16" t="s">
        <v>104</v>
      </c>
      <c r="K1" s="16" t="s">
        <v>24</v>
      </c>
      <c r="L1" s="16" t="s">
        <v>105</v>
      </c>
      <c r="N1" s="16" t="s">
        <v>106</v>
      </c>
      <c r="O1" s="16" t="s">
        <v>107</v>
      </c>
    </row>
    <row r="2">
      <c r="A2" s="17" t="s">
        <v>110</v>
      </c>
      <c r="B2" s="18" t="s">
        <v>118</v>
      </c>
      <c r="C2" s="18">
        <f t="array" ref="C2">iferror(LET(kode, B2, actual, XLOOKUP(kode, Sales!A:A, Sales!E:E),target, XLOOKUP(kode, Sales!A:A, Sales!D:D),ratio, actual/target,skor, IFS(ratio&gt;1, 5,ratio&gt;=0.975, 4,ratio&gt;=0.95, 3,ratio&gt;=0.9, 2,TRUE, 1),skor),0)</f>
        <v>5</v>
      </c>
      <c r="D2" s="18">
        <f t="array" ref="D2">iferror(LET(
    kode, B2,
    actual, XLOOKUP(kode, AVG!A:A, AVG!E:E),
    target, XLOOKUP(kode, AVG!A:A, AVG!D:D),
    ratio, actual/target,
    skor, IFS(
        ratio&gt;1, 5,
        ratio&gt;=0.975, 4,
        ratio&gt;=0.95, 3,
        ratio&gt;=0.9, 2,
        TRUE, 1
    ),
    skor
),0)</f>
        <v>5</v>
      </c>
      <c r="E2" s="18">
        <f t="array" ref="E2">iferror(LET(
    kode, B2,
    large, XLOOKUP(kode, Large!A:A, Large!E:E),
    small, XLOOKUP(kode, Large!A:A, Large!D:D),
    ratio, large/(large+small),
    skor, IFS(
        ratio&lt;0.45, 1,
        ratio&lt;=0.5, 2,
        ratio&lt;=0.55, 3,
        ratio&lt;=0.6, 4,
        TRUE, 5
    ),
    skor
),0)</f>
        <v>2</v>
      </c>
      <c r="F2" s="18">
        <f t="array" ref="F2">iferror(LET(
    kode, B2,
    oatmilk, XLOOKUP(kode, Oatside!A:A, Oatside!E:E),
    drink, XLOOKUP(kode, Oatside!A:A, Oatside!D:D),
    ratio, oatmilk/drink,
    skor, IFS(
        ratio&gt;5%, 5,
        ratio&gt;=4%, 4,
        ratio&gt;=3%, 3,
        ratio&gt;=2%, 2,
        TRUE, 1
    ),
    skor
),0)</f>
        <v>5</v>
      </c>
      <c r="G2" s="18">
        <f t="array" ref="G2">iferror(LET(
    kode, B2,
    actual, XLOOKUP(kode, 'Snack Platter'!A:A, 'Snack Platter'!E:E),
    target, XLOOKUP(kode, 'Snack Platter'!A:A, 'Snack Platter'!D:D),
    ratio, actual/target,
    skor, IFS(
        ratio&gt;10%, 5,
        ratio&gt;=7.5%, 4,
        ratio&gt;=5%, 3,
        ratio&gt;=2.5%, 2,
        TRUE, 1
    ),
    skor
),0)</f>
        <v>5</v>
      </c>
      <c r="H2" s="18">
        <f t="array" ref="H2">iferror(LET(
    kode, B2,
    actual, XLOOKUP(kode, 'Bundling Asik'!A:A, 'Bundling Asik'!E:E),
    target, XLOOKUP(kode, 'Bundling Asik'!A:A, 'Bundling Asik'!D:D),
    ratio, actual/target,
    skor, IFS(
        ratio&gt;5%, 5,
        ratio&gt;=4%, 4,
        ratio&gt;=3%, 3,
        ratio&gt;=2%, 2,
        TRUE, 1
    ),
    skor
),0)</f>
        <v>3</v>
      </c>
      <c r="I2" s="18">
        <f t="array" ref="I2">iferror(LET(
    kode, B2,
    ratio, XLOOKUP(kode, Audit!A:A, Audit!C:C),
    skor, IFS(
        ratio&gt;90, 5,
        ratio&gt;=85, 4,
        ratio&gt;=80, 3,
        ratio&gt;=75, 2,
        TRUE, 1
    ),
    skor
),0)</f>
        <v>4</v>
      </c>
      <c r="J2" s="18">
        <f t="array" ref="J2">iferror(LET(
    kode, B2,
    ratio, XLOOKUP(kode, 'Mistery Shopper'!A:A, 'Mistery Shopper'!C:C),
    skor, IFS(
        ratio&gt;90%, 5,
        ratio&gt;=85%, 4,
        ratio&gt;=80%, 3,
        ratio&gt;=75%, 2,
        TRUE, 1
    ),
    skor
),0)</f>
        <v>5</v>
      </c>
      <c r="K2" s="18">
        <f t="array" ref="K2">iferror(LET(
    kode, B2,
    actual, XLOOKUP(kode, Complain!A:A, Complain!E:E),
    target, XLOOKUP(kode, Complain!A:A, Complain!D:D),
    ratio, actual/target,
    skor, IFS(
        ratio&gt;=0.16%, 1,
        ratio&gt;=0.15%, 2,
        ratio&gt;=0.125%, 3,
        ratio&gt;=0.1%, 4,
        TRUE, 5
    ),
    skor
),0)</f>
        <v>5</v>
      </c>
      <c r="L2" s="19">
        <f t="shared" ref="L2:L31" si="1">LET(
    nilai, C2:K2,
    bobot, {0.4,0.1,0.05,0.05,0.05,0.05,0.15,0.05,0.1},
    SUMPRODUCT(nilai,bobot)
)/5</f>
        <v>0.92</v>
      </c>
      <c r="N2" s="18" t="s">
        <v>110</v>
      </c>
      <c r="O2" s="19">
        <f t="shared" ref="O2:O7" si="2">averageif(A:A,N2,L:L)</f>
        <v>0.696</v>
      </c>
    </row>
    <row r="3">
      <c r="A3" s="17" t="s">
        <v>113</v>
      </c>
      <c r="B3" s="18" t="s">
        <v>116</v>
      </c>
      <c r="C3" s="18">
        <f t="array" ref="C3">iferror(LET(kode, B3, actual, XLOOKUP(kode, Sales!A:A, Sales!E:E),target, XLOOKUP(kode, Sales!A:A, Sales!D:D),ratio, actual/target,skor, IFS(ratio&gt;1, 5,ratio&gt;=0.975, 4,ratio&gt;=0.95, 3,ratio&gt;=0.9, 2,TRUE, 1),skor),0)</f>
        <v>5</v>
      </c>
      <c r="D3" s="18">
        <f t="array" ref="D3">iferror(LET(
    kode, B3,
    actual, XLOOKUP(kode, AVG!A:A, AVG!E:E),
    target, XLOOKUP(kode, AVG!A:A, AVG!D:D),
    ratio, actual/target,
    skor, IFS(
        ratio&gt;1, 5,
        ratio&gt;=0.975, 4,
        ratio&gt;=0.95, 3,
        ratio&gt;=0.9, 2,
        TRUE, 1
    ),
    skor
),0)</f>
        <v>5</v>
      </c>
      <c r="E3" s="18">
        <f t="array" ref="E3">iferror(LET(
    kode, B3,
    large, XLOOKUP(kode, Large!A:A, Large!E:E),
    small, XLOOKUP(kode, Large!A:A, Large!D:D),
    ratio, large/(large+small),
    skor, IFS(
        ratio&lt;0.45, 1,
        ratio&lt;=0.5, 2,
        ratio&lt;=0.55, 3,
        ratio&lt;=0.6, 4,
        TRUE, 5
    ),
    skor
),0)</f>
        <v>1</v>
      </c>
      <c r="F3" s="18">
        <f t="array" ref="F3">iferror(LET(
    kode, B3,
    oatmilk, XLOOKUP(kode, Oatside!A:A, Oatside!E:E),
    drink, XLOOKUP(kode, Oatside!A:A, Oatside!D:D),
    ratio, oatmilk/drink,
    skor, IFS(
        ratio&gt;5%, 5,
        ratio&gt;=4%, 4,
        ratio&gt;=3%, 3,
        ratio&gt;=2%, 2,
        TRUE, 1
    ),
    skor
),0)</f>
        <v>5</v>
      </c>
      <c r="G3" s="18">
        <f t="array" ref="G3">iferror(LET(
    kode, B3,
    actual, XLOOKUP(kode, 'Snack Platter'!A:A, 'Snack Platter'!E:E),
    target, XLOOKUP(kode, 'Snack Platter'!A:A, 'Snack Platter'!D:D),
    ratio, actual/target,
    skor, IFS(
        ratio&gt;10%, 5,
        ratio&gt;=7.5%, 4,
        ratio&gt;=5%, 3,
        ratio&gt;=2.5%, 2,
        TRUE, 1
    ),
    skor
),0)</f>
        <v>2</v>
      </c>
      <c r="H3" s="18">
        <f t="array" ref="H3">iferror(LET(
    kode, B3,
    actual, XLOOKUP(kode, 'Bundling Asik'!A:A, 'Bundling Asik'!E:E),
    target, XLOOKUP(kode, 'Bundling Asik'!A:A, 'Bundling Asik'!D:D),
    ratio, actual/target,
    skor, IFS(
        ratio&gt;5%, 5,
        ratio&gt;=4%, 4,
        ratio&gt;=3%, 3,
        ratio&gt;=2%, 2,
        TRUE, 1
    ),
    skor
),0)</f>
        <v>2</v>
      </c>
      <c r="I3" s="18">
        <f t="array" ref="I3">iferror(LET(
    kode, B3,
    ratio, XLOOKUP(kode, Audit!A:A, Audit!C:C),
    skor, IFS(
        ratio&gt;90, 5,
        ratio&gt;=85, 4,
        ratio&gt;=80, 3,
        ratio&gt;=75, 2,
        TRUE, 1
    ),
    skor
),0)</f>
        <v>4</v>
      </c>
      <c r="J3" s="18">
        <f t="array" ref="J3">iferror(LET(
    kode, B3,
    ratio, XLOOKUP(kode, 'Mistery Shopper'!A:A, 'Mistery Shopper'!C:C),
    skor, IFS(
        ratio&gt;90%, 5,
        ratio&gt;=85%, 4,
        ratio&gt;=80%, 3,
        ratio&gt;=75%, 2,
        TRUE, 1
    ),
    skor
),0)</f>
        <v>5</v>
      </c>
      <c r="K3" s="18">
        <f t="array" ref="K3">iferror(LET(
    kode, B3,
    actual, XLOOKUP(kode, Complain!A:A, Complain!E:E),
    target, XLOOKUP(kode, Complain!A:A, Complain!D:D),
    ratio, actual/target,
    skor, IFS(
        ratio&gt;=0.16%, 1,
        ratio&gt;=0.15%, 2,
        ratio&gt;=0.125%, 3,
        ratio&gt;=0.1%, 4,
        TRUE, 5
    ),
    skor
),0)</f>
        <v>5</v>
      </c>
      <c r="L3" s="19">
        <f t="shared" si="1"/>
        <v>0.87</v>
      </c>
      <c r="N3" s="18" t="s">
        <v>108</v>
      </c>
      <c r="O3" s="19">
        <f t="shared" si="2"/>
        <v>0.676</v>
      </c>
    </row>
    <row r="4">
      <c r="A4" s="17" t="s">
        <v>108</v>
      </c>
      <c r="B4" s="18" t="s">
        <v>127</v>
      </c>
      <c r="C4" s="18">
        <f t="array" ref="C4">iferror(LET(kode, B4, actual, XLOOKUP(kode, Sales!A:A, Sales!E:E),target, XLOOKUP(kode, Sales!A:A, Sales!D:D),ratio, actual/target,skor, IFS(ratio&gt;1, 5,ratio&gt;=0.975, 4,ratio&gt;=0.95, 3,ratio&gt;=0.9, 2,TRUE, 1),skor),0)</f>
        <v>4</v>
      </c>
      <c r="D4" s="18">
        <f t="array" ref="D4">iferror(LET(
    kode, B4,
    actual, XLOOKUP(kode, AVG!A:A, AVG!E:E),
    target, XLOOKUP(kode, AVG!A:A, AVG!D:D),
    ratio, actual/target,
    skor, IFS(
        ratio&gt;1, 5,
        ratio&gt;=0.975, 4,
        ratio&gt;=0.95, 3,
        ratio&gt;=0.9, 2,
        TRUE, 1
    ),
    skor
),0)</f>
        <v>3</v>
      </c>
      <c r="E4" s="18">
        <f t="array" ref="E4">iferror(LET(
    kode, B4,
    large, XLOOKUP(kode, Large!A:A, Large!E:E),
    small, XLOOKUP(kode, Large!A:A, Large!D:D),
    ratio, large/(large+small),
    skor, IFS(
        ratio&lt;0.45, 1,
        ratio&lt;=0.5, 2,
        ratio&lt;=0.55, 3,
        ratio&lt;=0.6, 4,
        TRUE, 5
    ),
    skor
),0)</f>
        <v>5</v>
      </c>
      <c r="F4" s="18">
        <f t="array" ref="F4">iferror(LET(
    kode, B4,
    oatmilk, XLOOKUP(kode, Oatside!A:A, Oatside!E:E),
    drink, XLOOKUP(kode, Oatside!A:A, Oatside!D:D),
    ratio, oatmilk/drink,
    skor, IFS(
        ratio&gt;5%, 5,
        ratio&gt;=4%, 4,
        ratio&gt;=3%, 3,
        ratio&gt;=2%, 2,
        TRUE, 1
    ),
    skor
),0)</f>
        <v>5</v>
      </c>
      <c r="G4" s="18">
        <f t="array" ref="G4">iferror(LET(
    kode, B4,
    actual, XLOOKUP(kode, 'Snack Platter'!A:A, 'Snack Platter'!E:E),
    target, XLOOKUP(kode, 'Snack Platter'!A:A, 'Snack Platter'!D:D),
    ratio, actual/target,
    skor, IFS(
        ratio&gt;10%, 5,
        ratio&gt;=7.5%, 4,
        ratio&gt;=5%, 3,
        ratio&gt;=2.5%, 2,
        TRUE, 1
    ),
    skor
),0)</f>
        <v>5</v>
      </c>
      <c r="H4" s="18">
        <f t="array" ref="H4">iferror(LET(
    kode, B4,
    actual, XLOOKUP(kode, 'Bundling Asik'!A:A, 'Bundling Asik'!E:E),
    target, XLOOKUP(kode, 'Bundling Asik'!A:A, 'Bundling Asik'!D:D),
    ratio, actual/target,
    skor, IFS(
        ratio&gt;5%, 5,
        ratio&gt;=4%, 4,
        ratio&gt;=3%, 3,
        ratio&gt;=2%, 2,
        TRUE, 1
    ),
    skor
),0)</f>
        <v>3</v>
      </c>
      <c r="I4" s="18">
        <f t="array" ref="I4">iferror(LET(
    kode, B4,
    ratio, XLOOKUP(kode, Audit!A:A, Audit!C:C),
    skor, IFS(
        ratio&gt;90, 5,
        ratio&gt;=85, 4,
        ratio&gt;=80, 3,
        ratio&gt;=75, 2,
        TRUE, 1
    ),
    skor
),0)</f>
        <v>5</v>
      </c>
      <c r="J4" s="18">
        <f t="array" ref="J4">iferror(LET(
    kode, B4,
    ratio, XLOOKUP(kode, 'Mistery Shopper'!A:A, 'Mistery Shopper'!C:C),
    skor, IFS(
        ratio&gt;90%, 5,
        ratio&gt;=85%, 4,
        ratio&gt;=80%, 3,
        ratio&gt;=75%, 2,
        TRUE, 1
    ),
    skor
),0)</f>
        <v>5</v>
      </c>
      <c r="K4" s="18">
        <f t="array" ref="K4">iferror(LET(
    kode, B4,
    actual, XLOOKUP(kode, Complain!A:A, Complain!E:E),
    target, XLOOKUP(kode, Complain!A:A, Complain!D:D),
    ratio, actual/target,
    skor, IFS(
        ratio&gt;=0.16%, 1,
        ratio&gt;=0.15%, 2,
        ratio&gt;=0.125%, 3,
        ratio&gt;=0.1%, 4,
        TRUE, 5
    ),
    skor
),0)</f>
        <v>5</v>
      </c>
      <c r="L4" s="19">
        <f t="shared" si="1"/>
        <v>0.86</v>
      </c>
      <c r="N4" s="18" t="s">
        <v>113</v>
      </c>
      <c r="O4" s="19">
        <f t="shared" si="2"/>
        <v>0.6875</v>
      </c>
    </row>
    <row r="5">
      <c r="A5" s="17" t="s">
        <v>110</v>
      </c>
      <c r="B5" s="18" t="s">
        <v>112</v>
      </c>
      <c r="C5" s="18">
        <f t="array" ref="C5">iferror(LET(kode, B5, actual, XLOOKUP(kode, Sales!A:A, Sales!E:E),target, XLOOKUP(kode, Sales!A:A, Sales!D:D),ratio, actual/target,skor, IFS(ratio&gt;1, 5,ratio&gt;=0.975, 4,ratio&gt;=0.95, 3,ratio&gt;=0.9, 2,TRUE, 1),skor),0)</f>
        <v>5</v>
      </c>
      <c r="D5" s="18">
        <f t="array" ref="D5">iferror(LET(
    kode, B5,
    actual, XLOOKUP(kode, AVG!A:A, AVG!E:E),
    target, XLOOKUP(kode, AVG!A:A, AVG!D:D),
    ratio, actual/target,
    skor, IFS(
        ratio&gt;1, 5,
        ratio&gt;=0.975, 4,
        ratio&gt;=0.95, 3,
        ratio&gt;=0.9, 2,
        TRUE, 1
    ),
    skor
),0)</f>
        <v>2</v>
      </c>
      <c r="E5" s="18">
        <f t="array" ref="E5">iferror(LET(
    kode, B5,
    large, XLOOKUP(kode, Large!A:A, Large!E:E),
    small, XLOOKUP(kode, Large!A:A, Large!D:D),
    ratio, large/(large+small),
    skor, IFS(
        ratio&lt;0.45, 1,
        ratio&lt;=0.5, 2,
        ratio&lt;=0.55, 3,
        ratio&lt;=0.6, 4,
        TRUE, 5
    ),
    skor
),0)</f>
        <v>1</v>
      </c>
      <c r="F5" s="18">
        <f t="array" ref="F5">iferror(LET(
    kode, B5,
    oatmilk, XLOOKUP(kode, Oatside!A:A, Oatside!E:E),
    drink, XLOOKUP(kode, Oatside!A:A, Oatside!D:D),
    ratio, oatmilk/drink,
    skor, IFS(
        ratio&gt;5%, 5,
        ratio&gt;=4%, 4,
        ratio&gt;=3%, 3,
        ratio&gt;=2%, 2,
        TRUE, 1
    ),
    skor
),0)</f>
        <v>5</v>
      </c>
      <c r="G5" s="18">
        <f t="array" ref="G5">iferror(LET(
    kode, B5,
    actual, XLOOKUP(kode, 'Snack Platter'!A:A, 'Snack Platter'!E:E),
    target, XLOOKUP(kode, 'Snack Platter'!A:A, 'Snack Platter'!D:D),
    ratio, actual/target,
    skor, IFS(
        ratio&gt;10%, 5,
        ratio&gt;=7.5%, 4,
        ratio&gt;=5%, 3,
        ratio&gt;=2.5%, 2,
        TRUE, 1
    ),
    skor
),0)</f>
        <v>2</v>
      </c>
      <c r="H5" s="18">
        <f t="array" ref="H5">iferror(LET(
    kode, B5,
    actual, XLOOKUP(kode, 'Bundling Asik'!A:A, 'Bundling Asik'!E:E),
    target, XLOOKUP(kode, 'Bundling Asik'!A:A, 'Bundling Asik'!D:D),
    ratio, actual/target,
    skor, IFS(
        ratio&gt;5%, 5,
        ratio&gt;=4%, 4,
        ratio&gt;=3%, 3,
        ratio&gt;=2%, 2,
        TRUE, 1
    ),
    skor
),0)</f>
        <v>3</v>
      </c>
      <c r="I5" s="18">
        <f t="array" ref="I5">iferror(LET(
    kode, B5,
    ratio, XLOOKUP(kode, Audit!A:A, Audit!C:C),
    skor, IFS(
        ratio&gt;90, 5,
        ratio&gt;=85, 4,
        ratio&gt;=80, 3,
        ratio&gt;=75, 2,
        TRUE, 1
    ),
    skor
),0)</f>
        <v>4</v>
      </c>
      <c r="J5" s="18">
        <f t="array" ref="J5">iferror(LET(
    kode, B5,
    ratio, XLOOKUP(kode, 'Mistery Shopper'!A:A, 'Mistery Shopper'!C:C),
    skor, IFS(
        ratio&gt;90%, 5,
        ratio&gt;=85%, 4,
        ratio&gt;=80%, 3,
        ratio&gt;=75%, 2,
        TRUE, 1
    ),
    skor
),0)</f>
        <v>5</v>
      </c>
      <c r="K5" s="18">
        <f t="array" ref="K5">iferror(LET(
    kode, B5,
    actual, XLOOKUP(kode, Complain!A:A, Complain!E:E),
    target, XLOOKUP(kode, Complain!A:A, Complain!D:D),
    ratio, actual/target,
    skor, IFS(
        ratio&gt;=0.16%, 1,
        ratio&gt;=0.15%, 2,
        ratio&gt;=0.125%, 3,
        ratio&gt;=0.1%, 4,
        TRUE, 5
    ),
    skor
),0)</f>
        <v>5</v>
      </c>
      <c r="L5" s="19">
        <f t="shared" si="1"/>
        <v>0.82</v>
      </c>
      <c r="N5" s="18" t="s">
        <v>115</v>
      </c>
      <c r="O5" s="19">
        <f t="shared" si="2"/>
        <v>0.455</v>
      </c>
    </row>
    <row r="6">
      <c r="A6" s="17" t="s">
        <v>108</v>
      </c>
      <c r="B6" s="18" t="s">
        <v>130</v>
      </c>
      <c r="C6" s="18">
        <f t="array" ref="C6">iferror(LET(kode, B6, actual, XLOOKUP(kode, Sales!A:A, Sales!E:E),target, XLOOKUP(kode, Sales!A:A, Sales!D:D),ratio, actual/target,skor, IFS(ratio&gt;1, 5,ratio&gt;=0.975, 4,ratio&gt;=0.95, 3,ratio&gt;=0.9, 2,TRUE, 1),skor),0)</f>
        <v>4</v>
      </c>
      <c r="D6" s="18">
        <f t="array" ref="D6">iferror(LET(
    kode, B6,
    actual, XLOOKUP(kode, AVG!A:A, AVG!E:E),
    target, XLOOKUP(kode, AVG!A:A, AVG!D:D),
    ratio, actual/target,
    skor, IFS(
        ratio&gt;1, 5,
        ratio&gt;=0.975, 4,
        ratio&gt;=0.95, 3,
        ratio&gt;=0.9, 2,
        TRUE, 1
    ),
    skor
),0)</f>
        <v>4</v>
      </c>
      <c r="E6" s="18">
        <f t="array" ref="E6">iferror(LET(
    kode, B6,
    large, XLOOKUP(kode, Large!A:A, Large!E:E),
    small, XLOOKUP(kode, Large!A:A, Large!D:D),
    ratio, large/(large+small),
    skor, IFS(
        ratio&lt;0.45, 1,
        ratio&lt;=0.5, 2,
        ratio&lt;=0.55, 3,
        ratio&lt;=0.6, 4,
        TRUE, 5
    ),
    skor
),0)</f>
        <v>1</v>
      </c>
      <c r="F6" s="18">
        <f t="array" ref="F6">iferror(LET(
    kode, B6,
    oatmilk, XLOOKUP(kode, Oatside!A:A, Oatside!E:E),
    drink, XLOOKUP(kode, Oatside!A:A, Oatside!D:D),
    ratio, oatmilk/drink,
    skor, IFS(
        ratio&gt;5%, 5,
        ratio&gt;=4%, 4,
        ratio&gt;=3%, 3,
        ratio&gt;=2%, 2,
        TRUE, 1
    ),
    skor
),0)</f>
        <v>5</v>
      </c>
      <c r="G6" s="18">
        <f t="array" ref="G6">iferror(LET(
    kode, B6,
    actual, XLOOKUP(kode, 'Snack Platter'!A:A, 'Snack Platter'!E:E),
    target, XLOOKUP(kode, 'Snack Platter'!A:A, 'Snack Platter'!D:D),
    ratio, actual/target,
    skor, IFS(
        ratio&gt;10%, 5,
        ratio&gt;=7.5%, 4,
        ratio&gt;=5%, 3,
        ratio&gt;=2.5%, 2,
        TRUE, 1
    ),
    skor
),0)</f>
        <v>3</v>
      </c>
      <c r="H6" s="18">
        <f t="array" ref="H6">iferror(LET(
    kode, B6,
    actual, XLOOKUP(kode, 'Bundling Asik'!A:A, 'Bundling Asik'!E:E),
    target, XLOOKUP(kode, 'Bundling Asik'!A:A, 'Bundling Asik'!D:D),
    ratio, actual/target,
    skor, IFS(
        ratio&gt;5%, 5,
        ratio&gt;=4%, 4,
        ratio&gt;=3%, 3,
        ratio&gt;=2%, 2,
        TRUE, 1
    ),
    skor
),0)</f>
        <v>5</v>
      </c>
      <c r="I6" s="18">
        <f t="array" ref="I6">iferror(LET(
    kode, B6,
    ratio, XLOOKUP(kode, Audit!A:A, Audit!C:C),
    skor, IFS(
        ratio&gt;90, 5,
        ratio&gt;=85, 4,
        ratio&gt;=80, 3,
        ratio&gt;=75, 2,
        TRUE, 1
    ),
    skor
),0)</f>
        <v>3</v>
      </c>
      <c r="J6" s="18">
        <f t="array" ref="J6">iferror(LET(
    kode, B6,
    ratio, XLOOKUP(kode, 'Mistery Shopper'!A:A, 'Mistery Shopper'!C:C),
    skor, IFS(
        ratio&gt;90%, 5,
        ratio&gt;=85%, 4,
        ratio&gt;=80%, 3,
        ratio&gt;=75%, 2,
        TRUE, 1
    ),
    skor
),0)</f>
        <v>5</v>
      </c>
      <c r="K6" s="18">
        <f t="array" ref="K6">iferror(LET(
    kode, B6,
    actual, XLOOKUP(kode, Complain!A:A, Complain!E:E),
    target, XLOOKUP(kode, Complain!A:A, Complain!D:D),
    ratio, actual/target,
    skor, IFS(
        ratio&gt;=0.16%, 1,
        ratio&gt;=0.15%, 2,
        ratio&gt;=0.125%, 3,
        ratio&gt;=0.1%, 4,
        TRUE, 5
    ),
    skor
),0)</f>
        <v>5</v>
      </c>
      <c r="L6" s="19">
        <f t="shared" si="1"/>
        <v>0.78</v>
      </c>
      <c r="N6" s="18" t="s">
        <v>117</v>
      </c>
      <c r="O6" s="19">
        <f t="shared" si="2"/>
        <v>0.43</v>
      </c>
    </row>
    <row r="7">
      <c r="A7" s="17" t="s">
        <v>113</v>
      </c>
      <c r="B7" s="18" t="s">
        <v>123</v>
      </c>
      <c r="C7" s="18">
        <f t="array" ref="C7">iferror(LET(kode, B7, actual, XLOOKUP(kode, Sales!A:A, Sales!E:E),target, XLOOKUP(kode, Sales!A:A, Sales!D:D),ratio, actual/target,skor, IFS(ratio&gt;1, 5,ratio&gt;=0.975, 4,ratio&gt;=0.95, 3,ratio&gt;=0.9, 2,TRUE, 1),skor),0)</f>
        <v>5</v>
      </c>
      <c r="D7" s="18">
        <f t="array" ref="D7">iferror(LET(
    kode, B7,
    actual, XLOOKUP(kode, AVG!A:A, AVG!E:E),
    target, XLOOKUP(kode, AVG!A:A, AVG!D:D),
    ratio, actual/target,
    skor, IFS(
        ratio&gt;1, 5,
        ratio&gt;=0.975, 4,
        ratio&gt;=0.95, 3,
        ratio&gt;=0.9, 2,
        TRUE, 1
    ),
    skor
),0)</f>
        <v>1</v>
      </c>
      <c r="E7" s="18">
        <f t="array" ref="E7">iferror(LET(
    kode, B7,
    large, XLOOKUP(kode, Large!A:A, Large!E:E),
    small, XLOOKUP(kode, Large!A:A, Large!D:D),
    ratio, large/(large+small),
    skor, IFS(
        ratio&lt;0.45, 1,
        ratio&lt;=0.5, 2,
        ratio&lt;=0.55, 3,
        ratio&lt;=0.6, 4,
        TRUE, 5
    ),
    skor
),0)</f>
        <v>1</v>
      </c>
      <c r="F7" s="18">
        <f t="array" ref="F7">iferror(LET(
    kode, B7,
    oatmilk, XLOOKUP(kode, Oatside!A:A, Oatside!E:E),
    drink, XLOOKUP(kode, Oatside!A:A, Oatside!D:D),
    ratio, oatmilk/drink,
    skor, IFS(
        ratio&gt;5%, 5,
        ratio&gt;=4%, 4,
        ratio&gt;=3%, 3,
        ratio&gt;=2%, 2,
        TRUE, 1
    ),
    skor
),0)</f>
        <v>5</v>
      </c>
      <c r="G7" s="18">
        <f t="array" ref="G7">iferror(LET(
    kode, B7,
    actual, XLOOKUP(kode, 'Snack Platter'!A:A, 'Snack Platter'!E:E),
    target, XLOOKUP(kode, 'Snack Platter'!A:A, 'Snack Platter'!D:D),
    ratio, actual/target,
    skor, IFS(
        ratio&gt;10%, 5,
        ratio&gt;=7.5%, 4,
        ratio&gt;=5%, 3,
        ratio&gt;=2.5%, 2,
        TRUE, 1
    ),
    skor
),0)</f>
        <v>1</v>
      </c>
      <c r="H7" s="18">
        <f t="array" ref="H7">iferror(LET(
    kode, B7,
    actual, XLOOKUP(kode, 'Bundling Asik'!A:A, 'Bundling Asik'!E:E),
    target, XLOOKUP(kode, 'Bundling Asik'!A:A, 'Bundling Asik'!D:D),
    ratio, actual/target,
    skor, IFS(
        ratio&gt;5%, 5,
        ratio&gt;=4%, 4,
        ratio&gt;=3%, 3,
        ratio&gt;=2%, 2,
        TRUE, 1
    ),
    skor
),0)</f>
        <v>4</v>
      </c>
      <c r="I7" s="18">
        <f t="array" ref="I7">iferror(LET(
    kode, B7,
    ratio, XLOOKUP(kode, Audit!A:A, Audit!C:C),
    skor, IFS(
        ratio&gt;90, 5,
        ratio&gt;=85, 4,
        ratio&gt;=80, 3,
        ratio&gt;=75, 2,
        TRUE, 1
    ),
    skor
),0)</f>
        <v>3</v>
      </c>
      <c r="J7" s="18">
        <f t="array" ref="J7">iferror(LET(
    kode, B7,
    ratio, XLOOKUP(kode, 'Mistery Shopper'!A:A, 'Mistery Shopper'!C:C),
    skor, IFS(
        ratio&gt;90%, 5,
        ratio&gt;=85%, 4,
        ratio&gt;=80%, 3,
        ratio&gt;=75%, 2,
        TRUE, 1
    ),
    skor
),0)</f>
        <v>5</v>
      </c>
      <c r="K7" s="18">
        <f t="array" ref="K7">iferror(LET(
    kode, B7,
    actual, XLOOKUP(kode, Complain!A:A, Complain!E:E),
    target, XLOOKUP(kode, Complain!A:A, Complain!D:D),
    ratio, actual/target,
    skor, IFS(
        ratio&gt;=0.16%, 1,
        ratio&gt;=0.15%, 2,
        ratio&gt;=0.125%, 3,
        ratio&gt;=0.1%, 4,
        TRUE, 5
    ),
    skor
),0)</f>
        <v>5</v>
      </c>
      <c r="L7" s="19">
        <f t="shared" si="1"/>
        <v>0.77</v>
      </c>
      <c r="N7" s="18" t="s">
        <v>119</v>
      </c>
      <c r="O7" s="19">
        <f t="shared" si="2"/>
        <v>0.385</v>
      </c>
    </row>
    <row r="8">
      <c r="A8" s="17" t="s">
        <v>108</v>
      </c>
      <c r="B8" s="18" t="s">
        <v>109</v>
      </c>
      <c r="C8" s="18">
        <f t="array" ref="C8">iferror(LET(kode, B8, actual, XLOOKUP(kode, Sales!A:A, Sales!E:E),target, XLOOKUP(kode, Sales!A:A, Sales!D:D),ratio, actual/target,skor, IFS(ratio&gt;1, 5,ratio&gt;=0.975, 4,ratio&gt;=0.95, 3,ratio&gt;=0.9, 2,TRUE, 1),skor),0)</f>
        <v>1</v>
      </c>
      <c r="D8" s="18">
        <f t="array" ref="D8">iferror(LET(
    kode, B8,
    actual, XLOOKUP(kode, AVG!A:A, AVG!E:E),
    target, XLOOKUP(kode, AVG!A:A, AVG!D:D),
    ratio, actual/target,
    skor, IFS(
        ratio&gt;1, 5,
        ratio&gt;=0.975, 4,
        ratio&gt;=0.95, 3,
        ratio&gt;=0.9, 2,
        TRUE, 1
    ),
    skor
),0)</f>
        <v>5</v>
      </c>
      <c r="E8" s="18">
        <f t="array" ref="E8">iferror(LET(
    kode, B8,
    large, XLOOKUP(kode, Large!A:A, Large!E:E),
    small, XLOOKUP(kode, Large!A:A, Large!D:D),
    ratio, large/(large+small),
    skor, IFS(
        ratio&lt;0.45, 1,
        ratio&lt;=0.5, 2,
        ratio&lt;=0.55, 3,
        ratio&lt;=0.6, 4,
        TRUE, 5
    ),
    skor
),0)</f>
        <v>5</v>
      </c>
      <c r="F8" s="18">
        <f t="array" ref="F8">iferror(LET(
    kode, B8,
    oatmilk, XLOOKUP(kode, Oatside!A:A, Oatside!E:E),
    drink, XLOOKUP(kode, Oatside!A:A, Oatside!D:D),
    ratio, oatmilk/drink,
    skor, IFS(
        ratio&gt;5%, 5,
        ratio&gt;=4%, 4,
        ratio&gt;=3%, 3,
        ratio&gt;=2%, 2,
        TRUE, 1
    ),
    skor
),0)</f>
        <v>5</v>
      </c>
      <c r="G8" s="18">
        <f t="array" ref="G8">iferror(LET(
    kode, B8,
    actual, XLOOKUP(kode, 'Snack Platter'!A:A, 'Snack Platter'!E:E),
    target, XLOOKUP(kode, 'Snack Platter'!A:A, 'Snack Platter'!D:D),
    ratio, actual/target,
    skor, IFS(
        ratio&gt;10%, 5,
        ratio&gt;=7.5%, 4,
        ratio&gt;=5%, 3,
        ratio&gt;=2.5%, 2,
        TRUE, 1
    ),
    skor
),0)</f>
        <v>5</v>
      </c>
      <c r="H8" s="18">
        <f t="array" ref="H8">iferror(LET(
    kode, B8,
    actual, XLOOKUP(kode, 'Bundling Asik'!A:A, 'Bundling Asik'!E:E),
    target, XLOOKUP(kode, 'Bundling Asik'!A:A, 'Bundling Asik'!D:D),
    ratio, actual/target,
    skor, IFS(
        ratio&gt;5%, 5,
        ratio&gt;=4%, 4,
        ratio&gt;=3%, 3,
        ratio&gt;=2%, 2,
        TRUE, 1
    ),
    skor
),0)</f>
        <v>4</v>
      </c>
      <c r="I8" s="18">
        <f t="array" ref="I8">iferror(LET(
    kode, B8,
    ratio, XLOOKUP(kode, Audit!A:A, Audit!C:C),
    skor, IFS(
        ratio&gt;90, 5,
        ratio&gt;=85, 4,
        ratio&gt;=80, 3,
        ratio&gt;=75, 2,
        TRUE, 1
    ),
    skor
),0)</f>
        <v>4</v>
      </c>
      <c r="J8" s="18">
        <f t="array" ref="J8">iferror(LET(
    kode, B8,
    ratio, XLOOKUP(kode, 'Mistery Shopper'!A:A, 'Mistery Shopper'!C:C),
    skor, IFS(
        ratio&gt;90%, 5,
        ratio&gt;=85%, 4,
        ratio&gt;=80%, 3,
        ratio&gt;=75%, 2,
        TRUE, 1
    ),
    skor
),0)</f>
        <v>5</v>
      </c>
      <c r="K8" s="18">
        <f t="array" ref="K8">iferror(LET(
    kode, B8,
    actual, XLOOKUP(kode, Complain!A:A, Complain!E:E),
    target, XLOOKUP(kode, Complain!A:A, Complain!D:D),
    ratio, actual/target,
    skor, IFS(
        ratio&gt;=0.16%, 1,
        ratio&gt;=0.15%, 2,
        ratio&gt;=0.125%, 3,
        ratio&gt;=0.1%, 4,
        TRUE, 5
    ),
    skor
),0)</f>
        <v>5</v>
      </c>
      <c r="L8" s="19">
        <f t="shared" si="1"/>
        <v>0.64</v>
      </c>
    </row>
    <row r="9">
      <c r="A9" s="17" t="s">
        <v>110</v>
      </c>
      <c r="B9" s="18" t="s">
        <v>114</v>
      </c>
      <c r="C9" s="18">
        <f t="array" ref="C9">iferror(LET(kode, B9, actual, XLOOKUP(kode, Sales!A:A, Sales!E:E),target, XLOOKUP(kode, Sales!A:A, Sales!D:D),ratio, actual/target,skor, IFS(ratio&gt;1, 5,ratio&gt;=0.975, 4,ratio&gt;=0.95, 3,ratio&gt;=0.9, 2,TRUE, 1),skor),0)</f>
        <v>2</v>
      </c>
      <c r="D9" s="18">
        <f t="array" ref="D9">iferror(LET(
    kode, B9,
    actual, XLOOKUP(kode, AVG!A:A, AVG!E:E),
    target, XLOOKUP(kode, AVG!A:A, AVG!D:D),
    ratio, actual/target,
    skor, IFS(
        ratio&gt;1, 5,
        ratio&gt;=0.975, 4,
        ratio&gt;=0.95, 3,
        ratio&gt;=0.9, 2,
        TRUE, 1
    ),
    skor
),0)</f>
        <v>4</v>
      </c>
      <c r="E9" s="18">
        <f t="array" ref="E9">iferror(LET(
    kode, B9,
    large, XLOOKUP(kode, Large!A:A, Large!E:E),
    small, XLOOKUP(kode, Large!A:A, Large!D:D),
    ratio, large/(large+small),
    skor, IFS(
        ratio&lt;0.45, 1,
        ratio&lt;=0.5, 2,
        ratio&lt;=0.55, 3,
        ratio&lt;=0.6, 4,
        TRUE, 5
    ),
    skor
),0)</f>
        <v>1</v>
      </c>
      <c r="F9" s="18">
        <f t="array" ref="F9">iferror(LET(
    kode, B9,
    oatmilk, XLOOKUP(kode, Oatside!A:A, Oatside!E:E),
    drink, XLOOKUP(kode, Oatside!A:A, Oatside!D:D),
    ratio, oatmilk/drink,
    skor, IFS(
        ratio&gt;5%, 5,
        ratio&gt;=4%, 4,
        ratio&gt;=3%, 3,
        ratio&gt;=2%, 2,
        TRUE, 1
    ),
    skor
),0)</f>
        <v>5</v>
      </c>
      <c r="G9" s="18">
        <f t="array" ref="G9">iferror(LET(
    kode, B9,
    actual, XLOOKUP(kode, 'Snack Platter'!A:A, 'Snack Platter'!E:E),
    target, XLOOKUP(kode, 'Snack Platter'!A:A, 'Snack Platter'!D:D),
    ratio, actual/target,
    skor, IFS(
        ratio&gt;10%, 5,
        ratio&gt;=7.5%, 4,
        ratio&gt;=5%, 3,
        ratio&gt;=2.5%, 2,
        TRUE, 1
    ),
    skor
),0)</f>
        <v>3</v>
      </c>
      <c r="H9" s="18">
        <f t="array" ref="H9">iferror(LET(
    kode, B9,
    actual, XLOOKUP(kode, 'Bundling Asik'!A:A, 'Bundling Asik'!E:E),
    target, XLOOKUP(kode, 'Bundling Asik'!A:A, 'Bundling Asik'!D:D),
    ratio, actual/target,
    skor, IFS(
        ratio&gt;5%, 5,
        ratio&gt;=4%, 4,
        ratio&gt;=3%, 3,
        ratio&gt;=2%, 2,
        TRUE, 1
    ),
    skor
),0)</f>
        <v>3</v>
      </c>
      <c r="I9" s="18">
        <f t="array" ref="I9">iferror(LET(
    kode, B9,
    ratio, XLOOKUP(kode, Audit!A:A, Audit!C:C),
    skor, IFS(
        ratio&gt;90, 5,
        ratio&gt;=85, 4,
        ratio&gt;=80, 3,
        ratio&gt;=75, 2,
        TRUE, 1
    ),
    skor
),0)</f>
        <v>4</v>
      </c>
      <c r="J9" s="18">
        <f t="array" ref="J9">iferror(LET(
    kode, B9,
    ratio, XLOOKUP(kode, 'Mistery Shopper'!A:A, 'Mistery Shopper'!C:C),
    skor, IFS(
        ratio&gt;90%, 5,
        ratio&gt;=85%, 4,
        ratio&gt;=80%, 3,
        ratio&gt;=75%, 2,
        TRUE, 1
    ),
    skor
),0)</f>
        <v>5</v>
      </c>
      <c r="K9" s="18">
        <f t="array" ref="K9">iferror(LET(
    kode, B9,
    actual, XLOOKUP(kode, Complain!A:A, Complain!E:E),
    target, XLOOKUP(kode, Complain!A:A, Complain!D:D),
    ratio, actual/target,
    skor, IFS(
        ratio&gt;=0.16%, 1,
        ratio&gt;=0.15%, 2,
        ratio&gt;=0.125%, 3,
        ratio&gt;=0.1%, 4,
        TRUE, 5
    ),
    skor
),0)</f>
        <v>5</v>
      </c>
      <c r="L9" s="19">
        <f t="shared" si="1"/>
        <v>0.63</v>
      </c>
    </row>
    <row r="10">
      <c r="A10" s="17" t="s">
        <v>113</v>
      </c>
      <c r="B10" s="18" t="s">
        <v>120</v>
      </c>
      <c r="C10" s="18">
        <f t="array" ref="C10">iferror(LET(kode, B10, actual, XLOOKUP(kode, Sales!A:A, Sales!E:E),target, XLOOKUP(kode, Sales!A:A, Sales!D:D),ratio, actual/target,skor, IFS(ratio&gt;1, 5,ratio&gt;=0.975, 4,ratio&gt;=0.95, 3,ratio&gt;=0.9, 2,TRUE, 1),skor),0)</f>
        <v>2</v>
      </c>
      <c r="D10" s="18">
        <f t="array" ref="D10">iferror(LET(
    kode, B10,
    actual, XLOOKUP(kode, AVG!A:A, AVG!E:E),
    target, XLOOKUP(kode, AVG!A:A, AVG!D:D),
    ratio, actual/target,
    skor, IFS(
        ratio&gt;1, 5,
        ratio&gt;=0.975, 4,
        ratio&gt;=0.95, 3,
        ratio&gt;=0.9, 2,
        TRUE, 1
    ),
    skor
),0)</f>
        <v>5</v>
      </c>
      <c r="E10" s="18">
        <f t="array" ref="E10">iferror(LET(
    kode, B10,
    large, XLOOKUP(kode, Large!A:A, Large!E:E),
    small, XLOOKUP(kode, Large!A:A, Large!D:D),
    ratio, large/(large+small),
    skor, IFS(
        ratio&lt;0.45, 1,
        ratio&lt;=0.5, 2,
        ratio&lt;=0.55, 3,
        ratio&lt;=0.6, 4,
        TRUE, 5
    ),
    skor
),0)</f>
        <v>1</v>
      </c>
      <c r="F10" s="18">
        <f t="array" ref="F10">iferror(LET(
    kode, B10,
    oatmilk, XLOOKUP(kode, Oatside!A:A, Oatside!E:E),
    drink, XLOOKUP(kode, Oatside!A:A, Oatside!D:D),
    ratio, oatmilk/drink,
    skor, IFS(
        ratio&gt;5%, 5,
        ratio&gt;=4%, 4,
        ratio&gt;=3%, 3,
        ratio&gt;=2%, 2,
        TRUE, 1
    ),
    skor
),0)</f>
        <v>5</v>
      </c>
      <c r="G10" s="18">
        <f t="array" ref="G10">iferror(LET(
    kode, B10,
    actual, XLOOKUP(kode, 'Snack Platter'!A:A, 'Snack Platter'!E:E),
    target, XLOOKUP(kode, 'Snack Platter'!A:A, 'Snack Platter'!D:D),
    ratio, actual/target,
    skor, IFS(
        ratio&gt;10%, 5,
        ratio&gt;=7.5%, 4,
        ratio&gt;=5%, 3,
        ratio&gt;=2.5%, 2,
        TRUE, 1
    ),
    skor
),0)</f>
        <v>2</v>
      </c>
      <c r="H10" s="18">
        <f t="array" ref="H10">iferror(LET(
    kode, B10,
    actual, XLOOKUP(kode, 'Bundling Asik'!A:A, 'Bundling Asik'!E:E),
    target, XLOOKUP(kode, 'Bundling Asik'!A:A, 'Bundling Asik'!D:D),
    ratio, actual/target,
    skor, IFS(
        ratio&gt;5%, 5,
        ratio&gt;=4%, 4,
        ratio&gt;=3%, 3,
        ratio&gt;=2%, 2,
        TRUE, 1
    ),
    skor
),0)</f>
        <v>4</v>
      </c>
      <c r="I10" s="18">
        <f t="array" ref="I10">iferror(LET(
    kode, B10,
    ratio, XLOOKUP(kode, Audit!A:A, Audit!C:C),
    skor, IFS(
        ratio&gt;90, 5,
        ratio&gt;=85, 4,
        ratio&gt;=80, 3,
        ratio&gt;=75, 2,
        TRUE, 1
    ),
    skor
),0)</f>
        <v>4</v>
      </c>
      <c r="J10" s="18">
        <f t="array" ref="J10">iferror(LET(
    kode, B10,
    ratio, XLOOKUP(kode, 'Mistery Shopper'!A:A, 'Mistery Shopper'!C:C),
    skor, IFS(
        ratio&gt;90%, 5,
        ratio&gt;=85%, 4,
        ratio&gt;=80%, 3,
        ratio&gt;=75%, 2,
        TRUE, 1
    ),
    skor
),0)</f>
        <v>5</v>
      </c>
      <c r="K10" s="18">
        <f t="array" ref="K10">iferror(LET(
    kode, B10,
    actual, XLOOKUP(kode, Complain!A:A, Complain!E:E),
    target, XLOOKUP(kode, Complain!A:A, Complain!D:D),
    ratio, actual/target,
    skor, IFS(
        ratio&gt;=0.16%, 1,
        ratio&gt;=0.15%, 2,
        ratio&gt;=0.125%, 3,
        ratio&gt;=0.1%, 4,
        TRUE, 5
    ),
    skor
),0)</f>
        <v>4</v>
      </c>
      <c r="L10" s="19">
        <f t="shared" si="1"/>
        <v>0.63</v>
      </c>
    </row>
    <row r="11">
      <c r="A11" s="17" t="s">
        <v>108</v>
      </c>
      <c r="B11" s="18" t="s">
        <v>111</v>
      </c>
      <c r="C11" s="18">
        <f t="array" ref="C11">iferror(LET(kode, B11, actual, XLOOKUP(kode, Sales!A:A, Sales!E:E),target, XLOOKUP(kode, Sales!A:A, Sales!D:D),ratio, actual/target,skor, IFS(ratio&gt;1, 5,ratio&gt;=0.975, 4,ratio&gt;=0.95, 3,ratio&gt;=0.9, 2,TRUE, 1),skor),0)</f>
        <v>2</v>
      </c>
      <c r="D11" s="18">
        <f t="array" ref="D11">iferror(LET(
    kode, B11,
    actual, XLOOKUP(kode, AVG!A:A, AVG!E:E),
    target, XLOOKUP(kode, AVG!A:A, AVG!D:D),
    ratio, actual/target,
    skor, IFS(
        ratio&gt;1, 5,
        ratio&gt;=0.975, 4,
        ratio&gt;=0.95, 3,
        ratio&gt;=0.9, 2,
        TRUE, 1
    ),
    skor
),0)</f>
        <v>5</v>
      </c>
      <c r="E11" s="18">
        <f t="array" ref="E11">iferror(LET(
    kode, B11,
    large, XLOOKUP(kode, Large!A:A, Large!E:E),
    small, XLOOKUP(kode, Large!A:A, Large!D:D),
    ratio, large/(large+small),
    skor, IFS(
        ratio&lt;0.45, 1,
        ratio&lt;=0.5, 2,
        ratio&lt;=0.55, 3,
        ratio&lt;=0.6, 4,
        TRUE, 5
    ),
    skor
),0)</f>
        <v>5</v>
      </c>
      <c r="F11" s="18">
        <f t="array" ref="F11">iferror(LET(
    kode, B11,
    oatmilk, XLOOKUP(kode, Oatside!A:A, Oatside!E:E),
    drink, XLOOKUP(kode, Oatside!A:A, Oatside!D:D),
    ratio, oatmilk/drink,
    skor, IFS(
        ratio&gt;5%, 5,
        ratio&gt;=4%, 4,
        ratio&gt;=3%, 3,
        ratio&gt;=2%, 2,
        TRUE, 1
    ),
    skor
),0)</f>
        <v>5</v>
      </c>
      <c r="G11" s="18">
        <f t="array" ref="G11">iferror(LET(
    kode, B11,
    actual, XLOOKUP(kode, 'Snack Platter'!A:A, 'Snack Platter'!E:E),
    target, XLOOKUP(kode, 'Snack Platter'!A:A, 'Snack Platter'!D:D),
    ratio, actual/target,
    skor, IFS(
        ratio&gt;10%, 5,
        ratio&gt;=7.5%, 4,
        ratio&gt;=5%, 3,
        ratio&gt;=2.5%, 2,
        TRUE, 1
    ),
    skor
),0)</f>
        <v>5</v>
      </c>
      <c r="H11" s="18">
        <f t="array" ref="H11">iferror(LET(
    kode, B11,
    actual, XLOOKUP(kode, 'Bundling Asik'!A:A, 'Bundling Asik'!E:E),
    target, XLOOKUP(kode, 'Bundling Asik'!A:A, 'Bundling Asik'!D:D),
    ratio, actual/target,
    skor, IFS(
        ratio&gt;5%, 5,
        ratio&gt;=4%, 4,
        ratio&gt;=3%, 3,
        ratio&gt;=2%, 2,
        TRUE, 1
    ),
    skor
),0)</f>
        <v>5</v>
      </c>
      <c r="I11" s="18">
        <f t="array" ref="I11">iferror(LET(
    kode, B11,
    ratio, XLOOKUP(kode, Audit!A:A, Audit!C:C),
    skor, IFS(
        ratio&gt;90, 5,
        ratio&gt;=85, 4,
        ratio&gt;=80, 3,
        ratio&gt;=75, 2,
        TRUE, 1
    ),
    skor
),0)</f>
        <v>3</v>
      </c>
      <c r="J11" s="18">
        <f t="array" ref="J11">iferror(LET(
    kode, B11,
    ratio, XLOOKUP(kode, 'Mistery Shopper'!A:A, 'Mistery Shopper'!C:C),
    skor, IFS(
        ratio&gt;90%, 5,
        ratio&gt;=85%, 4,
        ratio&gt;=80%, 3,
        ratio&gt;=75%, 2,
        TRUE, 1
    ),
    skor
),0)</f>
        <v>5</v>
      </c>
      <c r="K11" s="18">
        <f t="array" ref="K11">iferror(LET(
    kode, B11,
    actual, XLOOKUP(kode, Complain!A:A, Complain!E:E),
    target, XLOOKUP(kode, Complain!A:A, Complain!D:D),
    ratio, actual/target,
    skor, IFS(
        ratio&gt;=0.16%, 1,
        ratio&gt;=0.15%, 2,
        ratio&gt;=0.125%, 3,
        ratio&gt;=0.1%, 4,
        TRUE, 5
    ),
    skor
),0)</f>
        <v>1</v>
      </c>
      <c r="L11" s="19">
        <f t="shared" si="1"/>
        <v>0.62</v>
      </c>
    </row>
    <row r="12">
      <c r="A12" s="17" t="s">
        <v>110</v>
      </c>
      <c r="B12" s="18" t="s">
        <v>128</v>
      </c>
      <c r="C12" s="18">
        <f t="array" ref="C12">iferror(LET(kode, B12, actual, XLOOKUP(kode, Sales!A:A, Sales!E:E),target, XLOOKUP(kode, Sales!A:A, Sales!D:D),ratio, actual/target,skor, IFS(ratio&gt;1, 5,ratio&gt;=0.975, 4,ratio&gt;=0.95, 3,ratio&gt;=0.9, 2,TRUE, 1),skor),0)</f>
        <v>1</v>
      </c>
      <c r="D12" s="18">
        <f t="array" ref="D12">iferror(LET(
    kode, B12,
    actual, XLOOKUP(kode, AVG!A:A, AVG!E:E),
    target, XLOOKUP(kode, AVG!A:A, AVG!D:D),
    ratio, actual/target,
    skor, IFS(
        ratio&gt;1, 5,
        ratio&gt;=0.975, 4,
        ratio&gt;=0.95, 3,
        ratio&gt;=0.9, 2,
        TRUE, 1
    ),
    skor
),0)</f>
        <v>5</v>
      </c>
      <c r="E12" s="18">
        <f t="array" ref="E12">iferror(LET(
    kode, B12,
    large, XLOOKUP(kode, Large!A:A, Large!E:E),
    small, XLOOKUP(kode, Large!A:A, Large!D:D),
    ratio, large/(large+small),
    skor, IFS(
        ratio&lt;0.45, 1,
        ratio&lt;=0.5, 2,
        ratio&lt;=0.55, 3,
        ratio&lt;=0.6, 4,
        TRUE, 5
    ),
    skor
),0)</f>
        <v>1</v>
      </c>
      <c r="F12" s="18">
        <f t="array" ref="F12">iferror(LET(
    kode, B12,
    oatmilk, XLOOKUP(kode, Oatside!A:A, Oatside!E:E),
    drink, XLOOKUP(kode, Oatside!A:A, Oatside!D:D),
    ratio, oatmilk/drink,
    skor, IFS(
        ratio&gt;5%, 5,
        ratio&gt;=4%, 4,
        ratio&gt;=3%, 3,
        ratio&gt;=2%, 2,
        TRUE, 1
    ),
    skor
),0)</f>
        <v>5</v>
      </c>
      <c r="G12" s="18">
        <f t="array" ref="G12">iferror(LET(
    kode, B12,
    actual, XLOOKUP(kode, 'Snack Platter'!A:A, 'Snack Platter'!E:E),
    target, XLOOKUP(kode, 'Snack Platter'!A:A, 'Snack Platter'!D:D),
    ratio, actual/target,
    skor, IFS(
        ratio&gt;10%, 5,
        ratio&gt;=7.5%, 4,
        ratio&gt;=5%, 3,
        ratio&gt;=2.5%, 2,
        TRUE, 1
    ),
    skor
),0)</f>
        <v>3</v>
      </c>
      <c r="H12" s="18">
        <f t="array" ref="H12">iferror(LET(
    kode, B12,
    actual, XLOOKUP(kode, 'Bundling Asik'!A:A, 'Bundling Asik'!E:E),
    target, XLOOKUP(kode, 'Bundling Asik'!A:A, 'Bundling Asik'!D:D),
    ratio, actual/target,
    skor, IFS(
        ratio&gt;5%, 5,
        ratio&gt;=4%, 4,
        ratio&gt;=3%, 3,
        ratio&gt;=2%, 2,
        TRUE, 1
    ),
    skor
),0)</f>
        <v>2</v>
      </c>
      <c r="I12" s="18">
        <f t="array" ref="I12">iferror(LET(
    kode, B12,
    ratio, XLOOKUP(kode, Audit!A:A, Audit!C:C),
    skor, IFS(
        ratio&gt;90, 5,
        ratio&gt;=85, 4,
        ratio&gt;=80, 3,
        ratio&gt;=75, 2,
        TRUE, 1
    ),
    skor
),0)</f>
        <v>5</v>
      </c>
      <c r="J12" s="18">
        <f t="array" ref="J12">iferror(LET(
    kode, B12,
    ratio, XLOOKUP(kode, 'Mistery Shopper'!A:A, 'Mistery Shopper'!C:C),
    skor, IFS(
        ratio&gt;90%, 5,
        ratio&gt;=85%, 4,
        ratio&gt;=80%, 3,
        ratio&gt;=75%, 2,
        TRUE, 1
    ),
    skor
),0)</f>
        <v>5</v>
      </c>
      <c r="K12" s="18">
        <f t="array" ref="K12">iferror(LET(
    kode, B12,
    actual, XLOOKUP(kode, Complain!A:A, Complain!E:E),
    target, XLOOKUP(kode, Complain!A:A, Complain!D:D),
    ratio, actual/target,
    skor, IFS(
        ratio&gt;=0.16%, 1,
        ratio&gt;=0.15%, 2,
        ratio&gt;=0.125%, 3,
        ratio&gt;=0.1%, 4,
        TRUE, 5
    ),
    skor
),0)</f>
        <v>5</v>
      </c>
      <c r="L12" s="19">
        <f t="shared" si="1"/>
        <v>0.59</v>
      </c>
    </row>
    <row r="13">
      <c r="A13" s="17" t="s">
        <v>110</v>
      </c>
      <c r="B13" s="18" t="s">
        <v>131</v>
      </c>
      <c r="C13" s="18">
        <f t="array" ref="C13">iferror(LET(kode, B13, actual, XLOOKUP(kode, Sales!A:A, Sales!E:E),target, XLOOKUP(kode, Sales!A:A, Sales!D:D),ratio, actual/target,skor, IFS(ratio&gt;1, 5,ratio&gt;=0.975, 4,ratio&gt;=0.95, 3,ratio&gt;=0.9, 2,TRUE, 1),skor),0)</f>
        <v>1</v>
      </c>
      <c r="D13" s="18">
        <f t="array" ref="D13">iferror(LET(
    kode, B13,
    actual, XLOOKUP(kode, AVG!A:A, AVG!E:E),
    target, XLOOKUP(kode, AVG!A:A, AVG!D:D),
    ratio, actual/target,
    skor, IFS(
        ratio&gt;1, 5,
        ratio&gt;=0.975, 4,
        ratio&gt;=0.95, 3,
        ratio&gt;=0.9, 2,
        TRUE, 1
    ),
    skor
),0)</f>
        <v>5</v>
      </c>
      <c r="E13" s="18">
        <f t="array" ref="E13">iferror(LET(
    kode, B13,
    large, XLOOKUP(kode, Large!A:A, Large!E:E),
    small, XLOOKUP(kode, Large!A:A, Large!D:D),
    ratio, large/(large+small),
    skor, IFS(
        ratio&lt;0.45, 1,
        ratio&lt;=0.5, 2,
        ratio&lt;=0.55, 3,
        ratio&lt;=0.6, 4,
        TRUE, 5
    ),
    skor
),0)</f>
        <v>1</v>
      </c>
      <c r="F13" s="18">
        <f t="array" ref="F13">iferror(LET(
    kode, B13,
    oatmilk, XLOOKUP(kode, Oatside!A:A, Oatside!E:E),
    drink, XLOOKUP(kode, Oatside!A:A, Oatside!D:D),
    ratio, oatmilk/drink,
    skor, IFS(
        ratio&gt;5%, 5,
        ratio&gt;=4%, 4,
        ratio&gt;=3%, 3,
        ratio&gt;=2%, 2,
        TRUE, 1
    ),
    skor
),0)</f>
        <v>5</v>
      </c>
      <c r="G13" s="18">
        <f t="array" ref="G13">iferror(LET(
    kode, B13,
    actual, XLOOKUP(kode, 'Snack Platter'!A:A, 'Snack Platter'!E:E),
    target, XLOOKUP(kode, 'Snack Platter'!A:A, 'Snack Platter'!D:D),
    ratio, actual/target,
    skor, IFS(
        ratio&gt;10%, 5,
        ratio&gt;=7.5%, 4,
        ratio&gt;=5%, 3,
        ratio&gt;=2.5%, 2,
        TRUE, 1
    ),
    skor
),0)</f>
        <v>1</v>
      </c>
      <c r="H13" s="18">
        <f t="array" ref="H13">iferror(LET(
    kode, B13,
    actual, XLOOKUP(kode, 'Bundling Asik'!A:A, 'Bundling Asik'!E:E),
    target, XLOOKUP(kode, 'Bundling Asik'!A:A, 'Bundling Asik'!D:D),
    ratio, actual/target,
    skor, IFS(
        ratio&gt;5%, 5,
        ratio&gt;=4%, 4,
        ratio&gt;=3%, 3,
        ratio&gt;=2%, 2,
        TRUE, 1
    ),
    skor
),0)</f>
        <v>3</v>
      </c>
      <c r="I13" s="18">
        <f t="array" ref="I13">iferror(LET(
    kode, B13,
    ratio, XLOOKUP(kode, Audit!A:A, Audit!C:C),
    skor, IFS(
        ratio&gt;90, 5,
        ratio&gt;=85, 4,
        ratio&gt;=80, 3,
        ratio&gt;=75, 2,
        TRUE, 1
    ),
    skor
),0)</f>
        <v>3</v>
      </c>
      <c r="J13" s="18">
        <f t="array" ref="J13">iferror(LET(
    kode, B13,
    ratio, XLOOKUP(kode, 'Mistery Shopper'!A:A, 'Mistery Shopper'!C:C),
    skor, IFS(
        ratio&gt;90%, 5,
        ratio&gt;=85%, 4,
        ratio&gt;=80%, 3,
        ratio&gt;=75%, 2,
        TRUE, 1
    ),
    skor
),0)</f>
        <v>5</v>
      </c>
      <c r="K13" s="18">
        <f t="array" ref="K13">iferror(LET(
    kode, B13,
    actual, XLOOKUP(kode, Complain!A:A, Complain!E:E),
    target, XLOOKUP(kode, Complain!A:A, Complain!D:D),
    ratio, actual/target,
    skor, IFS(
        ratio&gt;=0.16%, 1,
        ratio&gt;=0.15%, 2,
        ratio&gt;=0.125%, 3,
        ratio&gt;=0.1%, 4,
        TRUE, 5
    ),
    skor
),0)</f>
        <v>5</v>
      </c>
      <c r="L13" s="19">
        <f t="shared" si="1"/>
        <v>0.52</v>
      </c>
    </row>
    <row r="14">
      <c r="A14" s="17" t="s">
        <v>115</v>
      </c>
      <c r="B14" s="18" t="s">
        <v>129</v>
      </c>
      <c r="C14" s="18">
        <f t="array" ref="C14">iferror(LET(kode, B14, actual, XLOOKUP(kode, Sales!A:A, Sales!E:E),target, XLOOKUP(kode, Sales!A:A, Sales!D:D),ratio, actual/target,skor, IFS(ratio&gt;1, 5,ratio&gt;=0.975, 4,ratio&gt;=0.95, 3,ratio&gt;=0.9, 2,TRUE, 1),skor),0)</f>
        <v>1</v>
      </c>
      <c r="D14" s="18">
        <f t="array" ref="D14">iferror(LET(
    kode, B14,
    actual, XLOOKUP(kode, AVG!A:A, AVG!E:E),
    target, XLOOKUP(kode, AVG!A:A, AVG!D:D),
    ratio, actual/target,
    skor, IFS(
        ratio&gt;1, 5,
        ratio&gt;=0.975, 4,
        ratio&gt;=0.95, 3,
        ratio&gt;=0.9, 2,
        TRUE, 1
    ),
    skor
),0)</f>
        <v>5</v>
      </c>
      <c r="E14" s="18">
        <f t="array" ref="E14">iferror(LET(
    kode, B14,
    large, XLOOKUP(kode, Large!A:A, Large!E:E),
    small, XLOOKUP(kode, Large!A:A, Large!D:D),
    ratio, large/(large+small),
    skor, IFS(
        ratio&lt;0.45, 1,
        ratio&lt;=0.5, 2,
        ratio&lt;=0.55, 3,
        ratio&lt;=0.6, 4,
        TRUE, 5
    ),
    skor
),0)</f>
        <v>2</v>
      </c>
      <c r="F14" s="18">
        <f t="array" ref="F14">iferror(LET(
    kode, B14,
    oatmilk, XLOOKUP(kode, Oatside!A:A, Oatside!E:E),
    drink, XLOOKUP(kode, Oatside!A:A, Oatside!D:D),
    ratio, oatmilk/drink,
    skor, IFS(
        ratio&gt;5%, 5,
        ratio&gt;=4%, 4,
        ratio&gt;=3%, 3,
        ratio&gt;=2%, 2,
        TRUE, 1
    ),
    skor
),0)</f>
        <v>5</v>
      </c>
      <c r="G14" s="18">
        <f t="array" ref="G14">iferror(LET(
    kode, B14,
    actual, XLOOKUP(kode, 'Snack Platter'!A:A, 'Snack Platter'!E:E),
    target, XLOOKUP(kode, 'Snack Platter'!A:A, 'Snack Platter'!D:D),
    ratio, actual/target,
    skor, IFS(
        ratio&gt;10%, 5,
        ratio&gt;=7.5%, 4,
        ratio&gt;=5%, 3,
        ratio&gt;=2.5%, 2,
        TRUE, 1
    ),
    skor
),0)</f>
        <v>5</v>
      </c>
      <c r="H14" s="18">
        <f t="array" ref="H14">iferror(LET(
    kode, B14,
    actual, XLOOKUP(kode, 'Bundling Asik'!A:A, 'Bundling Asik'!E:E),
    target, XLOOKUP(kode, 'Bundling Asik'!A:A, 'Bundling Asik'!D:D),
    ratio, actual/target,
    skor, IFS(
        ratio&gt;5%, 5,
        ratio&gt;=4%, 4,
        ratio&gt;=3%, 3,
        ratio&gt;=2%, 2,
        TRUE, 1
    ),
    skor
),0)</f>
        <v>5</v>
      </c>
      <c r="I14" s="18">
        <f t="array" ref="I14">iferror(LET(
    kode, B14,
    ratio, XLOOKUP(kode, Audit!A:A, Audit!C:C),
    skor, IFS(
        ratio&gt;90, 5,
        ratio&gt;=85, 4,
        ratio&gt;=80, 3,
        ratio&gt;=75, 2,
        TRUE, 1
    ),
    skor
),0)</f>
        <v>2</v>
      </c>
      <c r="J14" s="18">
        <f t="array" ref="J14">iferror(LET(
    kode, B14,
    ratio, XLOOKUP(kode, 'Mistery Shopper'!A:A, 'Mistery Shopper'!C:C),
    skor, IFS(
        ratio&gt;90%, 5,
        ratio&gt;=85%, 4,
        ratio&gt;=80%, 3,
        ratio&gt;=75%, 2,
        TRUE, 1
    ),
    skor
),0)</f>
        <v>5</v>
      </c>
      <c r="K14" s="18">
        <f t="array" ref="K14">iferror(LET(
    kode, B14,
    actual, XLOOKUP(kode, Complain!A:A, Complain!E:E),
    target, XLOOKUP(kode, Complain!A:A, Complain!D:D),
    ratio, actual/target,
    skor, IFS(
        ratio&gt;=0.16%, 1,
        ratio&gt;=0.15%, 2,
        ratio&gt;=0.125%, 3,
        ratio&gt;=0.1%, 4,
        TRUE, 5
    ),
    skor
),0)</f>
        <v>3</v>
      </c>
      <c r="L14" s="19">
        <f t="shared" si="1"/>
        <v>0.52</v>
      </c>
    </row>
    <row r="15">
      <c r="A15" s="17" t="s">
        <v>115</v>
      </c>
      <c r="B15" s="18" t="s">
        <v>121</v>
      </c>
      <c r="C15" s="18">
        <f t="array" ref="C15">iferror(LET(kode, B15, actual, XLOOKUP(kode, Sales!A:A, Sales!E:E),target, XLOOKUP(kode, Sales!A:A, Sales!D:D),ratio, actual/target,skor, IFS(ratio&gt;1, 5,ratio&gt;=0.975, 4,ratio&gt;=0.95, 3,ratio&gt;=0.9, 2,TRUE, 1),skor),0)</f>
        <v>1</v>
      </c>
      <c r="D15" s="18">
        <f t="array" ref="D15">iferror(LET(
    kode, B15,
    actual, XLOOKUP(kode, AVG!A:A, AVG!E:E),
    target, XLOOKUP(kode, AVG!A:A, AVG!D:D),
    ratio, actual/target,
    skor, IFS(
        ratio&gt;1, 5,
        ratio&gt;=0.975, 4,
        ratio&gt;=0.95, 3,
        ratio&gt;=0.9, 2,
        TRUE, 1
    ),
    skor
),0)</f>
        <v>5</v>
      </c>
      <c r="E15" s="18">
        <f t="array" ref="E15">iferror(LET(
    kode, B15,
    large, XLOOKUP(kode, Large!A:A, Large!E:E),
    small, XLOOKUP(kode, Large!A:A, Large!D:D),
    ratio, large/(large+small),
    skor, IFS(
        ratio&lt;0.45, 1,
        ratio&lt;=0.5, 2,
        ratio&lt;=0.55, 3,
        ratio&lt;=0.6, 4,
        TRUE, 5
    ),
    skor
),0)</f>
        <v>2</v>
      </c>
      <c r="F15" s="18">
        <f t="array" ref="F15">iferror(LET(
    kode, B15,
    oatmilk, XLOOKUP(kode, Oatside!A:A, Oatside!E:E),
    drink, XLOOKUP(kode, Oatside!A:A, Oatside!D:D),
    ratio, oatmilk/drink,
    skor, IFS(
        ratio&gt;5%, 5,
        ratio&gt;=4%, 4,
        ratio&gt;=3%, 3,
        ratio&gt;=2%, 2,
        TRUE, 1
    ),
    skor
),0)</f>
        <v>5</v>
      </c>
      <c r="G15" s="18">
        <f t="array" ref="G15">iferror(LET(
    kode, B15,
    actual, XLOOKUP(kode, 'Snack Platter'!A:A, 'Snack Platter'!E:E),
    target, XLOOKUP(kode, 'Snack Platter'!A:A, 'Snack Platter'!D:D),
    ratio, actual/target,
    skor, IFS(
        ratio&gt;10%, 5,
        ratio&gt;=7.5%, 4,
        ratio&gt;=5%, 3,
        ratio&gt;=2.5%, 2,
        TRUE, 1
    ),
    skor
),0)</f>
        <v>2</v>
      </c>
      <c r="H15" s="18">
        <f t="array" ref="H15">iferror(LET(
    kode, B15,
    actual, XLOOKUP(kode, 'Bundling Asik'!A:A, 'Bundling Asik'!E:E),
    target, XLOOKUP(kode, 'Bundling Asik'!A:A, 'Bundling Asik'!D:D),
    ratio, actual/target,
    skor, IFS(
        ratio&gt;5%, 5,
        ratio&gt;=4%, 4,
        ratio&gt;=3%, 3,
        ratio&gt;=2%, 2,
        TRUE, 1
    ),
    skor
),0)</f>
        <v>3</v>
      </c>
      <c r="I15" s="18">
        <f t="array" ref="I15">iferror(LET(
    kode, B15,
    ratio, XLOOKUP(kode, Audit!A:A, Audit!C:C),
    skor, IFS(
        ratio&gt;90, 5,
        ratio&gt;=85, 4,
        ratio&gt;=80, 3,
        ratio&gt;=75, 2,
        TRUE, 1
    ),
    skor
),0)</f>
        <v>2</v>
      </c>
      <c r="J15" s="18">
        <f t="array" ref="J15">iferror(LET(
    kode, B15,
    ratio, XLOOKUP(kode, 'Mistery Shopper'!A:A, 'Mistery Shopper'!C:C),
    skor, IFS(
        ratio&gt;90%, 5,
        ratio&gt;=85%, 4,
        ratio&gt;=80%, 3,
        ratio&gt;=75%, 2,
        TRUE, 1
    ),
    skor
),0)</f>
        <v>5</v>
      </c>
      <c r="K15" s="18">
        <f t="array" ref="K15">iferror(LET(
    kode, B15,
    actual, XLOOKUP(kode, Complain!A:A, Complain!E:E),
    target, XLOOKUP(kode, Complain!A:A, Complain!D:D),
    ratio, actual/target,
    skor, IFS(
        ratio&gt;=0.16%, 1,
        ratio&gt;=0.15%, 2,
        ratio&gt;=0.125%, 3,
        ratio&gt;=0.1%, 4,
        TRUE, 5
    ),
    skor
),0)</f>
        <v>5</v>
      </c>
      <c r="L15" s="19">
        <f t="shared" si="1"/>
        <v>0.51</v>
      </c>
    </row>
    <row r="16">
      <c r="A16" s="17" t="s">
        <v>115</v>
      </c>
      <c r="B16" s="18" t="s">
        <v>132</v>
      </c>
      <c r="C16" s="18">
        <f t="array" ref="C16">iferror(LET(kode, B16, actual, XLOOKUP(kode, Sales!A:A, Sales!E:E),target, XLOOKUP(kode, Sales!A:A, Sales!D:D),ratio, actual/target,skor, IFS(ratio&gt;1, 5,ratio&gt;=0.975, 4,ratio&gt;=0.95, 3,ratio&gt;=0.9, 2,TRUE, 1),skor),0)</f>
        <v>1</v>
      </c>
      <c r="D16" s="18">
        <f t="array" ref="D16">iferror(LET(
    kode, B16,
    actual, XLOOKUP(kode, AVG!A:A, AVG!E:E),
    target, XLOOKUP(kode, AVG!A:A, AVG!D:D),
    ratio, actual/target,
    skor, IFS(
        ratio&gt;1, 5,
        ratio&gt;=0.975, 4,
        ratio&gt;=0.95, 3,
        ratio&gt;=0.9, 2,
        TRUE, 1
    ),
    skor
),0)</f>
        <v>5</v>
      </c>
      <c r="E16" s="18">
        <f t="array" ref="E16">iferror(LET(
    kode, B16,
    large, XLOOKUP(kode, Large!A:A, Large!E:E),
    small, XLOOKUP(kode, Large!A:A, Large!D:D),
    ratio, large/(large+small),
    skor, IFS(
        ratio&lt;0.45, 1,
        ratio&lt;=0.5, 2,
        ratio&lt;=0.55, 3,
        ratio&lt;=0.6, 4,
        TRUE, 5
    ),
    skor
),0)</f>
        <v>1</v>
      </c>
      <c r="F16" s="18">
        <f t="array" ref="F16">iferror(LET(
    kode, B16,
    oatmilk, XLOOKUP(kode, Oatside!A:A, Oatside!E:E),
    drink, XLOOKUP(kode, Oatside!A:A, Oatside!D:D),
    ratio, oatmilk/drink,
    skor, IFS(
        ratio&gt;5%, 5,
        ratio&gt;=4%, 4,
        ratio&gt;=3%, 3,
        ratio&gt;=2%, 2,
        TRUE, 1
    ),
    skor
),0)</f>
        <v>5</v>
      </c>
      <c r="G16" s="18">
        <f t="array" ref="G16">iferror(LET(
    kode, B16,
    actual, XLOOKUP(kode, 'Snack Platter'!A:A, 'Snack Platter'!E:E),
    target, XLOOKUP(kode, 'Snack Platter'!A:A, 'Snack Platter'!D:D),
    ratio, actual/target,
    skor, IFS(
        ratio&gt;10%, 5,
        ratio&gt;=7.5%, 4,
        ratio&gt;=5%, 3,
        ratio&gt;=2.5%, 2,
        TRUE, 1
    ),
    skor
),0)</f>
        <v>2</v>
      </c>
      <c r="H16" s="18">
        <f t="array" ref="H16">iferror(LET(
    kode, B16,
    actual, XLOOKUP(kode, 'Bundling Asik'!A:A, 'Bundling Asik'!E:E),
    target, XLOOKUP(kode, 'Bundling Asik'!A:A, 'Bundling Asik'!D:D),
    ratio, actual/target,
    skor, IFS(
        ratio&gt;5%, 5,
        ratio&gt;=4%, 4,
        ratio&gt;=3%, 3,
        ratio&gt;=2%, 2,
        TRUE, 1
    ),
    skor
),0)</f>
        <v>3</v>
      </c>
      <c r="I16" s="18">
        <f t="array" ref="I16">iferror(LET(
    kode, B16,
    ratio, XLOOKUP(kode, Audit!A:A, Audit!C:C),
    skor, IFS(
        ratio&gt;90, 5,
        ratio&gt;=85, 4,
        ratio&gt;=80, 3,
        ratio&gt;=75, 2,
        TRUE, 1
    ),
    skor
),0)</f>
        <v>2</v>
      </c>
      <c r="J16" s="18">
        <f t="array" ref="J16">iferror(LET(
    kode, B16,
    ratio, XLOOKUP(kode, 'Mistery Shopper'!A:A, 'Mistery Shopper'!C:C),
    skor, IFS(
        ratio&gt;90%, 5,
        ratio&gt;=85%, 4,
        ratio&gt;=80%, 3,
        ratio&gt;=75%, 2,
        TRUE, 1
    ),
    skor
),0)</f>
        <v>5</v>
      </c>
      <c r="K16" s="18">
        <f t="array" ref="K16">iferror(LET(
    kode, B16,
    actual, XLOOKUP(kode, Complain!A:A, Complain!E:E),
    target, XLOOKUP(kode, Complain!A:A, Complain!D:D),
    ratio, actual/target,
    skor, IFS(
        ratio&gt;=0.16%, 1,
        ratio&gt;=0.15%, 2,
        ratio&gt;=0.125%, 3,
        ratio&gt;=0.1%, 4,
        TRUE, 5
    ),
    skor
),0)</f>
        <v>5</v>
      </c>
      <c r="L16" s="19">
        <f t="shared" si="1"/>
        <v>0.5</v>
      </c>
    </row>
    <row r="17">
      <c r="A17" s="17" t="s">
        <v>117</v>
      </c>
      <c r="B17" s="18" t="s">
        <v>134</v>
      </c>
      <c r="C17" s="18">
        <f t="array" ref="C17">iferror(LET(kode, B17, actual, XLOOKUP(kode, Sales!A:A, Sales!E:E),target, XLOOKUP(kode, Sales!A:A, Sales!D:D),ratio, actual/target,skor, IFS(ratio&gt;1, 5,ratio&gt;=0.975, 4,ratio&gt;=0.95, 3,ratio&gt;=0.9, 2,TRUE, 1),skor),0)</f>
        <v>1</v>
      </c>
      <c r="D17" s="18">
        <f t="array" ref="D17">iferror(LET(
    kode, B17,
    actual, XLOOKUP(kode, AVG!A:A, AVG!E:E),
    target, XLOOKUP(kode, AVG!A:A, AVG!D:D),
    ratio, actual/target,
    skor, IFS(
        ratio&gt;1, 5,
        ratio&gt;=0.975, 4,
        ratio&gt;=0.95, 3,
        ratio&gt;=0.9, 2,
        TRUE, 1
    ),
    skor
),0)</f>
        <v>5</v>
      </c>
      <c r="E17" s="18">
        <f t="array" ref="E17">iferror(LET(
    kode, B17,
    large, XLOOKUP(kode, Large!A:A, Large!E:E),
    small, XLOOKUP(kode, Large!A:A, Large!D:D),
    ratio, large/(large+small),
    skor, IFS(
        ratio&lt;0.45, 1,
        ratio&lt;=0.5, 2,
        ratio&lt;=0.55, 3,
        ratio&lt;=0.6, 4,
        TRUE, 5
    ),
    skor
),0)</f>
        <v>1</v>
      </c>
      <c r="F17" s="18">
        <f t="array" ref="F17">iferror(LET(
    kode, B17,
    oatmilk, XLOOKUP(kode, Oatside!A:A, Oatside!E:E),
    drink, XLOOKUP(kode, Oatside!A:A, Oatside!D:D),
    ratio, oatmilk/drink,
    skor, IFS(
        ratio&gt;5%, 5,
        ratio&gt;=4%, 4,
        ratio&gt;=3%, 3,
        ratio&gt;=2%, 2,
        TRUE, 1
    ),
    skor
),0)</f>
        <v>4</v>
      </c>
      <c r="G17" s="18">
        <f t="array" ref="G17">iferror(LET(
    kode, B17,
    actual, XLOOKUP(kode, 'Snack Platter'!A:A, 'Snack Platter'!E:E),
    target, XLOOKUP(kode, 'Snack Platter'!A:A, 'Snack Platter'!D:D),
    ratio, actual/target,
    skor, IFS(
        ratio&gt;10%, 5,
        ratio&gt;=7.5%, 4,
        ratio&gt;=5%, 3,
        ratio&gt;=2.5%, 2,
        TRUE, 1
    ),
    skor
),0)</f>
        <v>1</v>
      </c>
      <c r="H17" s="18">
        <f t="array" ref="H17">iferror(LET(
    kode, B17,
    actual, XLOOKUP(kode, 'Bundling Asik'!A:A, 'Bundling Asik'!E:E),
    target, XLOOKUP(kode, 'Bundling Asik'!A:A, 'Bundling Asik'!D:D),
    ratio, actual/target,
    skor, IFS(
        ratio&gt;5%, 5,
        ratio&gt;=4%, 4,
        ratio&gt;=3%, 3,
        ratio&gt;=2%, 2,
        TRUE, 1
    ),
    skor
),0)</f>
        <v>2</v>
      </c>
      <c r="I17" s="18">
        <f t="array" ref="I17">iferror(LET(
    kode, B17,
    ratio, XLOOKUP(kode, Audit!A:A, Audit!C:C),
    skor, IFS(
        ratio&gt;90, 5,
        ratio&gt;=85, 4,
        ratio&gt;=80, 3,
        ratio&gt;=75, 2,
        TRUE, 1
    ),
    skor
),0)</f>
        <v>3</v>
      </c>
      <c r="J17" s="18">
        <f t="array" ref="J17">iferror(LET(
    kode, B17,
    ratio, XLOOKUP(kode, 'Mistery Shopper'!A:A, 'Mistery Shopper'!C:C),
    skor, IFS(
        ratio&gt;90%, 5,
        ratio&gt;=85%, 4,
        ratio&gt;=80%, 3,
        ratio&gt;=75%, 2,
        TRUE, 1
    ),
    skor
),0)</f>
        <v>5</v>
      </c>
      <c r="K17" s="18">
        <f t="array" ref="K17">iferror(LET(
    kode, B17,
    actual, XLOOKUP(kode, Complain!A:A, Complain!E:E),
    target, XLOOKUP(kode, Complain!A:A, Complain!D:D),
    ratio, actual/target,
    skor, IFS(
        ratio&gt;=0.16%, 1,
        ratio&gt;=0.15%, 2,
        ratio&gt;=0.125%, 3,
        ratio&gt;=0.1%, 4,
        TRUE, 5
    ),
    skor
),0)</f>
        <v>5</v>
      </c>
      <c r="L17" s="19">
        <f t="shared" si="1"/>
        <v>0.5</v>
      </c>
    </row>
    <row r="18">
      <c r="A18" s="17" t="s">
        <v>115</v>
      </c>
      <c r="B18" s="18" t="s">
        <v>135</v>
      </c>
      <c r="C18" s="18">
        <f t="array" ref="C18">iferror(LET(kode, B18, actual, XLOOKUP(kode, Sales!A:A, Sales!E:E),target, XLOOKUP(kode, Sales!A:A, Sales!D:D),ratio, actual/target,skor, IFS(ratio&gt;1, 5,ratio&gt;=0.975, 4,ratio&gt;=0.95, 3,ratio&gt;=0.9, 2,TRUE, 1),skor),0)</f>
        <v>1</v>
      </c>
      <c r="D18" s="18">
        <f t="array" ref="D18">iferror(LET(
    kode, B18,
    actual, XLOOKUP(kode, AVG!A:A, AVG!E:E),
    target, XLOOKUP(kode, AVG!A:A, AVG!D:D),
    ratio, actual/target,
    skor, IFS(
        ratio&gt;1, 5,
        ratio&gt;=0.975, 4,
        ratio&gt;=0.95, 3,
        ratio&gt;=0.9, 2,
        TRUE, 1
    ),
    skor
),0)</f>
        <v>3</v>
      </c>
      <c r="E18" s="18">
        <f t="array" ref="E18">iferror(LET(
    kode, B18,
    large, XLOOKUP(kode, Large!A:A, Large!E:E),
    small, XLOOKUP(kode, Large!A:A, Large!D:D),
    ratio, large/(large+small),
    skor, IFS(
        ratio&lt;0.45, 1,
        ratio&lt;=0.5, 2,
        ratio&lt;=0.55, 3,
        ratio&lt;=0.6, 4,
        TRUE, 5
    ),
    skor
),0)</f>
        <v>5</v>
      </c>
      <c r="F18" s="18">
        <f t="array" ref="F18">iferror(LET(
    kode, B18,
    oatmilk, XLOOKUP(kode, Oatside!A:A, Oatside!E:E),
    drink, XLOOKUP(kode, Oatside!A:A, Oatside!D:D),
    ratio, oatmilk/drink,
    skor, IFS(
        ratio&gt;5%, 5,
        ratio&gt;=4%, 4,
        ratio&gt;=3%, 3,
        ratio&gt;=2%, 2,
        TRUE, 1
    ),
    skor
),0)</f>
        <v>5</v>
      </c>
      <c r="G18" s="18">
        <f t="array" ref="G18">iferror(LET(
    kode, B18,
    actual, XLOOKUP(kode, 'Snack Platter'!A:A, 'Snack Platter'!E:E),
    target, XLOOKUP(kode, 'Snack Platter'!A:A, 'Snack Platter'!D:D),
    ratio, actual/target,
    skor, IFS(
        ratio&gt;10%, 5,
        ratio&gt;=7.5%, 4,
        ratio&gt;=5%, 3,
        ratio&gt;=2.5%, 2,
        TRUE, 1
    ),
    skor
),0)</f>
        <v>5</v>
      </c>
      <c r="H18" s="18">
        <f t="array" ref="H18">iferror(LET(
    kode, B18,
    actual, XLOOKUP(kode, 'Bundling Asik'!A:A, 'Bundling Asik'!E:E),
    target, XLOOKUP(kode, 'Bundling Asik'!A:A, 'Bundling Asik'!D:D),
    ratio, actual/target,
    skor, IFS(
        ratio&gt;5%, 5,
        ratio&gt;=4%, 4,
        ratio&gt;=3%, 3,
        ratio&gt;=2%, 2,
        TRUE, 1
    ),
    skor
),0)</f>
        <v>3</v>
      </c>
      <c r="I18" s="18">
        <f t="array" ref="I18">iferror(LET(
    kode, B18,
    ratio, XLOOKUP(kode, Audit!A:A, Audit!C:C),
    skor, IFS(
        ratio&gt;90, 5,
        ratio&gt;=85, 4,
        ratio&gt;=80, 3,
        ratio&gt;=75, 2,
        TRUE, 1
    ),
    skor
),0)</f>
        <v>3</v>
      </c>
      <c r="J18" s="18">
        <f t="array" ref="J18">iferror(LET(
    kode, B18,
    ratio, XLOOKUP(kode, 'Mistery Shopper'!A:A, 'Mistery Shopper'!C:C),
    skor, IFS(
        ratio&gt;90%, 5,
        ratio&gt;=85%, 4,
        ratio&gt;=80%, 3,
        ratio&gt;=75%, 2,
        TRUE, 1
    ),
    skor
),0)</f>
        <v>5</v>
      </c>
      <c r="K18" s="18">
        <f t="array" ref="K18">iferror(LET(
    kode, B18,
    actual, XLOOKUP(kode, Complain!A:A, Complain!E:E),
    target, XLOOKUP(kode, Complain!A:A, Complain!D:D),
    ratio, actual/target,
    skor, IFS(
        ratio&gt;=0.16%, 1,
        ratio&gt;=0.15%, 2,
        ratio&gt;=0.125%, 3,
        ratio&gt;=0.1%, 4,
        TRUE, 5
    ),
    skor
),0)</f>
        <v>2</v>
      </c>
      <c r="L18" s="19">
        <f t="shared" si="1"/>
        <v>0.5</v>
      </c>
    </row>
    <row r="19">
      <c r="A19" s="17" t="s">
        <v>117</v>
      </c>
      <c r="B19" s="18" t="s">
        <v>122</v>
      </c>
      <c r="C19" s="18">
        <f t="array" ref="C19">iferror(LET(kode, B19, actual, XLOOKUP(kode, Sales!A:A, Sales!E:E),target, XLOOKUP(kode, Sales!A:A, Sales!D:D),ratio, actual/target,skor, IFS(ratio&gt;1, 5,ratio&gt;=0.975, 4,ratio&gt;=0.95, 3,ratio&gt;=0.9, 2,TRUE, 1),skor),0)</f>
        <v>1</v>
      </c>
      <c r="D19" s="18">
        <f t="array" ref="D19">iferror(LET(
    kode, B19,
    actual, XLOOKUP(kode, AVG!A:A, AVG!E:E),
    target, XLOOKUP(kode, AVG!A:A, AVG!D:D),
    ratio, actual/target,
    skor, IFS(
        ratio&gt;1, 5,
        ratio&gt;=0.975, 4,
        ratio&gt;=0.95, 3,
        ratio&gt;=0.9, 2,
        TRUE, 1
    ),
    skor
),0)</f>
        <v>5</v>
      </c>
      <c r="E19" s="18">
        <f t="array" ref="E19">iferror(LET(
    kode, B19,
    large, XLOOKUP(kode, Large!A:A, Large!E:E),
    small, XLOOKUP(kode, Large!A:A, Large!D:D),
    ratio, large/(large+small),
    skor, IFS(
        ratio&lt;0.45, 1,
        ratio&lt;=0.5, 2,
        ratio&lt;=0.55, 3,
        ratio&lt;=0.6, 4,
        TRUE, 5
    ),
    skor
),0)</f>
        <v>1</v>
      </c>
      <c r="F19" s="18">
        <f t="array" ref="F19">iferror(LET(
    kode, B19,
    oatmilk, XLOOKUP(kode, Oatside!A:A, Oatside!E:E),
    drink, XLOOKUP(kode, Oatside!A:A, Oatside!D:D),
    ratio, oatmilk/drink,
    skor, IFS(
        ratio&gt;5%, 5,
        ratio&gt;=4%, 4,
        ratio&gt;=3%, 3,
        ratio&gt;=2%, 2,
        TRUE, 1
    ),
    skor
),0)</f>
        <v>5</v>
      </c>
      <c r="G19" s="18">
        <f t="array" ref="G19">iferror(LET(
    kode, B19,
    actual, XLOOKUP(kode, 'Snack Platter'!A:A, 'Snack Platter'!E:E),
    target, XLOOKUP(kode, 'Snack Platter'!A:A, 'Snack Platter'!D:D),
    ratio, actual/target,
    skor, IFS(
        ratio&gt;10%, 5,
        ratio&gt;=7.5%, 4,
        ratio&gt;=5%, 3,
        ratio&gt;=2.5%, 2,
        TRUE, 1
    ),
    skor
),0)</f>
        <v>1</v>
      </c>
      <c r="H19" s="18">
        <f t="array" ref="H19">iferror(LET(
    kode, B19,
    actual, XLOOKUP(kode, 'Bundling Asik'!A:A, 'Bundling Asik'!E:E),
    target, XLOOKUP(kode, 'Bundling Asik'!A:A, 'Bundling Asik'!D:D),
    ratio, actual/target,
    skor, IFS(
        ratio&gt;5%, 5,
        ratio&gt;=4%, 4,
        ratio&gt;=3%, 3,
        ratio&gt;=2%, 2,
        TRUE, 1
    ),
    skor
),0)</f>
        <v>2</v>
      </c>
      <c r="I19" s="18">
        <f t="array" ref="I19">iferror(LET(
    kode, B19,
    ratio, XLOOKUP(kode, Audit!A:A, Audit!C:C),
    skor, IFS(
        ratio&gt;90, 5,
        ratio&gt;=85, 4,
        ratio&gt;=80, 3,
        ratio&gt;=75, 2,
        TRUE, 1
    ),
    skor
),0)</f>
        <v>2</v>
      </c>
      <c r="J19" s="18">
        <f t="array" ref="J19">iferror(LET(
    kode, B19,
    ratio, XLOOKUP(kode, 'Mistery Shopper'!A:A, 'Mistery Shopper'!C:C),
    skor, IFS(
        ratio&gt;90%, 5,
        ratio&gt;=85%, 4,
        ratio&gt;=80%, 3,
        ratio&gt;=75%, 2,
        TRUE, 1
    ),
    skor
),0)</f>
        <v>5</v>
      </c>
      <c r="K19" s="18">
        <f t="array" ref="K19">iferror(LET(
    kode, B19,
    actual, XLOOKUP(kode, Complain!A:A, Complain!E:E),
    target, XLOOKUP(kode, Complain!A:A, Complain!D:D),
    ratio, actual/target,
    skor, IFS(
        ratio&gt;=0.16%, 1,
        ratio&gt;=0.15%, 2,
        ratio&gt;=0.125%, 3,
        ratio&gt;=0.1%, 4,
        TRUE, 5
    ),
    skor
),0)</f>
        <v>5</v>
      </c>
      <c r="L19" s="19">
        <f t="shared" si="1"/>
        <v>0.48</v>
      </c>
    </row>
    <row r="20">
      <c r="A20" s="17" t="s">
        <v>108</v>
      </c>
      <c r="B20" s="18" t="s">
        <v>125</v>
      </c>
      <c r="C20" s="18">
        <f t="array" ref="C20">iferror(LET(kode, B20, actual, XLOOKUP(kode, Sales!A:A, Sales!E:E),target, XLOOKUP(kode, Sales!A:A, Sales!D:D),ratio, actual/target,skor, IFS(ratio&gt;1, 5,ratio&gt;=0.975, 4,ratio&gt;=0.95, 3,ratio&gt;=0.9, 2,TRUE, 1),skor),0)</f>
        <v>1</v>
      </c>
      <c r="D20" s="18">
        <f t="array" ref="D20">iferror(LET(
    kode, B20,
    actual, XLOOKUP(kode, AVG!A:A, AVG!E:E),
    target, XLOOKUP(kode, AVG!A:A, AVG!D:D),
    ratio, actual/target,
    skor, IFS(
        ratio&gt;1, 5,
        ratio&gt;=0.975, 4,
        ratio&gt;=0.95, 3,
        ratio&gt;=0.9, 2,
        TRUE, 1
    ),
    skor
),0)</f>
        <v>5</v>
      </c>
      <c r="E20" s="18">
        <f t="array" ref="E20">iferror(LET(
    kode, B20,
    large, XLOOKUP(kode, Large!A:A, Large!E:E),
    small, XLOOKUP(kode, Large!A:A, Large!D:D),
    ratio, large/(large+small),
    skor, IFS(
        ratio&lt;0.45, 1,
        ratio&lt;=0.5, 2,
        ratio&lt;=0.55, 3,
        ratio&lt;=0.6, 4,
        TRUE, 5
    ),
    skor
),0)</f>
        <v>2</v>
      </c>
      <c r="F20" s="18">
        <f t="array" ref="F20">iferror(LET(
    kode, B20,
    oatmilk, XLOOKUP(kode, Oatside!A:A, Oatside!E:E),
    drink, XLOOKUP(kode, Oatside!A:A, Oatside!D:D),
    ratio, oatmilk/drink,
    skor, IFS(
        ratio&gt;5%, 5,
        ratio&gt;=4%, 4,
        ratio&gt;=3%, 3,
        ratio&gt;=2%, 2,
        TRUE, 1
    ),
    skor
),0)</f>
        <v>5</v>
      </c>
      <c r="G20" s="18">
        <f t="array" ref="G20">iferror(LET(
    kode, B20,
    actual, XLOOKUP(kode, 'Snack Platter'!A:A, 'Snack Platter'!E:E),
    target, XLOOKUP(kode, 'Snack Platter'!A:A, 'Snack Platter'!D:D),
    ratio, actual/target,
    skor, IFS(
        ratio&gt;10%, 5,
        ratio&gt;=7.5%, 4,
        ratio&gt;=5%, 3,
        ratio&gt;=2.5%, 2,
        TRUE, 1
    ),
    skor
),0)</f>
        <v>2</v>
      </c>
      <c r="H20" s="18">
        <f t="array" ref="H20">iferror(LET(
    kode, B20,
    actual, XLOOKUP(kode, 'Bundling Asik'!A:A, 'Bundling Asik'!E:E),
    target, XLOOKUP(kode, 'Bundling Asik'!A:A, 'Bundling Asik'!D:D),
    ratio, actual/target,
    skor, IFS(
        ratio&gt;5%, 5,
        ratio&gt;=4%, 4,
        ratio&gt;=3%, 3,
        ratio&gt;=2%, 2,
        TRUE, 1
    ),
    skor
),0)</f>
        <v>2</v>
      </c>
      <c r="I20" s="18">
        <f t="array" ref="I20">iferror(LET(
    kode, B20,
    ratio, XLOOKUP(kode, Audit!A:A, Audit!C:C),
    skor, IFS(
        ratio&gt;90, 5,
        ratio&gt;=85, 4,
        ratio&gt;=80, 3,
        ratio&gt;=75, 2,
        TRUE, 1
    ),
    skor
),0)</f>
        <v>4</v>
      </c>
      <c r="J20" s="18">
        <f t="array" ref="J20">iferror(LET(
    kode, B20,
    ratio, XLOOKUP(kode, 'Mistery Shopper'!A:A, 'Mistery Shopper'!C:C),
    skor, IFS(
        ratio&gt;90%, 5,
        ratio&gt;=85%, 4,
        ratio&gt;=80%, 3,
        ratio&gt;=75%, 2,
        TRUE, 1
    ),
    skor
),0)</f>
        <v>5</v>
      </c>
      <c r="K20" s="18">
        <f t="array" ref="K20">iferror(LET(
    kode, B20,
    actual, XLOOKUP(kode, Complain!A:A, Complain!E:E),
    target, XLOOKUP(kode, Complain!A:A, Complain!D:D),
    ratio, actual/target,
    skor, IFS(
        ratio&gt;=0.16%, 1,
        ratio&gt;=0.15%, 2,
        ratio&gt;=0.125%, 3,
        ratio&gt;=0.1%, 4,
        TRUE, 5
    ),
    skor
),0)</f>
        <v>1</v>
      </c>
      <c r="L20" s="19">
        <f t="shared" si="1"/>
        <v>0.48</v>
      </c>
    </row>
    <row r="21">
      <c r="A21" s="17" t="s">
        <v>115</v>
      </c>
      <c r="B21" s="18" t="s">
        <v>126</v>
      </c>
      <c r="C21" s="18">
        <f t="array" ref="C21">iferror(LET(kode, B21, actual, XLOOKUP(kode, Sales!A:A, Sales!E:E),target, XLOOKUP(kode, Sales!A:A, Sales!D:D),ratio, actual/target,skor, IFS(ratio&gt;1, 5,ratio&gt;=0.975, 4,ratio&gt;=0.95, 3,ratio&gt;=0.9, 2,TRUE, 1),skor),0)</f>
        <v>1</v>
      </c>
      <c r="D21" s="18">
        <f t="array" ref="D21">iferror(LET(
    kode, B21,
    actual, XLOOKUP(kode, AVG!A:A, AVG!E:E),
    target, XLOOKUP(kode, AVG!A:A, AVG!D:D),
    ratio, actual/target,
    skor, IFS(
        ratio&gt;1, 5,
        ratio&gt;=0.975, 4,
        ratio&gt;=0.95, 3,
        ratio&gt;=0.9, 2,
        TRUE, 1
    ),
    skor
),0)</f>
        <v>5</v>
      </c>
      <c r="E21" s="18">
        <f t="array" ref="E21">iferror(LET(
    kode, B21,
    large, XLOOKUP(kode, Large!A:A, Large!E:E),
    small, XLOOKUP(kode, Large!A:A, Large!D:D),
    ratio, large/(large+small),
    skor, IFS(
        ratio&lt;0.45, 1,
        ratio&lt;=0.5, 2,
        ratio&lt;=0.55, 3,
        ratio&lt;=0.6, 4,
        TRUE, 5
    ),
    skor
),0)</f>
        <v>1</v>
      </c>
      <c r="F21" s="18">
        <f t="array" ref="F21">iferror(LET(
    kode, B21,
    oatmilk, XLOOKUP(kode, Oatside!A:A, Oatside!E:E),
    drink, XLOOKUP(kode, Oatside!A:A, Oatside!D:D),
    ratio, oatmilk/drink,
    skor, IFS(
        ratio&gt;5%, 5,
        ratio&gt;=4%, 4,
        ratio&gt;=3%, 3,
        ratio&gt;=2%, 2,
        TRUE, 1
    ),
    skor
),0)</f>
        <v>5</v>
      </c>
      <c r="G21" s="18">
        <f t="array" ref="G21">iferror(LET(
    kode, B21,
    actual, XLOOKUP(kode, 'Snack Platter'!A:A, 'Snack Platter'!E:E),
    target, XLOOKUP(kode, 'Snack Platter'!A:A, 'Snack Platter'!D:D),
    ratio, actual/target,
    skor, IFS(
        ratio&gt;10%, 5,
        ratio&gt;=7.5%, 4,
        ratio&gt;=5%, 3,
        ratio&gt;=2.5%, 2,
        TRUE, 1
    ),
    skor
),0)</f>
        <v>3</v>
      </c>
      <c r="H21" s="18">
        <f t="array" ref="H21">iferror(LET(
    kode, B21,
    actual, XLOOKUP(kode, 'Bundling Asik'!A:A, 'Bundling Asik'!E:E),
    target, XLOOKUP(kode, 'Bundling Asik'!A:A, 'Bundling Asik'!D:D),
    ratio, actual/target,
    skor, IFS(
        ratio&gt;5%, 5,
        ratio&gt;=4%, 4,
        ratio&gt;=3%, 3,
        ratio&gt;=2%, 2,
        TRUE, 1
    ),
    skor
),0)</f>
        <v>2</v>
      </c>
      <c r="I21" s="18">
        <f t="array" ref="I21">iferror(LET(
    kode, B21,
    ratio, XLOOKUP(kode, Audit!A:A, Audit!C:C),
    skor, IFS(
        ratio&gt;90, 5,
        ratio&gt;=85, 4,
        ratio&gt;=80, 3,
        ratio&gt;=75, 2,
        TRUE, 1
    ),
    skor
),0)</f>
        <v>2</v>
      </c>
      <c r="J21" s="18">
        <f t="array" ref="J21">iferror(LET(
    kode, B21,
    ratio, XLOOKUP(kode, 'Mistery Shopper'!A:A, 'Mistery Shopper'!C:C),
    skor, IFS(
        ratio&gt;90%, 5,
        ratio&gt;=85%, 4,
        ratio&gt;=80%, 3,
        ratio&gt;=75%, 2,
        TRUE, 1
    ),
    skor
),0)</f>
        <v>5</v>
      </c>
      <c r="K21" s="18">
        <f t="array" ref="K21">iferror(LET(
    kode, B21,
    actual, XLOOKUP(kode, Complain!A:A, Complain!E:E),
    target, XLOOKUP(kode, Complain!A:A, Complain!D:D),
    ratio, actual/target,
    skor, IFS(
        ratio&gt;=0.16%, 1,
        ratio&gt;=0.15%, 2,
        ratio&gt;=0.125%, 3,
        ratio&gt;=0.1%, 4,
        TRUE, 5
    ),
    skor
),0)</f>
        <v>4</v>
      </c>
      <c r="L21" s="19">
        <f t="shared" si="1"/>
        <v>0.48</v>
      </c>
    </row>
    <row r="22">
      <c r="A22" s="17" t="s">
        <v>113</v>
      </c>
      <c r="B22" s="18" t="s">
        <v>137</v>
      </c>
      <c r="C22" s="18">
        <f t="array" ref="C22">iferror(LET(kode, B22, actual, XLOOKUP(kode, Sales!A:A, Sales!E:E),target, XLOOKUP(kode, Sales!A:A, Sales!D:D),ratio, actual/target,skor, IFS(ratio&gt;1, 5,ratio&gt;=0.975, 4,ratio&gt;=0.95, 3,ratio&gt;=0.9, 2,TRUE, 1),skor),0)</f>
        <v>1</v>
      </c>
      <c r="D22" s="18">
        <f t="array" ref="D22">iferror(LET(
    kode, B22,
    actual, XLOOKUP(kode, AVG!A:A, AVG!E:E),
    target, XLOOKUP(kode, AVG!A:A, AVG!D:D),
    ratio, actual/target,
    skor, IFS(
        ratio&gt;1, 5,
        ratio&gt;=0.975, 4,
        ratio&gt;=0.95, 3,
        ratio&gt;=0.9, 2,
        TRUE, 1
    ),
    skor
),0)</f>
        <v>1</v>
      </c>
      <c r="E22" s="18">
        <f t="array" ref="E22">iferror(LET(
    kode, B22,
    large, XLOOKUP(kode, Large!A:A, Large!E:E),
    small, XLOOKUP(kode, Large!A:A, Large!D:D),
    ratio, large/(large+small),
    skor, IFS(
        ratio&lt;0.45, 1,
        ratio&lt;=0.5, 2,
        ratio&lt;=0.55, 3,
        ratio&lt;=0.6, 4,
        TRUE, 5
    ),
    skor
),0)</f>
        <v>2</v>
      </c>
      <c r="F22" s="18">
        <f t="array" ref="F22">iferror(LET(
    kode, B22,
    oatmilk, XLOOKUP(kode, Oatside!A:A, Oatside!E:E),
    drink, XLOOKUP(kode, Oatside!A:A, Oatside!D:D),
    ratio, oatmilk/drink,
    skor, IFS(
        ratio&gt;5%, 5,
        ratio&gt;=4%, 4,
        ratio&gt;=3%, 3,
        ratio&gt;=2%, 2,
        TRUE, 1
    ),
    skor
),0)</f>
        <v>5</v>
      </c>
      <c r="G22" s="18">
        <f t="array" ref="G22">iferror(LET(
    kode, B22,
    actual, XLOOKUP(kode, 'Snack Platter'!A:A, 'Snack Platter'!E:E),
    target, XLOOKUP(kode, 'Snack Platter'!A:A, 'Snack Platter'!D:D),
    ratio, actual/target,
    skor, IFS(
        ratio&gt;10%, 5,
        ratio&gt;=7.5%, 4,
        ratio&gt;=5%, 3,
        ratio&gt;=2.5%, 2,
        TRUE, 1
    ),
    skor
),0)</f>
        <v>2</v>
      </c>
      <c r="H22" s="18">
        <f t="array" ref="H22">iferror(LET(
    kode, B22,
    actual, XLOOKUP(kode, 'Bundling Asik'!A:A, 'Bundling Asik'!E:E),
    target, XLOOKUP(kode, 'Bundling Asik'!A:A, 'Bundling Asik'!D:D),
    ratio, actual/target,
    skor, IFS(
        ratio&gt;5%, 5,
        ratio&gt;=4%, 4,
        ratio&gt;=3%, 3,
        ratio&gt;=2%, 2,
        TRUE, 1
    ),
    skor
),0)</f>
        <v>5</v>
      </c>
      <c r="I22" s="18">
        <f t="array" ref="I22">iferror(LET(
    kode, B22,
    ratio, XLOOKUP(kode, Audit!A:A, Audit!C:C),
    skor, IFS(
        ratio&gt;90, 5,
        ratio&gt;=85, 4,
        ratio&gt;=80, 3,
        ratio&gt;=75, 2,
        TRUE, 1
    ),
    skor
),0)</f>
        <v>3</v>
      </c>
      <c r="J22" s="18">
        <f t="array" ref="J22">iferror(LET(
    kode, B22,
    ratio, XLOOKUP(kode, 'Mistery Shopper'!A:A, 'Mistery Shopper'!C:C),
    skor, IFS(
        ratio&gt;90%, 5,
        ratio&gt;=85%, 4,
        ratio&gt;=80%, 3,
        ratio&gt;=75%, 2,
        TRUE, 1
    ),
    skor
),0)</f>
        <v>5</v>
      </c>
      <c r="K22" s="18">
        <f t="array" ref="K22">iferror(LET(
    kode, B22,
    actual, XLOOKUP(kode, Complain!A:A, Complain!E:E),
    target, XLOOKUP(kode, Complain!A:A, Complain!D:D),
    ratio, actual/target,
    skor, IFS(
        ratio&gt;=0.16%, 1,
        ratio&gt;=0.15%, 2,
        ratio&gt;=0.125%, 3,
        ratio&gt;=0.1%, 4,
        TRUE, 5
    ),
    skor
),0)</f>
        <v>5</v>
      </c>
      <c r="L22" s="19">
        <f t="shared" si="1"/>
        <v>0.48</v>
      </c>
    </row>
    <row r="23">
      <c r="A23" s="17" t="s">
        <v>115</v>
      </c>
      <c r="B23" s="18" t="s">
        <v>136</v>
      </c>
      <c r="C23" s="18">
        <f t="array" ref="C23">iferror(LET(kode, B23, actual, XLOOKUP(kode, Sales!A:A, Sales!E:E),target, XLOOKUP(kode, Sales!A:A, Sales!D:D),ratio, actual/target,skor, IFS(ratio&gt;1, 5,ratio&gt;=0.975, 4,ratio&gt;=0.95, 3,ratio&gt;=0.9, 2,TRUE, 1),skor),0)</f>
        <v>1</v>
      </c>
      <c r="D23" s="18">
        <f t="array" ref="D23">iferror(LET(
    kode, B23,
    actual, XLOOKUP(kode, AVG!A:A, AVG!E:E),
    target, XLOOKUP(kode, AVG!A:A, AVG!D:D),
    ratio, actual/target,
    skor, IFS(
        ratio&gt;1, 5,
        ratio&gt;=0.975, 4,
        ratio&gt;=0.95, 3,
        ratio&gt;=0.9, 2,
        TRUE, 1
    ),
    skor
),0)</f>
        <v>5</v>
      </c>
      <c r="E23" s="18">
        <f t="array" ref="E23">iferror(LET(
    kode, B23,
    large, XLOOKUP(kode, Large!A:A, Large!E:E),
    small, XLOOKUP(kode, Large!A:A, Large!D:D),
    ratio, large/(large+small),
    skor, IFS(
        ratio&lt;0.45, 1,
        ratio&lt;=0.5, 2,
        ratio&lt;=0.55, 3,
        ratio&lt;=0.6, 4,
        TRUE, 5
    ),
    skor
),0)</f>
        <v>1</v>
      </c>
      <c r="F23" s="18">
        <f t="array" ref="F23">iferror(LET(
    kode, B23,
    oatmilk, XLOOKUP(kode, Oatside!A:A, Oatside!E:E),
    drink, XLOOKUP(kode, Oatside!A:A, Oatside!D:D),
    ratio, oatmilk/drink,
    skor, IFS(
        ratio&gt;5%, 5,
        ratio&gt;=4%, 4,
        ratio&gt;=3%, 3,
        ratio&gt;=2%, 2,
        TRUE, 1
    ),
    skor
),0)</f>
        <v>5</v>
      </c>
      <c r="G23" s="18">
        <f t="array" ref="G23">iferror(LET(
    kode, B23,
    actual, XLOOKUP(kode, 'Snack Platter'!A:A, 'Snack Platter'!E:E),
    target, XLOOKUP(kode, 'Snack Platter'!A:A, 'Snack Platter'!D:D),
    ratio, actual/target,
    skor, IFS(
        ratio&gt;10%, 5,
        ratio&gt;=7.5%, 4,
        ratio&gt;=5%, 3,
        ratio&gt;=2.5%, 2,
        TRUE, 1
    ),
    skor
),0)</f>
        <v>2</v>
      </c>
      <c r="H23" s="18">
        <f t="array" ref="H23">iferror(LET(
    kode, B23,
    actual, XLOOKUP(kode, 'Bundling Asik'!A:A, 'Bundling Asik'!E:E),
    target, XLOOKUP(kode, 'Bundling Asik'!A:A, 'Bundling Asik'!D:D),
    ratio, actual/target,
    skor, IFS(
        ratio&gt;5%, 5,
        ratio&gt;=4%, 4,
        ratio&gt;=3%, 3,
        ratio&gt;=2%, 2,
        TRUE, 1
    ),
    skor
),0)</f>
        <v>1</v>
      </c>
      <c r="I23" s="18">
        <f t="array" ref="I23">iferror(LET(
    kode, B23,
    ratio, XLOOKUP(kode, Audit!A:A, Audit!C:C),
    skor, IFS(
        ratio&gt;90, 5,
        ratio&gt;=85, 4,
        ratio&gt;=80, 3,
        ratio&gt;=75, 2,
        TRUE, 1
    ),
    skor
),0)</f>
        <v>1</v>
      </c>
      <c r="J23" s="18">
        <f t="array" ref="J23">iferror(LET(
    kode, B23,
    ratio, XLOOKUP(kode, 'Mistery Shopper'!A:A, 'Mistery Shopper'!C:C),
    skor, IFS(
        ratio&gt;90%, 5,
        ratio&gt;=85%, 4,
        ratio&gt;=80%, 3,
        ratio&gt;=75%, 2,
        TRUE, 1
    ),
    skor
),0)</f>
        <v>5</v>
      </c>
      <c r="K23" s="18">
        <f t="array" ref="K23">iferror(LET(
    kode, B23,
    actual, XLOOKUP(kode, Complain!A:A, Complain!E:E),
    target, XLOOKUP(kode, Complain!A:A, Complain!D:D),
    ratio, actual/target,
    skor, IFS(
        ratio&gt;=0.16%, 1,
        ratio&gt;=0.15%, 2,
        ratio&gt;=0.125%, 3,
        ratio&gt;=0.1%, 4,
        TRUE, 5
    ),
    skor
),0)</f>
        <v>5</v>
      </c>
      <c r="L23" s="19">
        <f t="shared" si="1"/>
        <v>0.45</v>
      </c>
    </row>
    <row r="24">
      <c r="A24" s="17" t="s">
        <v>115</v>
      </c>
      <c r="B24" s="18" t="s">
        <v>124</v>
      </c>
      <c r="C24" s="18">
        <f t="array" ref="C24">iferror(LET(kode, B24, actual, XLOOKUP(kode, Sales!A:A, Sales!E:E),target, XLOOKUP(kode, Sales!A:A, Sales!D:D),ratio, actual/target,skor, IFS(ratio&gt;1, 5,ratio&gt;=0.975, 4,ratio&gt;=0.95, 3,ratio&gt;=0.9, 2,TRUE, 1),skor),0)</f>
        <v>1</v>
      </c>
      <c r="D24" s="18">
        <f t="array" ref="D24">iferror(LET(
    kode, B24,
    actual, XLOOKUP(kode, AVG!A:A, AVG!E:E),
    target, XLOOKUP(kode, AVG!A:A, AVG!D:D),
    ratio, actual/target,
    skor, IFS(
        ratio&gt;1, 5,
        ratio&gt;=0.975, 4,
        ratio&gt;=0.95, 3,
        ratio&gt;=0.9, 2,
        TRUE, 1
    ),
    skor
),0)</f>
        <v>2</v>
      </c>
      <c r="E24" s="18">
        <f t="array" ref="E24">iferror(LET(
    kode, B24,
    large, XLOOKUP(kode, Large!A:A, Large!E:E),
    small, XLOOKUP(kode, Large!A:A, Large!D:D),
    ratio, large/(large+small),
    skor, IFS(
        ratio&lt;0.45, 1,
        ratio&lt;=0.5, 2,
        ratio&lt;=0.55, 3,
        ratio&lt;=0.6, 4,
        TRUE, 5
    ),
    skor
),0)</f>
        <v>3</v>
      </c>
      <c r="F24" s="18">
        <f t="array" ref="F24">iferror(LET(
    kode, B24,
    oatmilk, XLOOKUP(kode, Oatside!A:A, Oatside!E:E),
    drink, XLOOKUP(kode, Oatside!A:A, Oatside!D:D),
    ratio, oatmilk/drink,
    skor, IFS(
        ratio&gt;5%, 5,
        ratio&gt;=4%, 4,
        ratio&gt;=3%, 3,
        ratio&gt;=2%, 2,
        TRUE, 1
    ),
    skor
),0)</f>
        <v>5</v>
      </c>
      <c r="G24" s="18">
        <f t="array" ref="G24">iferror(LET(
    kode, B24,
    actual, XLOOKUP(kode, 'Snack Platter'!A:A, 'Snack Platter'!E:E),
    target, XLOOKUP(kode, 'Snack Platter'!A:A, 'Snack Platter'!D:D),
    ratio, actual/target,
    skor, IFS(
        ratio&gt;10%, 5,
        ratio&gt;=7.5%, 4,
        ratio&gt;=5%, 3,
        ratio&gt;=2.5%, 2,
        TRUE, 1
    ),
    skor
),0)</f>
        <v>3</v>
      </c>
      <c r="H24" s="18">
        <f t="array" ref="H24">iferror(LET(
    kode, B24,
    actual, XLOOKUP(kode, 'Bundling Asik'!A:A, 'Bundling Asik'!E:E),
    target, XLOOKUP(kode, 'Bundling Asik'!A:A, 'Bundling Asik'!D:D),
    ratio, actual/target,
    skor, IFS(
        ratio&gt;5%, 5,
        ratio&gt;=4%, 4,
        ratio&gt;=3%, 3,
        ratio&gt;=2%, 2,
        TRUE, 1
    ),
    skor
),0)</f>
        <v>5</v>
      </c>
      <c r="I24" s="18">
        <f t="array" ref="I24">iferror(LET(
    kode, B24,
    ratio, XLOOKUP(kode, Audit!A:A, Audit!C:C),
    skor, IFS(
        ratio&gt;90, 5,
        ratio&gt;=85, 4,
        ratio&gt;=80, 3,
        ratio&gt;=75, 2,
        TRUE, 1
    ),
    skor
),0)</f>
        <v>3</v>
      </c>
      <c r="J24" s="18">
        <f t="array" ref="J24">iferror(LET(
    kode, B24,
    ratio, XLOOKUP(kode, 'Mistery Shopper'!A:A, 'Mistery Shopper'!C:C),
    skor, IFS(
        ratio&gt;90%, 5,
        ratio&gt;=85%, 4,
        ratio&gt;=80%, 3,
        ratio&gt;=75%, 2,
        TRUE, 1
    ),
    skor
),0)</f>
        <v>5</v>
      </c>
      <c r="K24" s="18">
        <f t="array" ref="K24">iferror(LET(
    kode, B24,
    actual, XLOOKUP(kode, Complain!A:A, Complain!E:E),
    target, XLOOKUP(kode, Complain!A:A, Complain!D:D),
    ratio, actual/target,
    skor, IFS(
        ratio&gt;=0.16%, 1,
        ratio&gt;=0.15%, 2,
        ratio&gt;=0.125%, 3,
        ratio&gt;=0.1%, 4,
        TRUE, 5
    ),
    skor
),0)</f>
        <v>1</v>
      </c>
      <c r="L24" s="19">
        <f t="shared" si="1"/>
        <v>0.44</v>
      </c>
    </row>
    <row r="25">
      <c r="A25" s="17" t="s">
        <v>117</v>
      </c>
      <c r="B25" s="18" t="s">
        <v>133</v>
      </c>
      <c r="C25" s="18">
        <f t="array" ref="C25">iferror(LET(kode, B25, actual, XLOOKUP(kode, Sales!A:A, Sales!E:E),target, XLOOKUP(kode, Sales!A:A, Sales!D:D),ratio, actual/target,skor, IFS(ratio&gt;1, 5,ratio&gt;=0.975, 4,ratio&gt;=0.95, 3,ratio&gt;=0.9, 2,TRUE, 1),skor),0)</f>
        <v>1</v>
      </c>
      <c r="D25" s="18">
        <f t="array" ref="D25">iferror(LET(
    kode, B25,
    actual, XLOOKUP(kode, AVG!A:A, AVG!E:E),
    target, XLOOKUP(kode, AVG!A:A, AVG!D:D),
    ratio, actual/target,
    skor, IFS(
        ratio&gt;1, 5,
        ratio&gt;=0.975, 4,
        ratio&gt;=0.95, 3,
        ratio&gt;=0.9, 2,
        TRUE, 1
    ),
    skor
),0)</f>
        <v>2</v>
      </c>
      <c r="E25" s="18">
        <f t="array" ref="E25">iferror(LET(
    kode, B25,
    large, XLOOKUP(kode, Large!A:A, Large!E:E),
    small, XLOOKUP(kode, Large!A:A, Large!D:D),
    ratio, large/(large+small),
    skor, IFS(
        ratio&lt;0.45, 1,
        ratio&lt;=0.5, 2,
        ratio&lt;=0.55, 3,
        ratio&lt;=0.6, 4,
        TRUE, 5
    ),
    skor
),0)</f>
        <v>1</v>
      </c>
      <c r="F25" s="18">
        <f t="array" ref="F25">iferror(LET(
    kode, B25,
    oatmilk, XLOOKUP(kode, Oatside!A:A, Oatside!E:E),
    drink, XLOOKUP(kode, Oatside!A:A, Oatside!D:D),
    ratio, oatmilk/drink,
    skor, IFS(
        ratio&gt;5%, 5,
        ratio&gt;=4%, 4,
        ratio&gt;=3%, 3,
        ratio&gt;=2%, 2,
        TRUE, 1
    ),
    skor
),0)</f>
        <v>5</v>
      </c>
      <c r="G25" s="18">
        <f t="array" ref="G25">iferror(LET(
    kode, B25,
    actual, XLOOKUP(kode, 'Snack Platter'!A:A, 'Snack Platter'!E:E),
    target, XLOOKUP(kode, 'Snack Platter'!A:A, 'Snack Platter'!D:D),
    ratio, actual/target,
    skor, IFS(
        ratio&gt;10%, 5,
        ratio&gt;=7.5%, 4,
        ratio&gt;=5%, 3,
        ratio&gt;=2.5%, 2,
        TRUE, 1
    ),
    skor
),0)</f>
        <v>2</v>
      </c>
      <c r="H25" s="18">
        <f t="array" ref="H25">iferror(LET(
    kode, B25,
    actual, XLOOKUP(kode, 'Bundling Asik'!A:A, 'Bundling Asik'!E:E),
    target, XLOOKUP(kode, 'Bundling Asik'!A:A, 'Bundling Asik'!D:D),
    ratio, actual/target,
    skor, IFS(
        ratio&gt;5%, 5,
        ratio&gt;=4%, 4,
        ratio&gt;=3%, 3,
        ratio&gt;=2%, 2,
        TRUE, 1
    ),
    skor
),0)</f>
        <v>2</v>
      </c>
      <c r="I25" s="18">
        <f t="array" ref="I25">iferror(LET(
    kode, B25,
    ratio, XLOOKUP(kode, Audit!A:A, Audit!C:C),
    skor, IFS(
        ratio&gt;90, 5,
        ratio&gt;=85, 4,
        ratio&gt;=80, 3,
        ratio&gt;=75, 2,
        TRUE, 1
    ),
    skor
),0)</f>
        <v>2</v>
      </c>
      <c r="J25" s="18">
        <f t="array" ref="J25">iferror(LET(
    kode, B25,
    ratio, XLOOKUP(kode, 'Mistery Shopper'!A:A, 'Mistery Shopper'!C:C),
    skor, IFS(
        ratio&gt;90%, 5,
        ratio&gt;=85%, 4,
        ratio&gt;=80%, 3,
        ratio&gt;=75%, 2,
        TRUE, 1
    ),
    skor
),0)</f>
        <v>5</v>
      </c>
      <c r="K25" s="18">
        <f t="array" ref="K25">iferror(LET(
    kode, B25,
    actual, XLOOKUP(kode, Complain!A:A, Complain!E:E),
    target, XLOOKUP(kode, Complain!A:A, Complain!D:D),
    ratio, actual/target,
    skor, IFS(
        ratio&gt;=0.16%, 1,
        ratio&gt;=0.15%, 2,
        ratio&gt;=0.125%, 3,
        ratio&gt;=0.1%, 4,
        TRUE, 5
    ),
    skor
),0)</f>
        <v>5</v>
      </c>
      <c r="L25" s="19">
        <f t="shared" si="1"/>
        <v>0.43</v>
      </c>
    </row>
    <row r="26">
      <c r="A26" s="17" t="s">
        <v>117</v>
      </c>
      <c r="B26" s="18" t="s">
        <v>140</v>
      </c>
      <c r="C26" s="18">
        <f t="array" ref="C26">iferror(LET(kode, B26, actual, XLOOKUP(kode, Sales!A:A, Sales!E:E),target, XLOOKUP(kode, Sales!A:A, Sales!D:D),ratio, actual/target,skor, IFS(ratio&gt;1, 5,ratio&gt;=0.975, 4,ratio&gt;=0.95, 3,ratio&gt;=0.9, 2,TRUE, 1),skor),0)</f>
        <v>1</v>
      </c>
      <c r="D26" s="18">
        <f t="array" ref="D26">iferror(LET(
    kode, B26,
    actual, XLOOKUP(kode, AVG!A:A, AVG!E:E),
    target, XLOOKUP(kode, AVG!A:A, AVG!D:D),
    ratio, actual/target,
    skor, IFS(
        ratio&gt;1, 5,
        ratio&gt;=0.975, 4,
        ratio&gt;=0.95, 3,
        ratio&gt;=0.9, 2,
        TRUE, 1
    ),
    skor
),0)</f>
        <v>1</v>
      </c>
      <c r="E26" s="18">
        <f t="array" ref="E26">iferror(LET(
    kode, B26,
    large, XLOOKUP(kode, Large!A:A, Large!E:E),
    small, XLOOKUP(kode, Large!A:A, Large!D:D),
    ratio, large/(large+small),
    skor, IFS(
        ratio&lt;0.45, 1,
        ratio&lt;=0.5, 2,
        ratio&lt;=0.55, 3,
        ratio&lt;=0.6, 4,
        TRUE, 5
    ),
    skor
),0)</f>
        <v>1</v>
      </c>
      <c r="F26" s="18">
        <f t="array" ref="F26">iferror(LET(
    kode, B26,
    oatmilk, XLOOKUP(kode, Oatside!A:A, Oatside!E:E),
    drink, XLOOKUP(kode, Oatside!A:A, Oatside!D:D),
    ratio, oatmilk/drink,
    skor, IFS(
        ratio&gt;5%, 5,
        ratio&gt;=4%, 4,
        ratio&gt;=3%, 3,
        ratio&gt;=2%, 2,
        TRUE, 1
    ),
    skor
),0)</f>
        <v>5</v>
      </c>
      <c r="G26" s="18">
        <f t="array" ref="G26">iferror(LET(
    kode, B26,
    actual, XLOOKUP(kode, 'Snack Platter'!A:A, 'Snack Platter'!E:E),
    target, XLOOKUP(kode, 'Snack Platter'!A:A, 'Snack Platter'!D:D),
    ratio, actual/target,
    skor, IFS(
        ratio&gt;10%, 5,
        ratio&gt;=7.5%, 4,
        ratio&gt;=5%, 3,
        ratio&gt;=2.5%, 2,
        TRUE, 1
    ),
    skor
),0)</f>
        <v>1</v>
      </c>
      <c r="H26" s="18">
        <f t="array" ref="H26">iferror(LET(
    kode, B26,
    actual, XLOOKUP(kode, 'Bundling Asik'!A:A, 'Bundling Asik'!E:E),
    target, XLOOKUP(kode, 'Bundling Asik'!A:A, 'Bundling Asik'!D:D),
    ratio, actual/target,
    skor, IFS(
        ratio&gt;5%, 5,
        ratio&gt;=4%, 4,
        ratio&gt;=3%, 3,
        ratio&gt;=2%, 2,
        TRUE, 1
    ),
    skor
),0)</f>
        <v>5</v>
      </c>
      <c r="I26" s="18">
        <f t="array" ref="I26">iferror(LET(
    kode, B26,
    ratio, XLOOKUP(kode, Audit!A:A, Audit!C:C),
    skor, IFS(
        ratio&gt;90, 5,
        ratio&gt;=85, 4,
        ratio&gt;=80, 3,
        ratio&gt;=75, 2,
        TRUE, 1
    ),
    skor
),0)</f>
        <v>2</v>
      </c>
      <c r="J26" s="18">
        <f t="array" ref="J26">iferror(LET(
    kode, B26,
    ratio, XLOOKUP(kode, 'Mistery Shopper'!A:A, 'Mistery Shopper'!C:C),
    skor, IFS(
        ratio&gt;90%, 5,
        ratio&gt;=85%, 4,
        ratio&gt;=80%, 3,
        ratio&gt;=75%, 2,
        TRUE, 1
    ),
    skor
),0)</f>
        <v>5</v>
      </c>
      <c r="K26" s="18">
        <f t="array" ref="K26">iferror(LET(
    kode, B26,
    actual, XLOOKUP(kode, Complain!A:A, Complain!E:E),
    target, XLOOKUP(kode, Complain!A:A, Complain!D:D),
    ratio, actual/target,
    skor, IFS(
        ratio&gt;=0.16%, 1,
        ratio&gt;=0.15%, 2,
        ratio&gt;=0.125%, 3,
        ratio&gt;=0.1%, 4,
        TRUE, 5
    ),
    skor
),0)</f>
        <v>4</v>
      </c>
      <c r="L26" s="19">
        <f t="shared" si="1"/>
        <v>0.41</v>
      </c>
    </row>
    <row r="27">
      <c r="A27" s="17" t="s">
        <v>117</v>
      </c>
      <c r="B27" s="18" t="s">
        <v>139</v>
      </c>
      <c r="C27" s="18">
        <f t="array" ref="C27">iferror(LET(kode, B27, actual, XLOOKUP(kode, Sales!A:A, Sales!E:E),target, XLOOKUP(kode, Sales!A:A, Sales!D:D),ratio, actual/target,skor, IFS(ratio&gt;1, 5,ratio&gt;=0.975, 4,ratio&gt;=0.95, 3,ratio&gt;=0.9, 2,TRUE, 1),skor),0)</f>
        <v>1</v>
      </c>
      <c r="D27" s="18">
        <f t="array" ref="D27">iferror(LET(
    kode, B27,
    actual, XLOOKUP(kode, AVG!A:A, AVG!E:E),
    target, XLOOKUP(kode, AVG!A:A, AVG!D:D),
    ratio, actual/target,
    skor, IFS(
        ratio&gt;1, 5,
        ratio&gt;=0.975, 4,
        ratio&gt;=0.95, 3,
        ratio&gt;=0.9, 2,
        TRUE, 1
    ),
    skor
),0)</f>
        <v>4</v>
      </c>
      <c r="E27" s="18">
        <f t="array" ref="E27">iferror(LET(
    kode, B27,
    large, XLOOKUP(kode, Large!A:A, Large!E:E),
    small, XLOOKUP(kode, Large!A:A, Large!D:D),
    ratio, large/(large+small),
    skor, IFS(
        ratio&lt;0.45, 1,
        ratio&lt;=0.5, 2,
        ratio&lt;=0.55, 3,
        ratio&lt;=0.6, 4,
        TRUE, 5
    ),
    skor
),0)</f>
        <v>1</v>
      </c>
      <c r="F27" s="18">
        <f t="array" ref="F27">iferror(LET(
    kode, B27,
    oatmilk, XLOOKUP(kode, Oatside!A:A, Oatside!E:E),
    drink, XLOOKUP(kode, Oatside!A:A, Oatside!D:D),
    ratio, oatmilk/drink,
    skor, IFS(
        ratio&gt;5%, 5,
        ratio&gt;=4%, 4,
        ratio&gt;=3%, 3,
        ratio&gt;=2%, 2,
        TRUE, 1
    ),
    skor
),0)</f>
        <v>3</v>
      </c>
      <c r="G27" s="18">
        <f t="array" ref="G27">iferror(LET(
    kode, B27,
    actual, XLOOKUP(kode, 'Snack Platter'!A:A, 'Snack Platter'!E:E),
    target, XLOOKUP(kode, 'Snack Platter'!A:A, 'Snack Platter'!D:D),
    ratio, actual/target,
    skor, IFS(
        ratio&gt;10%, 5,
        ratio&gt;=7.5%, 4,
        ratio&gt;=5%, 3,
        ratio&gt;=2.5%, 2,
        TRUE, 1
    ),
    skor
),0)</f>
        <v>1</v>
      </c>
      <c r="H27" s="18">
        <f t="array" ref="H27">iferror(LET(
    kode, B27,
    actual, XLOOKUP(kode, 'Bundling Asik'!A:A, 'Bundling Asik'!E:E),
    target, XLOOKUP(kode, 'Bundling Asik'!A:A, 'Bundling Asik'!D:D),
    ratio, actual/target,
    skor, IFS(
        ratio&gt;5%, 5,
        ratio&gt;=4%, 4,
        ratio&gt;=3%, 3,
        ratio&gt;=2%, 2,
        TRUE, 1
    ),
    skor
),0)</f>
        <v>1</v>
      </c>
      <c r="I27" s="18">
        <f t="array" ref="I27">iferror(LET(
    kode, B27,
    ratio, XLOOKUP(kode, Audit!A:A, Audit!C:C),
    skor, IFS(
        ratio&gt;90, 5,
        ratio&gt;=85, 4,
        ratio&gt;=80, 3,
        ratio&gt;=75, 2,
        TRUE, 1
    ),
    skor
),0)</f>
        <v>1</v>
      </c>
      <c r="J27" s="18">
        <f t="array" ref="J27">iferror(LET(
    kode, B27,
    ratio, XLOOKUP(kode, 'Mistery Shopper'!A:A, 'Mistery Shopper'!C:C),
    skor, IFS(
        ratio&gt;90%, 5,
        ratio&gt;=85%, 4,
        ratio&gt;=80%, 3,
        ratio&gt;=75%, 2,
        TRUE, 1
    ),
    skor
),0)</f>
        <v>5</v>
      </c>
      <c r="K27" s="18">
        <f t="array" ref="K27">iferror(LET(
    kode, B27,
    actual, XLOOKUP(kode, Complain!A:A, Complain!E:E),
    target, XLOOKUP(kode, Complain!A:A, Complain!D:D),
    ratio, actual/target,
    skor, IFS(
        ratio&gt;=0.16%, 1,
        ratio&gt;=0.15%, 2,
        ratio&gt;=0.125%, 3,
        ratio&gt;=0.1%, 4,
        TRUE, 5
    ),
    skor
),0)</f>
        <v>5</v>
      </c>
      <c r="L27" s="19">
        <f t="shared" si="1"/>
        <v>0.4</v>
      </c>
    </row>
    <row r="28">
      <c r="A28" s="17" t="s">
        <v>119</v>
      </c>
      <c r="B28" s="18" t="s">
        <v>141</v>
      </c>
      <c r="C28" s="18">
        <f t="array" ref="C28">iferror(LET(kode, B28, actual, XLOOKUP(kode, Sales!A:A, Sales!E:E),target, XLOOKUP(kode, Sales!A:A, Sales!D:D),ratio, actual/target,skor, IFS(ratio&gt;1, 5,ratio&gt;=0.975, 4,ratio&gt;=0.95, 3,ratio&gt;=0.9, 2,TRUE, 1),skor),0)</f>
        <v>1</v>
      </c>
      <c r="D28" s="18">
        <f t="array" ref="D28">iferror(LET(
    kode, B28,
    actual, XLOOKUP(kode, AVG!A:A, AVG!E:E),
    target, XLOOKUP(kode, AVG!A:A, AVG!D:D),
    ratio, actual/target,
    skor, IFS(
        ratio&gt;1, 5,
        ratio&gt;=0.975, 4,
        ratio&gt;=0.95, 3,
        ratio&gt;=0.9, 2,
        TRUE, 1
    ),
    skor
),0)</f>
        <v>1</v>
      </c>
      <c r="E28" s="18">
        <f t="array" ref="E28">iferror(LET(
    kode, B28,
    large, XLOOKUP(kode, Large!A:A, Large!E:E),
    small, XLOOKUP(kode, Large!A:A, Large!D:D),
    ratio, large/(large+small),
    skor, IFS(
        ratio&lt;0.45, 1,
        ratio&lt;=0.5, 2,
        ratio&lt;=0.55, 3,
        ratio&lt;=0.6, 4,
        TRUE, 5
    ),
    skor
),0)</f>
        <v>1</v>
      </c>
      <c r="F28" s="18">
        <f t="array" ref="F28">iferror(LET(
    kode, B28,
    oatmilk, XLOOKUP(kode, Oatside!A:A, Oatside!E:E),
    drink, XLOOKUP(kode, Oatside!A:A, Oatside!D:D),
    ratio, oatmilk/drink,
    skor, IFS(
        ratio&gt;5%, 5,
        ratio&gt;=4%, 4,
        ratio&gt;=3%, 3,
        ratio&gt;=2%, 2,
        TRUE, 1
    ),
    skor
),0)</f>
        <v>5</v>
      </c>
      <c r="G28" s="18">
        <f t="array" ref="G28">iferror(LET(
    kode, B28,
    actual, XLOOKUP(kode, 'Snack Platter'!A:A, 'Snack Platter'!E:E),
    target, XLOOKUP(kode, 'Snack Platter'!A:A, 'Snack Platter'!D:D),
    ratio, actual/target,
    skor, IFS(
        ratio&gt;10%, 5,
        ratio&gt;=7.5%, 4,
        ratio&gt;=5%, 3,
        ratio&gt;=2.5%, 2,
        TRUE, 1
    ),
    skor
),0)</f>
        <v>1</v>
      </c>
      <c r="H28" s="18">
        <f t="array" ref="H28">iferror(LET(
    kode, B28,
    actual, XLOOKUP(kode, 'Bundling Asik'!A:A, 'Bundling Asik'!E:E),
    target, XLOOKUP(kode, 'Bundling Asik'!A:A, 'Bundling Asik'!D:D),
    ratio, actual/target,
    skor, IFS(
        ratio&gt;5%, 5,
        ratio&gt;=4%, 4,
        ratio&gt;=3%, 3,
        ratio&gt;=2%, 2,
        TRUE, 1
    ),
    skor
),0)</f>
        <v>5</v>
      </c>
      <c r="I28" s="18">
        <f t="array" ref="I28">iferror(LET(
    kode, B28,
    ratio, XLOOKUP(kode, Audit!A:A, Audit!C:C),
    skor, IFS(
        ratio&gt;90, 5,
        ratio&gt;=85, 4,
        ratio&gt;=80, 3,
        ratio&gt;=75, 2,
        TRUE, 1
    ),
    skor
),0)</f>
        <v>3</v>
      </c>
      <c r="J28" s="18">
        <f t="array" ref="J28">iferror(LET(
    kode, B28,
    ratio, XLOOKUP(kode, 'Mistery Shopper'!A:A, 'Mistery Shopper'!C:C),
    skor, IFS(
        ratio&gt;90%, 5,
        ratio&gt;=85%, 4,
        ratio&gt;=80%, 3,
        ratio&gt;=75%, 2,
        TRUE, 1
    ),
    skor
),0)</f>
        <v>5</v>
      </c>
      <c r="K28" s="18">
        <f t="array" ref="K28">iferror(LET(
    kode, B28,
    actual, XLOOKUP(kode, Complain!A:A, Complain!E:E),
    target, XLOOKUP(kode, Complain!A:A, Complain!D:D),
    ratio, actual/target,
    skor, IFS(
        ratio&gt;=0.16%, 1,
        ratio&gt;=0.15%, 2,
        ratio&gt;=0.125%, 3,
        ratio&gt;=0.1%, 4,
        TRUE, 5
    ),
    skor
),0)</f>
        <v>2</v>
      </c>
      <c r="L28" s="19">
        <f t="shared" si="1"/>
        <v>0.4</v>
      </c>
    </row>
    <row r="29">
      <c r="A29" s="17" t="s">
        <v>119</v>
      </c>
      <c r="B29" s="18" t="s">
        <v>143</v>
      </c>
      <c r="C29" s="18">
        <f t="array" ref="C29">iferror(LET(kode, B29, actual, XLOOKUP(kode, Sales!A:A, Sales!E:E),target, XLOOKUP(kode, Sales!A:A, Sales!D:D),ratio, actual/target,skor, IFS(ratio&gt;1, 5,ratio&gt;=0.975, 4,ratio&gt;=0.95, 3,ratio&gt;=0.9, 2,TRUE, 1),skor),0)</f>
        <v>1</v>
      </c>
      <c r="D29" s="18">
        <f t="array" ref="D29">iferror(LET(
    kode, B29,
    actual, XLOOKUP(kode, AVG!A:A, AVG!E:E),
    target, XLOOKUP(kode, AVG!A:A, AVG!D:D),
    ratio, actual/target,
    skor, IFS(
        ratio&gt;1, 5,
        ratio&gt;=0.975, 4,
        ratio&gt;=0.95, 3,
        ratio&gt;=0.9, 2,
        TRUE, 1
    ),
    skor
),0)</f>
        <v>1</v>
      </c>
      <c r="E29" s="18">
        <f t="array" ref="E29">iferror(LET(
    kode, B29,
    large, XLOOKUP(kode, Large!A:A, Large!E:E),
    small, XLOOKUP(kode, Large!A:A, Large!D:D),
    ratio, large/(large+small),
    skor, IFS(
        ratio&lt;0.45, 1,
        ratio&lt;=0.5, 2,
        ratio&lt;=0.55, 3,
        ratio&lt;=0.6, 4,
        TRUE, 5
    ),
    skor
),0)</f>
        <v>1</v>
      </c>
      <c r="F29" s="18">
        <f t="array" ref="F29">iferror(LET(
    kode, B29,
    oatmilk, XLOOKUP(kode, Oatside!A:A, Oatside!E:E),
    drink, XLOOKUP(kode, Oatside!A:A, Oatside!D:D),
    ratio, oatmilk/drink,
    skor, IFS(
        ratio&gt;5%, 5,
        ratio&gt;=4%, 4,
        ratio&gt;=3%, 3,
        ratio&gt;=2%, 2,
        TRUE, 1
    ),
    skor
),0)</f>
        <v>5</v>
      </c>
      <c r="G29" s="18">
        <f t="array" ref="G29">iferror(LET(
    kode, B29,
    actual, XLOOKUP(kode, 'Snack Platter'!A:A, 'Snack Platter'!E:E),
    target, XLOOKUP(kode, 'Snack Platter'!A:A, 'Snack Platter'!D:D),
    ratio, actual/target,
    skor, IFS(
        ratio&gt;10%, 5,
        ratio&gt;=7.5%, 4,
        ratio&gt;=5%, 3,
        ratio&gt;=2.5%, 2,
        TRUE, 1
    ),
    skor
),0)</f>
        <v>1</v>
      </c>
      <c r="H29" s="18">
        <f t="array" ref="H29">iferror(LET(
    kode, B29,
    actual, XLOOKUP(kode, 'Bundling Asik'!A:A, 'Bundling Asik'!E:E),
    target, XLOOKUP(kode, 'Bundling Asik'!A:A, 'Bundling Asik'!D:D),
    ratio, actual/target,
    skor, IFS(
        ratio&gt;5%, 5,
        ratio&gt;=4%, 4,
        ratio&gt;=3%, 3,
        ratio&gt;=2%, 2,
        TRUE, 1
    ),
    skor
),0)</f>
        <v>2</v>
      </c>
      <c r="I29" s="18">
        <f t="array" ref="I29">iferror(LET(
    kode, B29,
    ratio, XLOOKUP(kode, Audit!A:A, Audit!C:C),
    skor, IFS(
        ratio&gt;90, 5,
        ratio&gt;=85, 4,
        ratio&gt;=80, 3,
        ratio&gt;=75, 2,
        TRUE, 1
    ),
    skor
),0)</f>
        <v>1</v>
      </c>
      <c r="J29" s="18">
        <f t="array" ref="J29">iferror(LET(
    kode, B29,
    ratio, XLOOKUP(kode, 'Mistery Shopper'!A:A, 'Mistery Shopper'!C:C),
    skor, IFS(
        ratio&gt;90%, 5,
        ratio&gt;=85%, 4,
        ratio&gt;=80%, 3,
        ratio&gt;=75%, 2,
        TRUE, 1
    ),
    skor
),0)</f>
        <v>5</v>
      </c>
      <c r="K29" s="18">
        <f t="array" ref="K29">iferror(LET(
    kode, B29,
    actual, XLOOKUP(kode, Complain!A:A, Complain!E:E),
    target, XLOOKUP(kode, Complain!A:A, Complain!D:D),
    ratio, actual/target,
    skor, IFS(
        ratio&gt;=0.16%, 1,
        ratio&gt;=0.15%, 2,
        ratio&gt;=0.125%, 3,
        ratio&gt;=0.1%, 4,
        TRUE, 5
    ),
    skor
),0)</f>
        <v>5</v>
      </c>
      <c r="L29" s="19">
        <f t="shared" si="1"/>
        <v>0.37</v>
      </c>
    </row>
    <row r="30">
      <c r="A30" s="17" t="s">
        <v>117</v>
      </c>
      <c r="B30" s="18" t="s">
        <v>138</v>
      </c>
      <c r="C30" s="18">
        <f t="array" ref="C30">iferror(LET(kode, B30, actual, XLOOKUP(kode, Sales!A:A, Sales!E:E),target, XLOOKUP(kode, Sales!A:A, Sales!D:D),ratio, actual/target,skor, IFS(ratio&gt;1, 5,ratio&gt;=0.975, 4,ratio&gt;=0.95, 3,ratio&gt;=0.9, 2,TRUE, 1),skor),0)</f>
        <v>1</v>
      </c>
      <c r="D30" s="18">
        <f t="array" ref="D30">iferror(LET(
    kode, B30,
    actual, XLOOKUP(kode, AVG!A:A, AVG!E:E),
    target, XLOOKUP(kode, AVG!A:A, AVG!D:D),
    ratio, actual/target,
    skor, IFS(
        ratio&gt;1, 5,
        ratio&gt;=0.975, 4,
        ratio&gt;=0.95, 3,
        ratio&gt;=0.9, 2,
        TRUE, 1
    ),
    skor
),0)</f>
        <v>2</v>
      </c>
      <c r="E30" s="18">
        <f t="array" ref="E30">iferror(LET(
    kode, B30,
    large, XLOOKUP(kode, Large!A:A, Large!E:E),
    small, XLOOKUP(kode, Large!A:A, Large!D:D),
    ratio, large/(large+small),
    skor, IFS(
        ratio&lt;0.45, 1,
        ratio&lt;=0.5, 2,
        ratio&lt;=0.55, 3,
        ratio&lt;=0.6, 4,
        TRUE, 5
    ),
    skor
),0)</f>
        <v>3</v>
      </c>
      <c r="F30" s="18">
        <f t="array" ref="F30">iferror(LET(
    kode, B30,
    oatmilk, XLOOKUP(kode, Oatside!A:A, Oatside!E:E),
    drink, XLOOKUP(kode, Oatside!A:A, Oatside!D:D),
    ratio, oatmilk/drink,
    skor, IFS(
        ratio&gt;5%, 5,
        ratio&gt;=4%, 4,
        ratio&gt;=3%, 3,
        ratio&gt;=2%, 2,
        TRUE, 1
    ),
    skor
),0)</f>
        <v>5</v>
      </c>
      <c r="G30" s="18">
        <f t="array" ref="G30">iferror(LET(
    kode, B30,
    actual, XLOOKUP(kode, 'Snack Platter'!A:A, 'Snack Platter'!E:E),
    target, XLOOKUP(kode, 'Snack Platter'!A:A, 'Snack Platter'!D:D),
    ratio, actual/target,
    skor, IFS(
        ratio&gt;10%, 5,
        ratio&gt;=7.5%, 4,
        ratio&gt;=5%, 3,
        ratio&gt;=2.5%, 2,
        TRUE, 1
    ),
    skor
),0)</f>
        <v>1</v>
      </c>
      <c r="H30" s="18">
        <f t="array" ref="H30">iferror(LET(
    kode, B30,
    actual, XLOOKUP(kode, 'Bundling Asik'!A:A, 'Bundling Asik'!E:E),
    target, XLOOKUP(kode, 'Bundling Asik'!A:A, 'Bundling Asik'!D:D),
    ratio, actual/target,
    skor, IFS(
        ratio&gt;5%, 5,
        ratio&gt;=4%, 4,
        ratio&gt;=3%, 3,
        ratio&gt;=2%, 2,
        TRUE, 1
    ),
    skor
),0)</f>
        <v>2</v>
      </c>
      <c r="I30" s="18">
        <f t="array" ref="I30">iferror(LET(
    kode, B30,
    ratio, XLOOKUP(kode, Audit!A:A, Audit!C:C),
    skor, IFS(
        ratio&gt;90, 5,
        ratio&gt;=85, 4,
        ratio&gt;=80, 3,
        ratio&gt;=75, 2,
        TRUE, 1
    ),
    skor
),0)</f>
        <v>2</v>
      </c>
      <c r="J30" s="18">
        <f t="array" ref="J30">iferror(LET(
    kode, B30,
    ratio, XLOOKUP(kode, 'Mistery Shopper'!A:A, 'Mistery Shopper'!C:C),
    skor, IFS(
        ratio&gt;90%, 5,
        ratio&gt;=85%, 4,
        ratio&gt;=80%, 3,
        ratio&gt;=75%, 2,
        TRUE, 1
    ),
    skor
),0)</f>
        <v>5</v>
      </c>
      <c r="K30" s="18">
        <f t="array" ref="K30">iferror(LET(
    kode, B30,
    actual, XLOOKUP(kode, Complain!A:A, Complain!E:E),
    target, XLOOKUP(kode, Complain!A:A, Complain!D:D),
    ratio, actual/target,
    skor, IFS(
        ratio&gt;=0.16%, 1,
        ratio&gt;=0.15%, 2,
        ratio&gt;=0.125%, 3,
        ratio&gt;=0.1%, 4,
        TRUE, 5
    ),
    skor
),0)</f>
        <v>1</v>
      </c>
      <c r="L30" s="19">
        <f t="shared" si="1"/>
        <v>0.36</v>
      </c>
    </row>
    <row r="31">
      <c r="A31" s="17" t="s">
        <v>115</v>
      </c>
      <c r="B31" s="18" t="s">
        <v>142</v>
      </c>
      <c r="C31" s="18">
        <f t="array" ref="C31">iferror(LET(kode, B31, actual, XLOOKUP(kode, Sales!A:A, Sales!E:E),target, XLOOKUP(kode, Sales!A:A, Sales!D:D),ratio, actual/target,skor, IFS(ratio&gt;1, 5,ratio&gt;=0.975, 4,ratio&gt;=0.95, 3,ratio&gt;=0.9, 2,TRUE, 1),skor),0)</f>
        <v>1</v>
      </c>
      <c r="D31" s="18">
        <f t="array" ref="D31">iferror(LET(
    kode, B31,
    actual, XLOOKUP(kode, AVG!A:A, AVG!E:E),
    target, XLOOKUP(kode, AVG!A:A, AVG!D:D),
    ratio, actual/target,
    skor, IFS(
        ratio&gt;1, 5,
        ratio&gt;=0.975, 4,
        ratio&gt;=0.95, 3,
        ratio&gt;=0.9, 2,
        TRUE, 1
    ),
    skor
),0)</f>
        <v>1</v>
      </c>
      <c r="E31" s="18">
        <f t="array" ref="E31">iferror(LET(
    kode, B31,
    large, XLOOKUP(kode, Large!A:A, Large!E:E),
    small, XLOOKUP(kode, Large!A:A, Large!D:D),
    ratio, large/(large+small),
    skor, IFS(
        ratio&lt;0.45, 1,
        ratio&lt;=0.5, 2,
        ratio&lt;=0.55, 3,
        ratio&lt;=0.6, 4,
        TRUE, 5
    ),
    skor
),0)</f>
        <v>1</v>
      </c>
      <c r="F31" s="18">
        <f t="array" ref="F31">iferror(LET(
    kode, B31,
    oatmilk, XLOOKUP(kode, Oatside!A:A, Oatside!E:E),
    drink, XLOOKUP(kode, Oatside!A:A, Oatside!D:D),
    ratio, oatmilk/drink,
    skor, IFS(
        ratio&gt;5%, 5,
        ratio&gt;=4%, 4,
        ratio&gt;=3%, 3,
        ratio&gt;=2%, 2,
        TRUE, 1
    ),
    skor
),0)</f>
        <v>1</v>
      </c>
      <c r="G31" s="18">
        <f t="array" ref="G31">iferror(LET(
    kode, B31,
    actual, XLOOKUP(kode, 'Snack Platter'!A:A, 'Snack Platter'!E:E),
    target, XLOOKUP(kode, 'Snack Platter'!A:A, 'Snack Platter'!D:D),
    ratio, actual/target,
    skor, IFS(
        ratio&gt;10%, 5,
        ratio&gt;=7.5%, 4,
        ratio&gt;=5%, 3,
        ratio&gt;=2.5%, 2,
        TRUE, 1
    ),
    skor
),0)</f>
        <v>1</v>
      </c>
      <c r="H31" s="18">
        <f t="array" ref="H31">iferror(LET(
    kode, B31,
    actual, XLOOKUP(kode, 'Bundling Asik'!A:A, 'Bundling Asik'!E:E),
    target, XLOOKUP(kode, 'Bundling Asik'!A:A, 'Bundling Asik'!D:D),
    ratio, actual/target,
    skor, IFS(
        ratio&gt;5%, 5,
        ratio&gt;=4%, 4,
        ratio&gt;=3%, 3,
        ratio&gt;=2%, 2,
        TRUE, 1
    ),
    skor
),0)</f>
        <v>1</v>
      </c>
      <c r="I31" s="18">
        <f t="array" ref="I31">iferror(LET(
    kode, B31,
    ratio, XLOOKUP(kode, Audit!A:A, Audit!C:C),
    skor, IFS(
        ratio&gt;90, 5,
        ratio&gt;=85, 4,
        ratio&gt;=80, 3,
        ratio&gt;=75, 2,
        TRUE, 1
    ),
    skor
),0)</f>
        <v>1</v>
      </c>
      <c r="J31" s="18">
        <f t="array" ref="J31">iferror(LET(
    kode, B31,
    ratio, XLOOKUP(kode, 'Mistery Shopper'!A:A, 'Mistery Shopper'!C:C),
    skor, IFS(
        ratio&gt;90%, 5,
        ratio&gt;=85%, 4,
        ratio&gt;=80%, 3,
        ratio&gt;=75%, 2,
        TRUE, 1
    ),
    skor
),0)</f>
        <v>5</v>
      </c>
      <c r="K31" s="18">
        <f t="array" ref="K31">iferror(LET(
    kode, B31,
    actual, XLOOKUP(kode, Complain!A:A, Complain!E:E),
    target, XLOOKUP(kode, Complain!A:A, Complain!D:D),
    ratio, actual/target,
    skor, IFS(
        ratio&gt;=0.16%, 1,
        ratio&gt;=0.15%, 2,
        ratio&gt;=0.125%, 3,
        ratio&gt;=0.1%, 4,
        TRUE, 5
    ),
    skor
),0)</f>
        <v>1</v>
      </c>
      <c r="L31" s="19">
        <f t="shared" si="1"/>
        <v>0.24</v>
      </c>
    </row>
  </sheetData>
  <autoFilter ref="$A$1:$L$31">
    <sortState ref="A1:L31">
      <sortCondition descending="1" ref="L1:L31"/>
      <sortCondition descending="1" ref="D1:D31"/>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13.63"/>
    <col customWidth="1" min="7" max="7" width="14.0"/>
  </cols>
  <sheetData>
    <row r="1">
      <c r="A1" s="16"/>
      <c r="B1" s="16" t="s">
        <v>98</v>
      </c>
      <c r="C1" s="16" t="s">
        <v>7</v>
      </c>
      <c r="D1" s="16" t="s">
        <v>99</v>
      </c>
      <c r="E1" s="16" t="s">
        <v>100</v>
      </c>
      <c r="F1" s="16" t="s">
        <v>101</v>
      </c>
      <c r="G1" s="16" t="s">
        <v>144</v>
      </c>
      <c r="H1" s="16" t="s">
        <v>103</v>
      </c>
      <c r="I1" s="16" t="s">
        <v>21</v>
      </c>
      <c r="J1" s="16" t="s">
        <v>104</v>
      </c>
      <c r="K1" s="16" t="s">
        <v>24</v>
      </c>
      <c r="L1" s="16" t="s">
        <v>105</v>
      </c>
      <c r="N1" s="16" t="s">
        <v>106</v>
      </c>
      <c r="O1" s="16" t="s">
        <v>107</v>
      </c>
    </row>
    <row r="2">
      <c r="A2" s="17" t="s">
        <v>115</v>
      </c>
      <c r="B2" s="18" t="s">
        <v>126</v>
      </c>
      <c r="C2" s="18">
        <f t="array" ref="C2">iferror(LET(kode, B2, actual, XLOOKUP(kode, Sales!A:A, Sales!G:G),target, XLOOKUP(kode, Sales!A:A, Sales!F:F),ratio, actual/target,skor, IFS(ratio&gt;1, 5,ratio&gt;=0.975, 4,ratio&gt;=0.95, 3,ratio&gt;=0.9, 2,TRUE, 1),skor),0)</f>
        <v>5</v>
      </c>
      <c r="D2" s="18">
        <f t="array" ref="D2">iferror(LET(
    kode, B2,
    actual, XLOOKUP(kode, AVG!A:A, AVG!G:G),
    target, XLOOKUP(kode, AVG!A:A, AVG!F:F),
    ratio, actual/target,
    skor, IFS(
        ratio&gt;1, 5,
        ratio&gt;=0.975, 4,
        ratio&gt;=0.95, 3,
        ratio&gt;=0.9, 2,
        TRUE, 1
    ),
    skor
),0)</f>
        <v>5</v>
      </c>
      <c r="E2" s="18">
        <f t="array" ref="E2">iferror(LET(
    kode, B2,
    large, XLOOKUP(kode, Large!A:A, Large!G:G),
    small, XLOOKUP(kode, Large!A:A, Large!F:F),
    ratio, large/(large+small),
    skor, IFS(
        ratio&lt;0.45, 1,
        ratio&lt;=0.5, 2,
        ratio&lt;=0.55, 3,
        ratio&lt;=0.6, 4,
        TRUE, 5
    ),
    skor
),0)</f>
        <v>1</v>
      </c>
      <c r="F2" s="18">
        <f t="array" ref="F2">iferror(LET(
    kode, B2,
    oatmilk, XLOOKUP(kode, Oatside!A:A, Oatside!G:G),
    drink, XLOOKUP(kode, Oatside!A:A, Oatside!F:F),
    ratio, oatmilk/drink,
    skor, IFS(
        ratio&gt;5%, 5,
        ratio&gt;=4%, 4,
        ratio&gt;=3%, 3,
        ratio&gt;=2%, 2,
        TRUE, 1
    ),
    skor
),0)</f>
        <v>5</v>
      </c>
      <c r="G2" s="18">
        <f t="array" ref="G2">iferror(LET(
    kode, B2,
    actual, XLOOKUP(kode, 'Snack Platter'!A:A, 'Snack Platter'!G:G),
    target, XLOOKUP(kode, 'Snack Platter'!A:A, 'Snack Platter'!F:F),
    ratio, actual/target,
    skor, IFS(
        ratio&gt;10%, 5,
        ratio&gt;=7.5%, 4,
        ratio&gt;=5%, 3,
        ratio&gt;=2.5%, 2,
        TRUE, 1
    ),
    skor
),0)</f>
        <v>3</v>
      </c>
      <c r="H2" s="18">
        <f t="array" ref="H2">iferror(LET(
    kode, B2,
    actual, XLOOKUP(kode, 'Bundling Asik'!A:A, 'Bundling Asik'!G:G),
    target, XLOOKUP(kode, 'Bundling Asik'!A:A, 'Bundling Asik'!F:F),
    ratio, actual/target,
    skor, IFS(
        ratio&gt;5%, 5,
        ratio&gt;=4%, 4,
        ratio&gt;=3%, 3,
        ratio&gt;=2%, 2,
        TRUE, 1
    ),
    skor
),0)</f>
        <v>5</v>
      </c>
      <c r="I2" s="18">
        <f t="array" ref="I2">iferror(LET(
    kode, B2,
    ratio, XLOOKUP(kode, Audit!A:A, Audit!D:D),
    skor, IFS(
        ratio&gt;90, 5,
        ratio&gt;=85, 4,
        ratio&gt;=80, 3,
        ratio&gt;=75, 2,
        TRUE, 1
    ),
    skor
),0)</f>
        <v>4</v>
      </c>
      <c r="J2" s="18">
        <f t="array" ref="J2">iferror(LET(
    kode, B2,
    ratio, XLOOKUP(kode, 'Mistery Shopper'!A:A, 'Mistery Shopper'!D:D),
    skor, IFS(
        ratio&gt;90%, 5,
        ratio&gt;=85%, 4,
        ratio&gt;=80%, 3,
        ratio&gt;=75%, 2,
        TRUE, 1
    ),
    skor
),0)</f>
        <v>5</v>
      </c>
      <c r="K2" s="18">
        <f t="array" ref="K2">iferror(LET(
    kode, B2,
    actual, XLOOKUP(kode, Complain!A:A, Complain!G:G),
    target, XLOOKUP(kode, Complain!A:A, Complain!F:F),
    ratio, actual/target,
    skor, IFS(
        ratio&gt;=0.16%, 1,
        ratio&gt;=0.15%, 2,
        ratio&gt;=0.125%, 3,
        ratio&gt;=0.1%, 4,
        TRUE, 5
    ),
    skor
),0)</f>
        <v>5</v>
      </c>
      <c r="L2" s="19">
        <f t="shared" ref="L2:L31" si="1">LET(
    nilai, C2:K2,
    bobot, {0.4,0.1,0.05,0.05,0.05,0.05,0.15,0.05,0.1},
    SUMPRODUCT(nilai,bobot)
)/5</f>
        <v>0.91</v>
      </c>
      <c r="N2" s="18" t="s">
        <v>110</v>
      </c>
      <c r="O2" s="19">
        <f t="shared" ref="O2:O7" si="2">averageif(A:A,N2,L:L)</f>
        <v>0.846</v>
      </c>
    </row>
    <row r="3">
      <c r="A3" s="17" t="s">
        <v>115</v>
      </c>
      <c r="B3" s="18" t="s">
        <v>124</v>
      </c>
      <c r="C3" s="18">
        <f t="array" ref="C3">iferror(LET(kode, B3, actual, XLOOKUP(kode, Sales!A:A, Sales!G:G),target, XLOOKUP(kode, Sales!A:A, Sales!F:F),ratio, actual/target,skor, IFS(ratio&gt;1, 5,ratio&gt;=0.975, 4,ratio&gt;=0.95, 3,ratio&gt;=0.9, 2,TRUE, 1),skor),0)</f>
        <v>5</v>
      </c>
      <c r="D3" s="18">
        <f t="array" ref="D3">iferror(LET(
    kode, B3,
    actual, XLOOKUP(kode, AVG!A:A, AVG!G:G),
    target, XLOOKUP(kode, AVG!A:A, AVG!F:F),
    ratio, actual/target,
    skor, IFS(
        ratio&gt;1, 5,
        ratio&gt;=0.975, 4,
        ratio&gt;=0.95, 3,
        ratio&gt;=0.9, 2,
        TRUE, 1
    ),
    skor
),0)</f>
        <v>5</v>
      </c>
      <c r="E3" s="18">
        <f t="array" ref="E3">iferror(LET(
    kode, B3,
    large, XLOOKUP(kode, Large!A:A, Large!G:G),
    small, XLOOKUP(kode, Large!A:A, Large!F:F),
    ratio, large/(large+small),
    skor, IFS(
        ratio&lt;0.45, 1,
        ratio&lt;=0.5, 2,
        ratio&lt;=0.55, 3,
        ratio&lt;=0.6, 4,
        TRUE, 5
    ),
    skor
),0)</f>
        <v>1</v>
      </c>
      <c r="F3" s="18">
        <f t="array" ref="F3">iferror(LET(
    kode, B3,
    oatmilk, XLOOKUP(kode, Oatside!A:A, Oatside!G:G),
    drink, XLOOKUP(kode, Oatside!A:A, Oatside!F:F),
    ratio, oatmilk/drink,
    skor, IFS(
        ratio&gt;5%, 5,
        ratio&gt;=4%, 4,
        ratio&gt;=3%, 3,
        ratio&gt;=2%, 2,
        TRUE, 1
    ),
    skor
),0)</f>
        <v>5</v>
      </c>
      <c r="G3" s="18">
        <f t="array" ref="G3">iferror(LET(
    kode, B3,
    actual, XLOOKUP(kode, 'Snack Platter'!A:A, 'Snack Platter'!G:G),
    target, XLOOKUP(kode, 'Snack Platter'!A:A, 'Snack Platter'!F:F),
    ratio, actual/target,
    skor, IFS(
        ratio&gt;10%, 5,
        ratio&gt;=7.5%, 4,
        ratio&gt;=5%, 3,
        ratio&gt;=2.5%, 2,
        TRUE, 1
    ),
    skor
),0)</f>
        <v>2</v>
      </c>
      <c r="H3" s="18">
        <f t="array" ref="H3">iferror(LET(
    kode, B3,
    actual, XLOOKUP(kode, 'Bundling Asik'!A:A, 'Bundling Asik'!G:G),
    target, XLOOKUP(kode, 'Bundling Asik'!A:A, 'Bundling Asik'!F:F),
    ratio, actual/target,
    skor, IFS(
        ratio&gt;5%, 5,
        ratio&gt;=4%, 4,
        ratio&gt;=3%, 3,
        ratio&gt;=2%, 2,
        TRUE, 1
    ),
    skor
),0)</f>
        <v>3</v>
      </c>
      <c r="I3" s="18">
        <f t="array" ref="I3">iferror(LET(
    kode, B3,
    ratio, XLOOKUP(kode, Audit!A:A, Audit!D:D),
    skor, IFS(
        ratio&gt;90, 5,
        ratio&gt;=85, 4,
        ratio&gt;=80, 3,
        ratio&gt;=75, 2,
        TRUE, 1
    ),
    skor
),0)</f>
        <v>2</v>
      </c>
      <c r="J3" s="18">
        <f t="array" ref="J3">iferror(LET(
    kode, B3,
    ratio, XLOOKUP(kode, 'Mistery Shopper'!A:A, 'Mistery Shopper'!D:D),
    skor, IFS(
        ratio&gt;90%, 5,
        ratio&gt;=85%, 4,
        ratio&gt;=80%, 3,
        ratio&gt;=75%, 2,
        TRUE, 1
    ),
    skor
),0)</f>
        <v>5</v>
      </c>
      <c r="K3" s="18">
        <f t="array" ref="K3">iferror(LET(
    kode, B3,
    actual, XLOOKUP(kode, Complain!A:A, Complain!G:G),
    target, XLOOKUP(kode, Complain!A:A, Complain!F:F),
    ratio, actual/target,
    skor, IFS(
        ratio&gt;=0.16%, 1,
        ratio&gt;=0.15%, 2,
        ratio&gt;=0.125%, 3,
        ratio&gt;=0.1%, 4,
        TRUE, 5
    ),
    skor
),0)</f>
        <v>5</v>
      </c>
      <c r="L3" s="19">
        <f t="shared" si="1"/>
        <v>0.82</v>
      </c>
      <c r="N3" s="18" t="s">
        <v>108</v>
      </c>
      <c r="O3" s="19">
        <f t="shared" si="2"/>
        <v>0.882</v>
      </c>
    </row>
    <row r="4">
      <c r="A4" s="17" t="s">
        <v>115</v>
      </c>
      <c r="B4" s="18" t="s">
        <v>129</v>
      </c>
      <c r="C4" s="18">
        <f t="array" ref="C4">iferror(LET(kode, B4, actual, XLOOKUP(kode, Sales!A:A, Sales!G:G),target, XLOOKUP(kode, Sales!A:A, Sales!F:F),ratio, actual/target,skor, IFS(ratio&gt;1, 5,ratio&gt;=0.975, 4,ratio&gt;=0.95, 3,ratio&gt;=0.9, 2,TRUE, 1),skor),0)</f>
        <v>5</v>
      </c>
      <c r="D4" s="18">
        <f t="array" ref="D4">iferror(LET(
    kode, B4,
    actual, XLOOKUP(kode, AVG!A:A, AVG!G:G),
    target, XLOOKUP(kode, AVG!A:A, AVG!F:F),
    ratio, actual/target,
    skor, IFS(
        ratio&gt;1, 5,
        ratio&gt;=0.975, 4,
        ratio&gt;=0.95, 3,
        ratio&gt;=0.9, 2,
        TRUE, 1
    ),
    skor
),0)</f>
        <v>5</v>
      </c>
      <c r="E4" s="18">
        <f t="array" ref="E4">iferror(LET(
    kode, B4,
    large, XLOOKUP(kode, Large!A:A, Large!G:G),
    small, XLOOKUP(kode, Large!A:A, Large!F:F),
    ratio, large/(large+small),
    skor, IFS(
        ratio&lt;0.45, 1,
        ratio&lt;=0.5, 2,
        ratio&lt;=0.55, 3,
        ratio&lt;=0.6, 4,
        TRUE, 5
    ),
    skor
),0)</f>
        <v>3</v>
      </c>
      <c r="F4" s="18">
        <f t="array" ref="F4">iferror(LET(
    kode, B4,
    oatmilk, XLOOKUP(kode, Oatside!A:A, Oatside!G:G),
    drink, XLOOKUP(kode, Oatside!A:A, Oatside!F:F),
    ratio, oatmilk/drink,
    skor, IFS(
        ratio&gt;5%, 5,
        ratio&gt;=4%, 4,
        ratio&gt;=3%, 3,
        ratio&gt;=2%, 2,
        TRUE, 1
    ),
    skor
),0)</f>
        <v>5</v>
      </c>
      <c r="G4" s="18">
        <f t="array" ref="G4">iferror(LET(
    kode, B4,
    actual, XLOOKUP(kode, 'Snack Platter'!A:A, 'Snack Platter'!G:G),
    target, XLOOKUP(kode, 'Snack Platter'!A:A, 'Snack Platter'!F:F),
    ratio, actual/target,
    skor, IFS(
        ratio&gt;10%, 5,
        ratio&gt;=7.5%, 4,
        ratio&gt;=5%, 3,
        ratio&gt;=2.5%, 2,
        TRUE, 1
    ),
    skor
),0)</f>
        <v>5</v>
      </c>
      <c r="H4" s="18">
        <f t="array" ref="H4">iferror(LET(
    kode, B4,
    actual, XLOOKUP(kode, 'Bundling Asik'!A:A, 'Bundling Asik'!G:G),
    target, XLOOKUP(kode, 'Bundling Asik'!A:A, 'Bundling Asik'!F:F),
    ratio, actual/target,
    skor, IFS(
        ratio&gt;5%, 5,
        ratio&gt;=4%, 4,
        ratio&gt;=3%, 3,
        ratio&gt;=2%, 2,
        TRUE, 1
    ),
    skor
),0)</f>
        <v>5</v>
      </c>
      <c r="I4" s="18">
        <f t="array" ref="I4">iferror(LET(
    kode, B4,
    ratio, XLOOKUP(kode, Audit!A:A, Audit!D:D),
    skor, IFS(
        ratio&gt;90, 5,
        ratio&gt;=85, 4,
        ratio&gt;=80, 3,
        ratio&gt;=75, 2,
        TRUE, 1
    ),
    skor
),0)</f>
        <v>1</v>
      </c>
      <c r="J4" s="18">
        <f t="array" ref="J4">iferror(LET(
    kode, B4,
    ratio, XLOOKUP(kode, 'Mistery Shopper'!A:A, 'Mistery Shopper'!D:D),
    skor, IFS(
        ratio&gt;90%, 5,
        ratio&gt;=85%, 4,
        ratio&gt;=80%, 3,
        ratio&gt;=75%, 2,
        TRUE, 1
    ),
    skor
),0)</f>
        <v>1</v>
      </c>
      <c r="K4" s="18">
        <f t="array" ref="K4">iferror(LET(
    kode, B4,
    actual, XLOOKUP(kode, Complain!A:A, Complain!G:G),
    target, XLOOKUP(kode, Complain!A:A, Complain!F:F),
    ratio, actual/target,
    skor, IFS(
        ratio&gt;=0.16%, 1,
        ratio&gt;=0.15%, 2,
        ratio&gt;=0.125%, 3,
        ratio&gt;=0.1%, 4,
        TRUE, 5
    ),
    skor
),0)</f>
        <v>5</v>
      </c>
      <c r="L4" s="19">
        <f t="shared" si="1"/>
        <v>0.82</v>
      </c>
      <c r="N4" s="18" t="s">
        <v>113</v>
      </c>
      <c r="O4" s="19">
        <f t="shared" si="2"/>
        <v>0.81</v>
      </c>
    </row>
    <row r="5">
      <c r="A5" s="17" t="s">
        <v>115</v>
      </c>
      <c r="B5" s="18" t="s">
        <v>136</v>
      </c>
      <c r="C5" s="18">
        <f t="array" ref="C5">iferror(LET(kode, B5, actual, XLOOKUP(kode, Sales!A:A, Sales!G:G),target, XLOOKUP(kode, Sales!A:A, Sales!F:F),ratio, actual/target,skor, IFS(ratio&gt;1, 5,ratio&gt;=0.975, 4,ratio&gt;=0.95, 3,ratio&gt;=0.9, 2,TRUE, 1),skor),0)</f>
        <v>5</v>
      </c>
      <c r="D5" s="18">
        <f t="array" ref="D5">iferror(LET(
    kode, B5,
    actual, XLOOKUP(kode, AVG!A:A, AVG!G:G),
    target, XLOOKUP(kode, AVG!A:A, AVG!F:F),
    ratio, actual/target,
    skor, IFS(
        ratio&gt;1, 5,
        ratio&gt;=0.975, 4,
        ratio&gt;=0.95, 3,
        ratio&gt;=0.9, 2,
        TRUE, 1
    ),
    skor
),0)</f>
        <v>5</v>
      </c>
      <c r="E5" s="18">
        <f t="array" ref="E5">iferror(LET(
    kode, B5,
    large, XLOOKUP(kode, Large!A:A, Large!G:G),
    small, XLOOKUP(kode, Large!A:A, Large!F:F),
    ratio, large/(large+small),
    skor, IFS(
        ratio&lt;0.45, 1,
        ratio&lt;=0.5, 2,
        ratio&lt;=0.55, 3,
        ratio&lt;=0.6, 4,
        TRUE, 5
    ),
    skor
),0)</f>
        <v>2</v>
      </c>
      <c r="F5" s="18">
        <f t="array" ref="F5">iferror(LET(
    kode, B5,
    oatmilk, XLOOKUP(kode, Oatside!A:A, Oatside!G:G),
    drink, XLOOKUP(kode, Oatside!A:A, Oatside!F:F),
    ratio, oatmilk/drink,
    skor, IFS(
        ratio&gt;5%, 5,
        ratio&gt;=4%, 4,
        ratio&gt;=3%, 3,
        ratio&gt;=2%, 2,
        TRUE, 1
    ),
    skor
),0)</f>
        <v>2</v>
      </c>
      <c r="G5" s="18">
        <f t="array" ref="G5">iferror(LET(
    kode, B5,
    actual, XLOOKUP(kode, 'Snack Platter'!A:A, 'Snack Platter'!G:G),
    target, XLOOKUP(kode, 'Snack Platter'!A:A, 'Snack Platter'!F:F),
    ratio, actual/target,
    skor, IFS(
        ratio&gt;10%, 5,
        ratio&gt;=7.5%, 4,
        ratio&gt;=5%, 3,
        ratio&gt;=2.5%, 2,
        TRUE, 1
    ),
    skor
),0)</f>
        <v>2</v>
      </c>
      <c r="H5" s="18">
        <f t="array" ref="H5">iferror(LET(
    kode, B5,
    actual, XLOOKUP(kode, 'Bundling Asik'!A:A, 'Bundling Asik'!G:G),
    target, XLOOKUP(kode, 'Bundling Asik'!A:A, 'Bundling Asik'!F:F),
    ratio, actual/target,
    skor, IFS(
        ratio&gt;5%, 5,
        ratio&gt;=4%, 4,
        ratio&gt;=3%, 3,
        ratio&gt;=2%, 2,
        TRUE, 1
    ),
    skor
),0)</f>
        <v>5</v>
      </c>
      <c r="I5" s="18">
        <f t="array" ref="I5">iferror(LET(
    kode, B5,
    ratio, XLOOKUP(kode, Audit!A:A, Audit!D:D),
    skor, IFS(
        ratio&gt;90, 5,
        ratio&gt;=85, 4,
        ratio&gt;=80, 3,
        ratio&gt;=75, 2,
        TRUE, 1
    ),
    skor
),0)</f>
        <v>1</v>
      </c>
      <c r="J5" s="18">
        <f t="array" ref="J5">iferror(LET(
    kode, B5,
    ratio, XLOOKUP(kode, 'Mistery Shopper'!A:A, 'Mistery Shopper'!D:D),
    skor, IFS(
        ratio&gt;90%, 5,
        ratio&gt;=85%, 4,
        ratio&gt;=80%, 3,
        ratio&gt;=75%, 2,
        TRUE, 1
    ),
    skor
),0)</f>
        <v>5</v>
      </c>
      <c r="K5" s="18">
        <f t="array" ref="K5">iferror(LET(
    kode, B5,
    actual, XLOOKUP(kode, Complain!A:A, Complain!G:G),
    target, XLOOKUP(kode, Complain!A:A, Complain!F:F),
    ratio, actual/target,
    skor, IFS(
        ratio&gt;=0.16%, 1,
        ratio&gt;=0.15%, 2,
        ratio&gt;=0.125%, 3,
        ratio&gt;=0.1%, 4,
        TRUE, 5
    ),
    skor
),0)</f>
        <v>5</v>
      </c>
      <c r="L5" s="19">
        <f t="shared" si="1"/>
        <v>0.79</v>
      </c>
      <c r="N5" s="18" t="s">
        <v>115</v>
      </c>
      <c r="O5" s="19">
        <f t="shared" si="2"/>
        <v>0.67875</v>
      </c>
    </row>
    <row r="6">
      <c r="A6" s="17" t="s">
        <v>115</v>
      </c>
      <c r="B6" s="18" t="s">
        <v>121</v>
      </c>
      <c r="C6" s="18">
        <f t="array" ref="C6">iferror(LET(kode, B6, actual, XLOOKUP(kode, Sales!A:A, Sales!G:G),target, XLOOKUP(kode, Sales!A:A, Sales!F:F),ratio, actual/target,skor, IFS(ratio&gt;1, 5,ratio&gt;=0.975, 4,ratio&gt;=0.95, 3,ratio&gt;=0.9, 2,TRUE, 1),skor),0)</f>
        <v>3</v>
      </c>
      <c r="D6" s="18">
        <f t="array" ref="D6">iferror(LET(
    kode, B6,
    actual, XLOOKUP(kode, AVG!A:A, AVG!G:G),
    target, XLOOKUP(kode, AVG!A:A, AVG!F:F),
    ratio, actual/target,
    skor, IFS(
        ratio&gt;1, 5,
        ratio&gt;=0.975, 4,
        ratio&gt;=0.95, 3,
        ratio&gt;=0.9, 2,
        TRUE, 1
    ),
    skor
),0)</f>
        <v>5</v>
      </c>
      <c r="E6" s="18">
        <f t="array" ref="E6">iferror(LET(
    kode, B6,
    large, XLOOKUP(kode, Large!A:A, Large!G:G),
    small, XLOOKUP(kode, Large!A:A, Large!F:F),
    ratio, large/(large+small),
    skor, IFS(
        ratio&lt;0.45, 1,
        ratio&lt;=0.5, 2,
        ratio&lt;=0.55, 3,
        ratio&lt;=0.6, 4,
        TRUE, 5
    ),
    skor
),0)</f>
        <v>2</v>
      </c>
      <c r="F6" s="18">
        <f t="array" ref="F6">iferror(LET(
    kode, B6,
    oatmilk, XLOOKUP(kode, Oatside!A:A, Oatside!G:G),
    drink, XLOOKUP(kode, Oatside!A:A, Oatside!F:F),
    ratio, oatmilk/drink,
    skor, IFS(
        ratio&gt;5%, 5,
        ratio&gt;=4%, 4,
        ratio&gt;=3%, 3,
        ratio&gt;=2%, 2,
        TRUE, 1
    ),
    skor
),0)</f>
        <v>5</v>
      </c>
      <c r="G6" s="18">
        <f t="array" ref="G6">iferror(LET(
    kode, B6,
    actual, XLOOKUP(kode, 'Snack Platter'!A:A, 'Snack Platter'!G:G),
    target, XLOOKUP(kode, 'Snack Platter'!A:A, 'Snack Platter'!F:F),
    ratio, actual/target,
    skor, IFS(
        ratio&gt;10%, 5,
        ratio&gt;=7.5%, 4,
        ratio&gt;=5%, 3,
        ratio&gt;=2.5%, 2,
        TRUE, 1
    ),
    skor
),0)</f>
        <v>3</v>
      </c>
      <c r="H6" s="18">
        <f t="array" ref="H6">iferror(LET(
    kode, B6,
    actual, XLOOKUP(kode, 'Bundling Asik'!A:A, 'Bundling Asik'!G:G),
    target, XLOOKUP(kode, 'Bundling Asik'!A:A, 'Bundling Asik'!F:F),
    ratio, actual/target,
    skor, IFS(
        ratio&gt;5%, 5,
        ratio&gt;=4%, 4,
        ratio&gt;=3%, 3,
        ratio&gt;=2%, 2,
        TRUE, 1
    ),
    skor
),0)</f>
        <v>5</v>
      </c>
      <c r="I6" s="18">
        <f t="array" ref="I6">iferror(LET(
    kode, B6,
    ratio, XLOOKUP(kode, Audit!A:A, Audit!D:D),
    skor, IFS(
        ratio&gt;90, 5,
        ratio&gt;=85, 4,
        ratio&gt;=80, 3,
        ratio&gt;=75, 2,
        TRUE, 1
    ),
    skor
),0)</f>
        <v>3</v>
      </c>
      <c r="J6" s="18">
        <f t="array" ref="J6">iferror(LET(
    kode, B6,
    ratio, XLOOKUP(kode, 'Mistery Shopper'!A:A, 'Mistery Shopper'!D:D),
    skor, IFS(
        ratio&gt;90%, 5,
        ratio&gt;=85%, 4,
        ratio&gt;=80%, 3,
        ratio&gt;=75%, 2,
        TRUE, 1
    ),
    skor
),0)</f>
        <v>5</v>
      </c>
      <c r="K6" s="18">
        <f t="array" ref="K6">iferror(LET(
    kode, B6,
    actual, XLOOKUP(kode, Complain!A:A, Complain!G:G),
    target, XLOOKUP(kode, Complain!A:A, Complain!F:F),
    ratio, actual/target,
    skor, IFS(
        ratio&gt;=0.16%, 1,
        ratio&gt;=0.15%, 2,
        ratio&gt;=0.125%, 3,
        ratio&gt;=0.1%, 4,
        TRUE, 5
    ),
    skor
),0)</f>
        <v>5</v>
      </c>
      <c r="L6" s="19">
        <f t="shared" si="1"/>
        <v>0.73</v>
      </c>
      <c r="N6" s="18" t="s">
        <v>117</v>
      </c>
      <c r="O6" s="19">
        <f t="shared" si="2"/>
        <v>0.57</v>
      </c>
    </row>
    <row r="7">
      <c r="A7" s="17" t="s">
        <v>115</v>
      </c>
      <c r="B7" s="18" t="s">
        <v>135</v>
      </c>
      <c r="C7" s="18">
        <f t="array" ref="C7">iferror(LET(kode, B7, actual, XLOOKUP(kode, Sales!A:A, Sales!G:G),target, XLOOKUP(kode, Sales!A:A, Sales!F:F),ratio, actual/target,skor, IFS(ratio&gt;1, 5,ratio&gt;=0.975, 4,ratio&gt;=0.95, 3,ratio&gt;=0.9, 2,TRUE, 1),skor),0)</f>
        <v>1</v>
      </c>
      <c r="D7" s="18">
        <f t="array" ref="D7">iferror(LET(
    kode, B7,
    actual, XLOOKUP(kode, AVG!A:A, AVG!G:G),
    target, XLOOKUP(kode, AVG!A:A, AVG!F:F),
    ratio, actual/target,
    skor, IFS(
        ratio&gt;1, 5,
        ratio&gt;=0.975, 4,
        ratio&gt;=0.95, 3,
        ratio&gt;=0.9, 2,
        TRUE, 1
    ),
    skor
),0)</f>
        <v>5</v>
      </c>
      <c r="E7" s="18">
        <f t="array" ref="E7">iferror(LET(
    kode, B7,
    large, XLOOKUP(kode, Large!A:A, Large!G:G),
    small, XLOOKUP(kode, Large!A:A, Large!F:F),
    ratio, large/(large+small),
    skor, IFS(
        ratio&lt;0.45, 1,
        ratio&lt;=0.5, 2,
        ratio&lt;=0.55, 3,
        ratio&lt;=0.6, 4,
        TRUE, 5
    ),
    skor
),0)</f>
        <v>2</v>
      </c>
      <c r="F7" s="18">
        <f t="array" ref="F7">iferror(LET(
    kode, B7,
    oatmilk, XLOOKUP(kode, Oatside!A:A, Oatside!G:G),
    drink, XLOOKUP(kode, Oatside!A:A, Oatside!F:F),
    ratio, oatmilk/drink,
    skor, IFS(
        ratio&gt;5%, 5,
        ratio&gt;=4%, 4,
        ratio&gt;=3%, 3,
        ratio&gt;=2%, 2,
        TRUE, 1
    ),
    skor
),0)</f>
        <v>5</v>
      </c>
      <c r="G7" s="18">
        <f t="array" ref="G7">iferror(LET(
    kode, B7,
    actual, XLOOKUP(kode, 'Snack Platter'!A:A, 'Snack Platter'!G:G),
    target, XLOOKUP(kode, 'Snack Platter'!A:A, 'Snack Platter'!F:F),
    ratio, actual/target,
    skor, IFS(
        ratio&gt;10%, 5,
        ratio&gt;=7.5%, 4,
        ratio&gt;=5%, 3,
        ratio&gt;=2.5%, 2,
        TRUE, 1
    ),
    skor
),0)</f>
        <v>5</v>
      </c>
      <c r="H7" s="18">
        <f t="array" ref="H7">iferror(LET(
    kode, B7,
    actual, XLOOKUP(kode, 'Bundling Asik'!A:A, 'Bundling Asik'!G:G),
    target, XLOOKUP(kode, 'Bundling Asik'!A:A, 'Bundling Asik'!F:F),
    ratio, actual/target,
    skor, IFS(
        ratio&gt;5%, 5,
        ratio&gt;=4%, 4,
        ratio&gt;=3%, 3,
        ratio&gt;=2%, 2,
        TRUE, 1
    ),
    skor
),0)</f>
        <v>5</v>
      </c>
      <c r="I7" s="18">
        <f t="array" ref="I7">iferror(LET(
    kode, B7,
    ratio, XLOOKUP(kode, Audit!A:A, Audit!D:D),
    skor, IFS(
        ratio&gt;90, 5,
        ratio&gt;=85, 4,
        ratio&gt;=80, 3,
        ratio&gt;=75, 2,
        TRUE, 1
    ),
    skor
),0)</f>
        <v>3</v>
      </c>
      <c r="J7" s="18">
        <f t="array" ref="J7">iferror(LET(
    kode, B7,
    ratio, XLOOKUP(kode, 'Mistery Shopper'!A:A, 'Mistery Shopper'!D:D),
    skor, IFS(
        ratio&gt;90%, 5,
        ratio&gt;=85%, 4,
        ratio&gt;=80%, 3,
        ratio&gt;=75%, 2,
        TRUE, 1
    ),
    skor
),0)</f>
        <v>5</v>
      </c>
      <c r="K7" s="18">
        <f t="array" ref="K7">iferror(LET(
    kode, B7,
    actual, XLOOKUP(kode, Complain!A:A, Complain!G:G),
    target, XLOOKUP(kode, Complain!A:A, Complain!F:F),
    ratio, actual/target,
    skor, IFS(
        ratio&gt;=0.16%, 1,
        ratio&gt;=0.15%, 2,
        ratio&gt;=0.125%, 3,
        ratio&gt;=0.1%, 4,
        TRUE, 5
    ),
    skor
),0)</f>
        <v>5</v>
      </c>
      <c r="L7" s="19">
        <f t="shared" si="1"/>
        <v>0.59</v>
      </c>
      <c r="N7" s="18" t="s">
        <v>119</v>
      </c>
      <c r="O7" s="19">
        <f t="shared" si="2"/>
        <v>0.475</v>
      </c>
    </row>
    <row r="8">
      <c r="A8" s="17" t="s">
        <v>115</v>
      </c>
      <c r="B8" s="18" t="s">
        <v>132</v>
      </c>
      <c r="C8" s="18">
        <f t="array" ref="C8">iferror(LET(kode, B8, actual, XLOOKUP(kode, Sales!A:A, Sales!G:G),target, XLOOKUP(kode, Sales!A:A, Sales!F:F),ratio, actual/target,skor, IFS(ratio&gt;1, 5,ratio&gt;=0.975, 4,ratio&gt;=0.95, 3,ratio&gt;=0.9, 2,TRUE, 1),skor),0)</f>
        <v>1</v>
      </c>
      <c r="D8" s="18">
        <f t="array" ref="D8">iferror(LET(
    kode, B8,
    actual, XLOOKUP(kode, AVG!A:A, AVG!G:G),
    target, XLOOKUP(kode, AVG!A:A, AVG!F:F),
    ratio, actual/target,
    skor, IFS(
        ratio&gt;1, 5,
        ratio&gt;=0.975, 4,
        ratio&gt;=0.95, 3,
        ratio&gt;=0.9, 2,
        TRUE, 1
    ),
    skor
),0)</f>
        <v>5</v>
      </c>
      <c r="E8" s="18">
        <f t="array" ref="E8">iferror(LET(
    kode, B8,
    large, XLOOKUP(kode, Large!A:A, Large!G:G),
    small, XLOOKUP(kode, Large!A:A, Large!F:F),
    ratio, large/(large+small),
    skor, IFS(
        ratio&lt;0.45, 1,
        ratio&lt;=0.5, 2,
        ratio&lt;=0.55, 3,
        ratio&lt;=0.6, 4,
        TRUE, 5
    ),
    skor
),0)</f>
        <v>1</v>
      </c>
      <c r="F8" s="18">
        <f t="array" ref="F8">iferror(LET(
    kode, B8,
    oatmilk, XLOOKUP(kode, Oatside!A:A, Oatside!G:G),
    drink, XLOOKUP(kode, Oatside!A:A, Oatside!F:F),
    ratio, oatmilk/drink,
    skor, IFS(
        ratio&gt;5%, 5,
        ratio&gt;=4%, 4,
        ratio&gt;=3%, 3,
        ratio&gt;=2%, 2,
        TRUE, 1
    ),
    skor
),0)</f>
        <v>2</v>
      </c>
      <c r="G8" s="18">
        <f t="array" ref="G8">iferror(LET(
    kode, B8,
    actual, XLOOKUP(kode, 'Snack Platter'!A:A, 'Snack Platter'!G:G),
    target, XLOOKUP(kode, 'Snack Platter'!A:A, 'Snack Platter'!F:F),
    ratio, actual/target,
    skor, IFS(
        ratio&gt;10%, 5,
        ratio&gt;=7.5%, 4,
        ratio&gt;=5%, 3,
        ratio&gt;=2.5%, 2,
        TRUE, 1
    ),
    skor
),0)</f>
        <v>3</v>
      </c>
      <c r="H8" s="18">
        <f t="array" ref="H8">iferror(LET(
    kode, B8,
    actual, XLOOKUP(kode, 'Bundling Asik'!A:A, 'Bundling Asik'!G:G),
    target, XLOOKUP(kode, 'Bundling Asik'!A:A, 'Bundling Asik'!F:F),
    ratio, actual/target,
    skor, IFS(
        ratio&gt;5%, 5,
        ratio&gt;=4%, 4,
        ratio&gt;=3%, 3,
        ratio&gt;=2%, 2,
        TRUE, 1
    ),
    skor
),0)</f>
        <v>5</v>
      </c>
      <c r="I8" s="18">
        <f t="array" ref="I8">iferror(LET(
    kode, B8,
    ratio, XLOOKUP(kode, Audit!A:A, Audit!D:D),
    skor, IFS(
        ratio&gt;90, 5,
        ratio&gt;=85, 4,
        ratio&gt;=80, 3,
        ratio&gt;=75, 2,
        TRUE, 1
    ),
    skor
),0)</f>
        <v>2</v>
      </c>
      <c r="J8" s="18">
        <f t="array" ref="J8">iferror(LET(
    kode, B8,
    ratio, XLOOKUP(kode, 'Mistery Shopper'!A:A, 'Mistery Shopper'!D:D),
    skor, IFS(
        ratio&gt;90%, 5,
        ratio&gt;=85%, 4,
        ratio&gt;=80%, 3,
        ratio&gt;=75%, 2,
        TRUE, 1
    ),
    skor
),0)</f>
        <v>1</v>
      </c>
      <c r="K8" s="18">
        <f t="array" ref="K8">iferror(LET(
    kode, B8,
    actual, XLOOKUP(kode, Complain!A:A, Complain!G:G),
    target, XLOOKUP(kode, Complain!A:A, Complain!F:F),
    ratio, actual/target,
    skor, IFS(
        ratio&gt;=0.16%, 1,
        ratio&gt;=0.15%, 2,
        ratio&gt;=0.125%, 3,
        ratio&gt;=0.1%, 4,
        TRUE, 5
    ),
    skor
),0)</f>
        <v>5</v>
      </c>
      <c r="L8" s="19">
        <f t="shared" si="1"/>
        <v>0.46</v>
      </c>
    </row>
    <row r="9">
      <c r="A9" s="17" t="s">
        <v>115</v>
      </c>
      <c r="B9" s="18" t="s">
        <v>142</v>
      </c>
      <c r="C9" s="18">
        <f t="array" ref="C9">iferror(LET(kode, B9, actual, XLOOKUP(kode, Sales!A:A, Sales!G:G),target, XLOOKUP(kode, Sales!A:A, Sales!F:F),ratio, actual/target,skor, IFS(ratio&gt;1, 5,ratio&gt;=0.975, 4,ratio&gt;=0.95, 3,ratio&gt;=0.9, 2,TRUE, 1),skor),0)</f>
        <v>1</v>
      </c>
      <c r="D9" s="18">
        <f t="array" ref="D9">iferror(LET(
    kode, B9,
    actual, XLOOKUP(kode, AVG!A:A, AVG!G:G),
    target, XLOOKUP(kode, AVG!A:A, AVG!F:F),
    ratio, actual/target,
    skor, IFS(
        ratio&gt;1, 5,
        ratio&gt;=0.975, 4,
        ratio&gt;=0.95, 3,
        ratio&gt;=0.9, 2,
        TRUE, 1
    ),
    skor
),0)</f>
        <v>5</v>
      </c>
      <c r="E9" s="18">
        <f t="array" ref="E9">iferror(LET(
    kode, B9,
    large, XLOOKUP(kode, Large!A:A, Large!G:G),
    small, XLOOKUP(kode, Large!A:A, Large!F:F),
    ratio, large/(large+small),
    skor, IFS(
        ratio&lt;0.45, 1,
        ratio&lt;=0.5, 2,
        ratio&lt;=0.55, 3,
        ratio&lt;=0.6, 4,
        TRUE, 5
    ),
    skor
),0)</f>
        <v>1</v>
      </c>
      <c r="F9" s="18">
        <f t="array" ref="F9">iferror(LET(
    kode, B9,
    oatmilk, XLOOKUP(kode, Oatside!A:A, Oatside!G:G),
    drink, XLOOKUP(kode, Oatside!A:A, Oatside!F:F),
    ratio, oatmilk/drink,
    skor, IFS(
        ratio&gt;5%, 5,
        ratio&gt;=4%, 4,
        ratio&gt;=3%, 3,
        ratio&gt;=2%, 2,
        TRUE, 1
    ),
    skor
),0)</f>
        <v>1</v>
      </c>
      <c r="G9" s="18">
        <f t="array" ref="G9">iferror(LET(
    kode, B9,
    actual, XLOOKUP(kode, 'Snack Platter'!A:A, 'Snack Platter'!G:G),
    target, XLOOKUP(kode, 'Snack Platter'!A:A, 'Snack Platter'!F:F),
    ratio, actual/target,
    skor, IFS(
        ratio&gt;10%, 5,
        ratio&gt;=7.5%, 4,
        ratio&gt;=5%, 3,
        ratio&gt;=2.5%, 2,
        TRUE, 1
    ),
    skor
),0)</f>
        <v>1</v>
      </c>
      <c r="H9" s="18">
        <f t="array" ref="H9">iferror(LET(
    kode, B9,
    actual, XLOOKUP(kode, 'Bundling Asik'!A:A, 'Bundling Asik'!G:G),
    target, XLOOKUP(kode, 'Bundling Asik'!A:A, 'Bundling Asik'!F:F),
    ratio, actual/target,
    skor, IFS(
        ratio&gt;5%, 5,
        ratio&gt;=4%, 4,
        ratio&gt;=3%, 3,
        ratio&gt;=2%, 2,
        TRUE, 1
    ),
    skor
),0)</f>
        <v>4</v>
      </c>
      <c r="I9" s="18">
        <f t="array" ref="I9">iferror(LET(
    kode, B9,
    ratio, XLOOKUP(kode, Audit!A:A, Audit!D:D),
    skor, IFS(
        ratio&gt;90, 5,
        ratio&gt;=85, 4,
        ratio&gt;=80, 3,
        ratio&gt;=75, 2,
        TRUE, 1
    ),
    skor
),0)</f>
        <v>1</v>
      </c>
      <c r="J9" s="18">
        <f t="array" ref="J9">iferror(LET(
    kode, B9,
    ratio, XLOOKUP(kode, 'Mistery Shopper'!A:A, 'Mistery Shopper'!D:D),
    skor, IFS(
        ratio&gt;90%, 5,
        ratio&gt;=85%, 4,
        ratio&gt;=80%, 3,
        ratio&gt;=75%, 2,
        TRUE, 1
    ),
    skor
),0)</f>
        <v>1</v>
      </c>
      <c r="K9" s="18">
        <f t="array" ref="K9">iferror(LET(
    kode, B9,
    actual, XLOOKUP(kode, Complain!A:A, Complain!G:G),
    target, XLOOKUP(kode, Complain!A:A, Complain!F:F),
    ratio, actual/target,
    skor, IFS(
        ratio&gt;=0.16%, 1,
        ratio&gt;=0.15%, 2,
        ratio&gt;=0.125%, 3,
        ratio&gt;=0.1%, 4,
        TRUE, 5
    ),
    skor
),0)</f>
        <v>1</v>
      </c>
      <c r="L9" s="19">
        <f t="shared" si="1"/>
        <v>0.31</v>
      </c>
    </row>
    <row r="10">
      <c r="A10" s="17" t="s">
        <v>119</v>
      </c>
      <c r="B10" s="18" t="s">
        <v>141</v>
      </c>
      <c r="C10" s="18">
        <f t="array" ref="C10">iferror(LET(kode, B10, actual, XLOOKUP(kode, Sales!A:A, Sales!G:G),target, XLOOKUP(kode, Sales!A:A, Sales!F:F),ratio, actual/target,skor, IFS(ratio&gt;1, 5,ratio&gt;=0.975, 4,ratio&gt;=0.95, 3,ratio&gt;=0.9, 2,TRUE, 1),skor),0)</f>
        <v>1</v>
      </c>
      <c r="D10" s="18">
        <f t="array" ref="D10">iferror(LET(
    kode, B10,
    actual, XLOOKUP(kode, AVG!A:A, AVG!G:G),
    target, XLOOKUP(kode, AVG!A:A, AVG!F:F),
    ratio, actual/target,
    skor, IFS(
        ratio&gt;1, 5,
        ratio&gt;=0.975, 4,
        ratio&gt;=0.95, 3,
        ratio&gt;=0.9, 2,
        TRUE, 1
    ),
    skor
),0)</f>
        <v>3</v>
      </c>
      <c r="E10" s="18">
        <f t="array" ref="E10">iferror(LET(
    kode, B10,
    large, XLOOKUP(kode, Large!A:A, Large!G:G),
    small, XLOOKUP(kode, Large!A:A, Large!F:F),
    ratio, large/(large+small),
    skor, IFS(
        ratio&lt;0.45, 1,
        ratio&lt;=0.5, 2,
        ratio&lt;=0.55, 3,
        ratio&lt;=0.6, 4,
        TRUE, 5
    ),
    skor
),0)</f>
        <v>1</v>
      </c>
      <c r="F10" s="18">
        <f t="array" ref="F10">iferror(LET(
    kode, B10,
    oatmilk, XLOOKUP(kode, Oatside!A:A, Oatside!G:G),
    drink, XLOOKUP(kode, Oatside!A:A, Oatside!F:F),
    ratio, oatmilk/drink,
    skor, IFS(
        ratio&gt;5%, 5,
        ratio&gt;=4%, 4,
        ratio&gt;=3%, 3,
        ratio&gt;=2%, 2,
        TRUE, 1
    ),
    skor
),0)</f>
        <v>5</v>
      </c>
      <c r="G10" s="18">
        <f t="array" ref="G10">iferror(LET(
    kode, B10,
    actual, XLOOKUP(kode, 'Snack Platter'!A:A, 'Snack Platter'!G:G),
    target, XLOOKUP(kode, 'Snack Platter'!A:A, 'Snack Platter'!F:F),
    ratio, actual/target,
    skor, IFS(
        ratio&gt;10%, 5,
        ratio&gt;=7.5%, 4,
        ratio&gt;=5%, 3,
        ratio&gt;=2.5%, 2,
        TRUE, 1
    ),
    skor
),0)</f>
        <v>2</v>
      </c>
      <c r="H10" s="18">
        <f t="array" ref="H10">iferror(LET(
    kode, B10,
    actual, XLOOKUP(kode, 'Bundling Asik'!A:A, 'Bundling Asik'!G:G),
    target, XLOOKUP(kode, 'Bundling Asik'!A:A, 'Bundling Asik'!F:F),
    ratio, actual/target,
    skor, IFS(
        ratio&gt;5%, 5,
        ratio&gt;=4%, 4,
        ratio&gt;=3%, 3,
        ratio&gt;=2%, 2,
        TRUE, 1
    ),
    skor
),0)</f>
        <v>5</v>
      </c>
      <c r="I10" s="18">
        <f t="array" ref="I10">iferror(LET(
    kode, B10,
    ratio, XLOOKUP(kode, Audit!A:A, Audit!D:D),
    skor, IFS(
        ratio&gt;90, 5,
        ratio&gt;=85, 4,
        ratio&gt;=80, 3,
        ratio&gt;=75, 2,
        TRUE, 1
    ),
    skor
),0)</f>
        <v>2</v>
      </c>
      <c r="J10" s="18">
        <f t="array" ref="J10">iferror(LET(
    kode, B10,
    ratio, XLOOKUP(kode, 'Mistery Shopper'!A:A, 'Mistery Shopper'!D:D),
    skor, IFS(
        ratio&gt;90%, 5,
        ratio&gt;=85%, 4,
        ratio&gt;=80%, 3,
        ratio&gt;=75%, 2,
        TRUE, 1
    ),
    skor
),0)</f>
        <v>5</v>
      </c>
      <c r="K10" s="18">
        <f t="array" ref="K10">iferror(LET(
    kode, B10,
    actual, XLOOKUP(kode, Complain!A:A, Complain!G:G),
    target, XLOOKUP(kode, Complain!A:A, Complain!F:F),
    ratio, actual/target,
    skor, IFS(
        ratio&gt;=0.16%, 1,
        ratio&gt;=0.15%, 2,
        ratio&gt;=0.125%, 3,
        ratio&gt;=0.1%, 4,
        TRUE, 5
    ),
    skor
),0)</f>
        <v>5</v>
      </c>
      <c r="L10" s="19">
        <f t="shared" si="1"/>
        <v>0.48</v>
      </c>
    </row>
    <row r="11">
      <c r="A11" s="17" t="s">
        <v>119</v>
      </c>
      <c r="B11" s="18" t="s">
        <v>143</v>
      </c>
      <c r="C11" s="18">
        <f t="array" ref="C11">iferror(LET(kode, B11, actual, XLOOKUP(kode, Sales!A:A, Sales!G:G),target, XLOOKUP(kode, Sales!A:A, Sales!F:F),ratio, actual/target,skor, IFS(ratio&gt;1, 5,ratio&gt;=0.975, 4,ratio&gt;=0.95, 3,ratio&gt;=0.9, 2,TRUE, 1),skor),0)</f>
        <v>1</v>
      </c>
      <c r="D11" s="18">
        <f t="array" ref="D11">iferror(LET(
    kode, B11,
    actual, XLOOKUP(kode, AVG!A:A, AVG!G:G),
    target, XLOOKUP(kode, AVG!A:A, AVG!F:F),
    ratio, actual/target,
    skor, IFS(
        ratio&gt;1, 5,
        ratio&gt;=0.975, 4,
        ratio&gt;=0.95, 3,
        ratio&gt;=0.9, 2,
        TRUE, 1
    ),
    skor
),0)</f>
        <v>4</v>
      </c>
      <c r="E11" s="18">
        <f t="array" ref="E11">iferror(LET(
    kode, B11,
    large, XLOOKUP(kode, Large!A:A, Large!G:G),
    small, XLOOKUP(kode, Large!A:A, Large!F:F),
    ratio, large/(large+small),
    skor, IFS(
        ratio&lt;0.45, 1,
        ratio&lt;=0.5, 2,
        ratio&lt;=0.55, 3,
        ratio&lt;=0.6, 4,
        TRUE, 5
    ),
    skor
),0)</f>
        <v>3</v>
      </c>
      <c r="F11" s="18">
        <f t="array" ref="F11">iferror(LET(
    kode, B11,
    oatmilk, XLOOKUP(kode, Oatside!A:A, Oatside!G:G),
    drink, XLOOKUP(kode, Oatside!A:A, Oatside!F:F),
    ratio, oatmilk/drink,
    skor, IFS(
        ratio&gt;5%, 5,
        ratio&gt;=4%, 4,
        ratio&gt;=3%, 3,
        ratio&gt;=2%, 2,
        TRUE, 1
    ),
    skor
),0)</f>
        <v>5</v>
      </c>
      <c r="G11" s="18">
        <f t="array" ref="G11">iferror(LET(
    kode, B11,
    actual, XLOOKUP(kode, 'Snack Platter'!A:A, 'Snack Platter'!G:G),
    target, XLOOKUP(kode, 'Snack Platter'!A:A, 'Snack Platter'!F:F),
    ratio, actual/target,
    skor, IFS(
        ratio&gt;10%, 5,
        ratio&gt;=7.5%, 4,
        ratio&gt;=5%, 3,
        ratio&gt;=2.5%, 2,
        TRUE, 1
    ),
    skor
),0)</f>
        <v>2</v>
      </c>
      <c r="H11" s="18">
        <f t="array" ref="H11">iferror(LET(
    kode, B11,
    actual, XLOOKUP(kode, 'Bundling Asik'!A:A, 'Bundling Asik'!G:G),
    target, XLOOKUP(kode, 'Bundling Asik'!A:A, 'Bundling Asik'!F:F),
    ratio, actual/target,
    skor, IFS(
        ratio&gt;5%, 5,
        ratio&gt;=4%, 4,
        ratio&gt;=3%, 3,
        ratio&gt;=2%, 2,
        TRUE, 1
    ),
    skor
),0)</f>
        <v>3</v>
      </c>
      <c r="I11" s="18">
        <f t="array" ref="I11">iferror(LET(
    kode, B11,
    ratio, XLOOKUP(kode, Audit!A:A, Audit!D:D),
    skor, IFS(
        ratio&gt;90, 5,
        ratio&gt;=85, 4,
        ratio&gt;=80, 3,
        ratio&gt;=75, 2,
        TRUE, 1
    ),
    skor
),0)</f>
        <v>1</v>
      </c>
      <c r="J11" s="18">
        <f t="array" ref="J11">iferror(LET(
    kode, B11,
    ratio, XLOOKUP(kode, 'Mistery Shopper'!A:A, 'Mistery Shopper'!D:D),
    skor, IFS(
        ratio&gt;90%, 5,
        ratio&gt;=85%, 4,
        ratio&gt;=80%, 3,
        ratio&gt;=75%, 2,
        TRUE, 1
    ),
    skor
),0)</f>
        <v>5</v>
      </c>
      <c r="K11" s="18">
        <f t="array" ref="K11">iferror(LET(
    kode, B11,
    actual, XLOOKUP(kode, Complain!A:A, Complain!G:G),
    target, XLOOKUP(kode, Complain!A:A, Complain!F:F),
    ratio, actual/target,
    skor, IFS(
        ratio&gt;=0.16%, 1,
        ratio&gt;=0.15%, 2,
        ratio&gt;=0.125%, 3,
        ratio&gt;=0.1%, 4,
        TRUE, 5
    ),
    skor
),0)</f>
        <v>5</v>
      </c>
      <c r="L11" s="19">
        <f t="shared" si="1"/>
        <v>0.47</v>
      </c>
    </row>
    <row r="12">
      <c r="A12" s="17" t="s">
        <v>108</v>
      </c>
      <c r="B12" s="18" t="s">
        <v>109</v>
      </c>
      <c r="C12" s="18">
        <f t="array" ref="C12">iferror(LET(kode, B12, actual, XLOOKUP(kode, Sales!A:A, Sales!G:G),target, XLOOKUP(kode, Sales!A:A, Sales!F:F),ratio, actual/target,skor, IFS(ratio&gt;1, 5,ratio&gt;=0.975, 4,ratio&gt;=0.95, 3,ratio&gt;=0.9, 2,TRUE, 1),skor),0)</f>
        <v>5</v>
      </c>
      <c r="D12" s="18">
        <f t="array" ref="D12">iferror(LET(
    kode, B12,
    actual, XLOOKUP(kode, AVG!A:A, AVG!G:G),
    target, XLOOKUP(kode, AVG!A:A, AVG!F:F),
    ratio, actual/target,
    skor, IFS(
        ratio&gt;1, 5,
        ratio&gt;=0.975, 4,
        ratio&gt;=0.95, 3,
        ratio&gt;=0.9, 2,
        TRUE, 1
    ),
    skor
),0)</f>
        <v>5</v>
      </c>
      <c r="E12" s="18">
        <f t="array" ref="E12">iferror(LET(
    kode, B12,
    large, XLOOKUP(kode, Large!A:A, Large!G:G),
    small, XLOOKUP(kode, Large!A:A, Large!F:F),
    ratio, large/(large+small),
    skor, IFS(
        ratio&lt;0.45, 1,
        ratio&lt;=0.5, 2,
        ratio&lt;=0.55, 3,
        ratio&lt;=0.6, 4,
        TRUE, 5
    ),
    skor
),0)</f>
        <v>5</v>
      </c>
      <c r="F12" s="18">
        <f t="array" ref="F12">iferror(LET(
    kode, B12,
    oatmilk, XLOOKUP(kode, Oatside!A:A, Oatside!G:G),
    drink, XLOOKUP(kode, Oatside!A:A, Oatside!F:F),
    ratio, oatmilk/drink,
    skor, IFS(
        ratio&gt;5%, 5,
        ratio&gt;=4%, 4,
        ratio&gt;=3%, 3,
        ratio&gt;=2%, 2,
        TRUE, 1
    ),
    skor
),0)</f>
        <v>5</v>
      </c>
      <c r="G12" s="18">
        <f t="array" ref="G12">iferror(LET(
    kode, B12,
    actual, XLOOKUP(kode, 'Snack Platter'!A:A, 'Snack Platter'!G:G),
    target, XLOOKUP(kode, 'Snack Platter'!A:A, 'Snack Platter'!F:F),
    ratio, actual/target,
    skor, IFS(
        ratio&gt;10%, 5,
        ratio&gt;=7.5%, 4,
        ratio&gt;=5%, 3,
        ratio&gt;=2.5%, 2,
        TRUE, 1
    ),
    skor
),0)</f>
        <v>5</v>
      </c>
      <c r="H12" s="18">
        <f t="array" ref="H12">iferror(LET(
    kode, B12,
    actual, XLOOKUP(kode, 'Bundling Asik'!A:A, 'Bundling Asik'!G:G),
    target, XLOOKUP(kode, 'Bundling Asik'!A:A, 'Bundling Asik'!F:F),
    ratio, actual/target,
    skor, IFS(
        ratio&gt;5%, 5,
        ratio&gt;=4%, 4,
        ratio&gt;=3%, 3,
        ratio&gt;=2%, 2,
        TRUE, 1
    ),
    skor
),0)</f>
        <v>5</v>
      </c>
      <c r="I12" s="18">
        <f t="array" ref="I12">iferror(LET(
    kode, B12,
    ratio, XLOOKUP(kode, Audit!A:A, Audit!D:D),
    skor, IFS(
        ratio&gt;90, 5,
        ratio&gt;=85, 4,
        ratio&gt;=80, 3,
        ratio&gt;=75, 2,
        TRUE, 1
    ),
    skor
),0)</f>
        <v>4</v>
      </c>
      <c r="J12" s="18">
        <f t="array" ref="J12">iferror(LET(
    kode, B12,
    ratio, XLOOKUP(kode, 'Mistery Shopper'!A:A, 'Mistery Shopper'!D:D),
    skor, IFS(
        ratio&gt;90%, 5,
        ratio&gt;=85%, 4,
        ratio&gt;=80%, 3,
        ratio&gt;=75%, 2,
        TRUE, 1
    ),
    skor
),0)</f>
        <v>5</v>
      </c>
      <c r="K12" s="18">
        <f t="array" ref="K12">iferror(LET(
    kode, B12,
    actual, XLOOKUP(kode, Complain!A:A, Complain!G:G),
    target, XLOOKUP(kode, Complain!A:A, Complain!F:F),
    ratio, actual/target,
    skor, IFS(
        ratio&gt;=0.16%, 1,
        ratio&gt;=0.15%, 2,
        ratio&gt;=0.125%, 3,
        ratio&gt;=0.1%, 4,
        TRUE, 5
    ),
    skor
),0)</f>
        <v>5</v>
      </c>
      <c r="L12" s="19">
        <f t="shared" si="1"/>
        <v>0.97</v>
      </c>
    </row>
    <row r="13">
      <c r="A13" s="17" t="s">
        <v>108</v>
      </c>
      <c r="B13" s="18" t="s">
        <v>111</v>
      </c>
      <c r="C13" s="18">
        <f t="array" ref="C13">iferror(LET(kode, B13, actual, XLOOKUP(kode, Sales!A:A, Sales!G:G),target, XLOOKUP(kode, Sales!A:A, Sales!F:F),ratio, actual/target,skor, IFS(ratio&gt;1, 5,ratio&gt;=0.975, 4,ratio&gt;=0.95, 3,ratio&gt;=0.9, 2,TRUE, 1),skor),0)</f>
        <v>5</v>
      </c>
      <c r="D13" s="18">
        <f t="array" ref="D13">iferror(LET(
    kode, B13,
    actual, XLOOKUP(kode, AVG!A:A, AVG!G:G),
    target, XLOOKUP(kode, AVG!A:A, AVG!F:F),
    ratio, actual/target,
    skor, IFS(
        ratio&gt;1, 5,
        ratio&gt;=0.975, 4,
        ratio&gt;=0.95, 3,
        ratio&gt;=0.9, 2,
        TRUE, 1
    ),
    skor
),0)</f>
        <v>5</v>
      </c>
      <c r="E13" s="18">
        <f t="array" ref="E13">iferror(LET(
    kode, B13,
    large, XLOOKUP(kode, Large!A:A, Large!G:G),
    small, XLOOKUP(kode, Large!A:A, Large!F:F),
    ratio, large/(large+small),
    skor, IFS(
        ratio&lt;0.45, 1,
        ratio&lt;=0.5, 2,
        ratio&lt;=0.55, 3,
        ratio&lt;=0.6, 4,
        TRUE, 5
    ),
    skor
),0)</f>
        <v>5</v>
      </c>
      <c r="F13" s="18">
        <f t="array" ref="F13">iferror(LET(
    kode, B13,
    oatmilk, XLOOKUP(kode, Oatside!A:A, Oatside!G:G),
    drink, XLOOKUP(kode, Oatside!A:A, Oatside!F:F),
    ratio, oatmilk/drink,
    skor, IFS(
        ratio&gt;5%, 5,
        ratio&gt;=4%, 4,
        ratio&gt;=3%, 3,
        ratio&gt;=2%, 2,
        TRUE, 1
    ),
    skor
),0)</f>
        <v>5</v>
      </c>
      <c r="G13" s="18">
        <f t="array" ref="G13">iferror(LET(
    kode, B13,
    actual, XLOOKUP(kode, 'Snack Platter'!A:A, 'Snack Platter'!G:G),
    target, XLOOKUP(kode, 'Snack Platter'!A:A, 'Snack Platter'!F:F),
    ratio, actual/target,
    skor, IFS(
        ratio&gt;10%, 5,
        ratio&gt;=7.5%, 4,
        ratio&gt;=5%, 3,
        ratio&gt;=2.5%, 2,
        TRUE, 1
    ),
    skor
),0)</f>
        <v>5</v>
      </c>
      <c r="H13" s="18">
        <f t="array" ref="H13">iferror(LET(
    kode, B13,
    actual, XLOOKUP(kode, 'Bundling Asik'!A:A, 'Bundling Asik'!G:G),
    target, XLOOKUP(kode, 'Bundling Asik'!A:A, 'Bundling Asik'!F:F),
    ratio, actual/target,
    skor, IFS(
        ratio&gt;5%, 5,
        ratio&gt;=4%, 4,
        ratio&gt;=3%, 3,
        ratio&gt;=2%, 2,
        TRUE, 1
    ),
    skor
),0)</f>
        <v>5</v>
      </c>
      <c r="I13" s="18">
        <f t="array" ref="I13">iferror(LET(
    kode, B13,
    ratio, XLOOKUP(kode, Audit!A:A, Audit!D:D),
    skor, IFS(
        ratio&gt;90, 5,
        ratio&gt;=85, 4,
        ratio&gt;=80, 3,
        ratio&gt;=75, 2,
        TRUE, 1
    ),
    skor
),0)</f>
        <v>3</v>
      </c>
      <c r="J13" s="18">
        <f t="array" ref="J13">iferror(LET(
    kode, B13,
    ratio, XLOOKUP(kode, 'Mistery Shopper'!A:A, 'Mistery Shopper'!D:D),
    skor, IFS(
        ratio&gt;90%, 5,
        ratio&gt;=85%, 4,
        ratio&gt;=80%, 3,
        ratio&gt;=75%, 2,
        TRUE, 1
    ),
    skor
),0)</f>
        <v>5</v>
      </c>
      <c r="K13" s="18">
        <f t="array" ref="K13">iferror(LET(
    kode, B13,
    actual, XLOOKUP(kode, Complain!A:A, Complain!G:G),
    target, XLOOKUP(kode, Complain!A:A, Complain!F:F),
    ratio, actual/target,
    skor, IFS(
        ratio&gt;=0.16%, 1,
        ratio&gt;=0.15%, 2,
        ratio&gt;=0.125%, 3,
        ratio&gt;=0.1%, 4,
        TRUE, 5
    ),
    skor
),0)</f>
        <v>4</v>
      </c>
      <c r="L13" s="19">
        <f t="shared" si="1"/>
        <v>0.92</v>
      </c>
    </row>
    <row r="14">
      <c r="A14" s="17" t="s">
        <v>108</v>
      </c>
      <c r="B14" s="18" t="s">
        <v>127</v>
      </c>
      <c r="C14" s="18">
        <f t="array" ref="C14">iferror(LET(kode, B14, actual, XLOOKUP(kode, Sales!A:A, Sales!G:G),target, XLOOKUP(kode, Sales!A:A, Sales!F:F),ratio, actual/target,skor, IFS(ratio&gt;1, 5,ratio&gt;=0.975, 4,ratio&gt;=0.95, 3,ratio&gt;=0.9, 2,TRUE, 1),skor),0)</f>
        <v>5</v>
      </c>
      <c r="D14" s="18">
        <f t="array" ref="D14">iferror(LET(
    kode, B14,
    actual, XLOOKUP(kode, AVG!A:A, AVG!G:G),
    target, XLOOKUP(kode, AVG!A:A, AVG!F:F),
    ratio, actual/target,
    skor, IFS(
        ratio&gt;1, 5,
        ratio&gt;=0.975, 4,
        ratio&gt;=0.95, 3,
        ratio&gt;=0.9, 2,
        TRUE, 1
    ),
    skor
),0)</f>
        <v>5</v>
      </c>
      <c r="E14" s="18">
        <f t="array" ref="E14">iferror(LET(
    kode, B14,
    large, XLOOKUP(kode, Large!A:A, Large!G:G),
    small, XLOOKUP(kode, Large!A:A, Large!F:F),
    ratio, large/(large+small),
    skor, IFS(
        ratio&lt;0.45, 1,
        ratio&lt;=0.5, 2,
        ratio&lt;=0.55, 3,
        ratio&lt;=0.6, 4,
        TRUE, 5
    ),
    skor
),0)</f>
        <v>3</v>
      </c>
      <c r="F14" s="18">
        <f t="array" ref="F14">iferror(LET(
    kode, B14,
    oatmilk, XLOOKUP(kode, Oatside!A:A, Oatside!G:G),
    drink, XLOOKUP(kode, Oatside!A:A, Oatside!F:F),
    ratio, oatmilk/drink,
    skor, IFS(
        ratio&gt;5%, 5,
        ratio&gt;=4%, 4,
        ratio&gt;=3%, 3,
        ratio&gt;=2%, 2,
        TRUE, 1
    ),
    skor
),0)</f>
        <v>5</v>
      </c>
      <c r="G14" s="18">
        <f t="array" ref="G14">iferror(LET(
    kode, B14,
    actual, XLOOKUP(kode, 'Snack Platter'!A:A, 'Snack Platter'!G:G),
    target, XLOOKUP(kode, 'Snack Platter'!A:A, 'Snack Platter'!F:F),
    ratio, actual/target,
    skor, IFS(
        ratio&gt;10%, 5,
        ratio&gt;=7.5%, 4,
        ratio&gt;=5%, 3,
        ratio&gt;=2.5%, 2,
        TRUE, 1
    ),
    skor
),0)</f>
        <v>5</v>
      </c>
      <c r="H14" s="18">
        <f t="array" ref="H14">iferror(LET(
    kode, B14,
    actual, XLOOKUP(kode, 'Bundling Asik'!A:A, 'Bundling Asik'!G:G),
    target, XLOOKUP(kode, 'Bundling Asik'!A:A, 'Bundling Asik'!F:F),
    ratio, actual/target,
    skor, IFS(
        ratio&gt;5%, 5,
        ratio&gt;=4%, 4,
        ratio&gt;=3%, 3,
        ratio&gt;=2%, 2,
        TRUE, 1
    ),
    skor
),0)</f>
        <v>5</v>
      </c>
      <c r="I14" s="18">
        <f t="array" ref="I14">iferror(LET(
    kode, B14,
    ratio, XLOOKUP(kode, Audit!A:A, Audit!D:D),
    skor, IFS(
        ratio&gt;90, 5,
        ratio&gt;=85, 4,
        ratio&gt;=80, 3,
        ratio&gt;=75, 2,
        TRUE, 1
    ),
    skor
),0)</f>
        <v>4</v>
      </c>
      <c r="J14" s="18">
        <f t="array" ref="J14">iferror(LET(
    kode, B14,
    ratio, XLOOKUP(kode, 'Mistery Shopper'!A:A, 'Mistery Shopper'!D:D),
    skor, IFS(
        ratio&gt;90%, 5,
        ratio&gt;=85%, 4,
        ratio&gt;=80%, 3,
        ratio&gt;=75%, 2,
        TRUE, 1
    ),
    skor
),0)</f>
        <v>1</v>
      </c>
      <c r="K14" s="18">
        <f t="array" ref="K14">iferror(LET(
    kode, B14,
    actual, XLOOKUP(kode, Complain!A:A, Complain!G:G),
    target, XLOOKUP(kode, Complain!A:A, Complain!F:F),
    ratio, actual/target,
    skor, IFS(
        ratio&gt;=0.16%, 1,
        ratio&gt;=0.15%, 2,
        ratio&gt;=0.125%, 3,
        ratio&gt;=0.1%, 4,
        TRUE, 5
    ),
    skor
),0)</f>
        <v>5</v>
      </c>
      <c r="L14" s="19">
        <f t="shared" si="1"/>
        <v>0.91</v>
      </c>
    </row>
    <row r="15">
      <c r="A15" s="17" t="s">
        <v>108</v>
      </c>
      <c r="B15" s="18" t="s">
        <v>125</v>
      </c>
      <c r="C15" s="18">
        <f t="array" ref="C15">iferror(LET(kode, B15, actual, XLOOKUP(kode, Sales!A:A, Sales!G:G),target, XLOOKUP(kode, Sales!A:A, Sales!F:F),ratio, actual/target,skor, IFS(ratio&gt;1, 5,ratio&gt;=0.975, 4,ratio&gt;=0.95, 3,ratio&gt;=0.9, 2,TRUE, 1),skor),0)</f>
        <v>5</v>
      </c>
      <c r="D15" s="18">
        <f t="array" ref="D15">iferror(LET(
    kode, B15,
    actual, XLOOKUP(kode, AVG!A:A, AVG!G:G),
    target, XLOOKUP(kode, AVG!A:A, AVG!F:F),
    ratio, actual/target,
    skor, IFS(
        ratio&gt;1, 5,
        ratio&gt;=0.975, 4,
        ratio&gt;=0.95, 3,
        ratio&gt;=0.9, 2,
        TRUE, 1
    ),
    skor
),0)</f>
        <v>5</v>
      </c>
      <c r="E15" s="18">
        <f t="array" ref="E15">iferror(LET(
    kode, B15,
    large, XLOOKUP(kode, Large!A:A, Large!G:G),
    small, XLOOKUP(kode, Large!A:A, Large!F:F),
    ratio, large/(large+small),
    skor, IFS(
        ratio&lt;0.45, 1,
        ratio&lt;=0.5, 2,
        ratio&lt;=0.55, 3,
        ratio&lt;=0.6, 4,
        TRUE, 5
    ),
    skor
),0)</f>
        <v>3</v>
      </c>
      <c r="F15" s="18">
        <f t="array" ref="F15">iferror(LET(
    kode, B15,
    oatmilk, XLOOKUP(kode, Oatside!A:A, Oatside!G:G),
    drink, XLOOKUP(kode, Oatside!A:A, Oatside!F:F),
    ratio, oatmilk/drink,
    skor, IFS(
        ratio&gt;5%, 5,
        ratio&gt;=4%, 4,
        ratio&gt;=3%, 3,
        ratio&gt;=2%, 2,
        TRUE, 1
    ),
    skor
),0)</f>
        <v>4</v>
      </c>
      <c r="G15" s="18">
        <f t="array" ref="G15">iferror(LET(
    kode, B15,
    actual, XLOOKUP(kode, 'Snack Platter'!A:A, 'Snack Platter'!G:G),
    target, XLOOKUP(kode, 'Snack Platter'!A:A, 'Snack Platter'!F:F),
    ratio, actual/target,
    skor, IFS(
        ratio&gt;10%, 5,
        ratio&gt;=7.5%, 4,
        ratio&gt;=5%, 3,
        ratio&gt;=2.5%, 2,
        TRUE, 1
    ),
    skor
),0)</f>
        <v>3</v>
      </c>
      <c r="H15" s="18">
        <f t="array" ref="H15">iferror(LET(
    kode, B15,
    actual, XLOOKUP(kode, 'Bundling Asik'!A:A, 'Bundling Asik'!G:G),
    target, XLOOKUP(kode, 'Bundling Asik'!A:A, 'Bundling Asik'!F:F),
    ratio, actual/target,
    skor, IFS(
        ratio&gt;5%, 5,
        ratio&gt;=4%, 4,
        ratio&gt;=3%, 3,
        ratio&gt;=2%, 2,
        TRUE, 1
    ),
    skor
),0)</f>
        <v>5</v>
      </c>
      <c r="I15" s="18">
        <f t="array" ref="I15">iferror(LET(
    kode, B15,
    ratio, XLOOKUP(kode, Audit!A:A, Audit!D:D),
    skor, IFS(
        ratio&gt;90, 5,
        ratio&gt;=85, 4,
        ratio&gt;=80, 3,
        ratio&gt;=75, 2,
        TRUE, 1
    ),
    skor
),0)</f>
        <v>2</v>
      </c>
      <c r="J15" s="18">
        <f t="array" ref="J15">iferror(LET(
    kode, B15,
    ratio, XLOOKUP(kode, 'Mistery Shopper'!A:A, 'Mistery Shopper'!D:D),
    skor, IFS(
        ratio&gt;90%, 5,
        ratio&gt;=85%, 4,
        ratio&gt;=80%, 3,
        ratio&gt;=75%, 2,
        TRUE, 1
    ),
    skor
),0)</f>
        <v>5</v>
      </c>
      <c r="K15" s="18">
        <f t="array" ref="K15">iferror(LET(
    kode, B15,
    actual, XLOOKUP(kode, Complain!A:A, Complain!G:G),
    target, XLOOKUP(kode, Complain!A:A, Complain!F:F),
    ratio, actual/target,
    skor, IFS(
        ratio&gt;=0.16%, 1,
        ratio&gt;=0.15%, 2,
        ratio&gt;=0.125%, 3,
        ratio&gt;=0.1%, 4,
        TRUE, 5
    ),
    skor
),0)</f>
        <v>5</v>
      </c>
      <c r="L15" s="19">
        <f t="shared" si="1"/>
        <v>0.86</v>
      </c>
    </row>
    <row r="16">
      <c r="A16" s="17" t="s">
        <v>108</v>
      </c>
      <c r="B16" s="18" t="s">
        <v>130</v>
      </c>
      <c r="C16" s="18">
        <f t="array" ref="C16">iferror(LET(kode, B16, actual, XLOOKUP(kode, Sales!A:A, Sales!G:G),target, XLOOKUP(kode, Sales!A:A, Sales!F:F),ratio, actual/target,skor, IFS(ratio&gt;1, 5,ratio&gt;=0.975, 4,ratio&gt;=0.95, 3,ratio&gt;=0.9, 2,TRUE, 1),skor),0)</f>
        <v>5</v>
      </c>
      <c r="D16" s="18">
        <f t="array" ref="D16">iferror(LET(
    kode, B16,
    actual, XLOOKUP(kode, AVG!A:A, AVG!G:G),
    target, XLOOKUP(kode, AVG!A:A, AVG!F:F),
    ratio, actual/target,
    skor, IFS(
        ratio&gt;1, 5,
        ratio&gt;=0.975, 4,
        ratio&gt;=0.95, 3,
        ratio&gt;=0.9, 2,
        TRUE, 1
    ),
    skor
),0)</f>
        <v>5</v>
      </c>
      <c r="E16" s="18">
        <f t="array" ref="E16">iferror(LET(
    kode, B16,
    large, XLOOKUP(kode, Large!A:A, Large!G:G),
    small, XLOOKUP(kode, Large!A:A, Large!F:F),
    ratio, large/(large+small),
    skor, IFS(
        ratio&lt;0.45, 1,
        ratio&lt;=0.5, 2,
        ratio&lt;=0.55, 3,
        ratio&lt;=0.6, 4,
        TRUE, 5
    ),
    skor
),0)</f>
        <v>1</v>
      </c>
      <c r="F16" s="18">
        <f t="array" ref="F16">iferror(LET(
    kode, B16,
    oatmilk, XLOOKUP(kode, Oatside!A:A, Oatside!G:G),
    drink, XLOOKUP(kode, Oatside!A:A, Oatside!F:F),
    ratio, oatmilk/drink,
    skor, IFS(
        ratio&gt;5%, 5,
        ratio&gt;=4%, 4,
        ratio&gt;=3%, 3,
        ratio&gt;=2%, 2,
        TRUE, 1
    ),
    skor
),0)</f>
        <v>5</v>
      </c>
      <c r="G16" s="18">
        <f t="array" ref="G16">iferror(LET(
    kode, B16,
    actual, XLOOKUP(kode, 'Snack Platter'!A:A, 'Snack Platter'!G:G),
    target, XLOOKUP(kode, 'Snack Platter'!A:A, 'Snack Platter'!F:F),
    ratio, actual/target,
    skor, IFS(
        ratio&gt;10%, 5,
        ratio&gt;=7.5%, 4,
        ratio&gt;=5%, 3,
        ratio&gt;=2.5%, 2,
        TRUE, 1
    ),
    skor
),0)</f>
        <v>5</v>
      </c>
      <c r="H16" s="18">
        <f t="array" ref="H16">iferror(LET(
    kode, B16,
    actual, XLOOKUP(kode, 'Bundling Asik'!A:A, 'Bundling Asik'!G:G),
    target, XLOOKUP(kode, 'Bundling Asik'!A:A, 'Bundling Asik'!F:F),
    ratio, actual/target,
    skor, IFS(
        ratio&gt;5%, 5,
        ratio&gt;=4%, 4,
        ratio&gt;=3%, 3,
        ratio&gt;=2%, 2,
        TRUE, 1
    ),
    skor
),0)</f>
        <v>5</v>
      </c>
      <c r="I16" s="18">
        <f t="array" ref="I16">iferror(LET(
    kode, B16,
    ratio, XLOOKUP(kode, Audit!A:A, Audit!D:D),
    skor, IFS(
        ratio&gt;90, 5,
        ratio&gt;=85, 4,
        ratio&gt;=80, 3,
        ratio&gt;=75, 2,
        TRUE, 1
    ),
    skor
),0)</f>
        <v>2</v>
      </c>
      <c r="J16" s="18">
        <f t="array" ref="J16">iferror(LET(
    kode, B16,
    ratio, XLOOKUP(kode, 'Mistery Shopper'!A:A, 'Mistery Shopper'!D:D),
    skor, IFS(
        ratio&gt;90%, 5,
        ratio&gt;=85%, 4,
        ratio&gt;=80%, 3,
        ratio&gt;=75%, 2,
        TRUE, 1
    ),
    skor
),0)</f>
        <v>1</v>
      </c>
      <c r="K16" s="18">
        <f t="array" ref="K16">iferror(LET(
    kode, B16,
    actual, XLOOKUP(kode, Complain!A:A, Complain!G:G),
    target, XLOOKUP(kode, Complain!A:A, Complain!F:F),
    ratio, actual/target,
    skor, IFS(
        ratio&gt;=0.16%, 1,
        ratio&gt;=0.15%, 2,
        ratio&gt;=0.125%, 3,
        ratio&gt;=0.1%, 4,
        TRUE, 5
    ),
    skor
),0)</f>
        <v>1</v>
      </c>
      <c r="L16" s="19">
        <f t="shared" si="1"/>
        <v>0.75</v>
      </c>
    </row>
    <row r="17">
      <c r="A17" s="17" t="s">
        <v>110</v>
      </c>
      <c r="B17" s="18" t="s">
        <v>118</v>
      </c>
      <c r="C17" s="18">
        <f t="array" ref="C17">iferror(LET(kode, B17, actual, XLOOKUP(kode, Sales!A:A, Sales!G:G),target, XLOOKUP(kode, Sales!A:A, Sales!F:F),ratio, actual/target,skor, IFS(ratio&gt;1, 5,ratio&gt;=0.975, 4,ratio&gt;=0.95, 3,ratio&gt;=0.9, 2,TRUE, 1),skor),0)</f>
        <v>5</v>
      </c>
      <c r="D17" s="18">
        <f t="array" ref="D17">iferror(LET(
    kode, B17,
    actual, XLOOKUP(kode, AVG!A:A, AVG!G:G),
    target, XLOOKUP(kode, AVG!A:A, AVG!F:F),
    ratio, actual/target,
    skor, IFS(
        ratio&gt;1, 5,
        ratio&gt;=0.975, 4,
        ratio&gt;=0.95, 3,
        ratio&gt;=0.9, 2,
        TRUE, 1
    ),
    skor
),0)</f>
        <v>5</v>
      </c>
      <c r="E17" s="18">
        <f t="array" ref="E17">iferror(LET(
    kode, B17,
    large, XLOOKUP(kode, Large!A:A, Large!G:G),
    small, XLOOKUP(kode, Large!A:A, Large!F:F),
    ratio, large/(large+small),
    skor, IFS(
        ratio&lt;0.45, 1,
        ratio&lt;=0.5, 2,
        ratio&lt;=0.55, 3,
        ratio&lt;=0.6, 4,
        TRUE, 5
    ),
    skor
),0)</f>
        <v>2</v>
      </c>
      <c r="F17" s="18">
        <f t="array" ref="F17">iferror(LET(
    kode, B17,
    oatmilk, XLOOKUP(kode, Oatside!A:A, Oatside!G:G),
    drink, XLOOKUP(kode, Oatside!A:A, Oatside!F:F),
    ratio, oatmilk/drink,
    skor, IFS(
        ratio&gt;5%, 5,
        ratio&gt;=4%, 4,
        ratio&gt;=3%, 3,
        ratio&gt;=2%, 2,
        TRUE, 1
    ),
    skor
),0)</f>
        <v>5</v>
      </c>
      <c r="G17" s="18">
        <f t="array" ref="G17">iferror(LET(
    kode, B17,
    actual, XLOOKUP(kode, 'Snack Platter'!A:A, 'Snack Platter'!G:G),
    target, XLOOKUP(kode, 'Snack Platter'!A:A, 'Snack Platter'!F:F),
    ratio, actual/target,
    skor, IFS(
        ratio&gt;10%, 5,
        ratio&gt;=7.5%, 4,
        ratio&gt;=5%, 3,
        ratio&gt;=2.5%, 2,
        TRUE, 1
    ),
    skor
),0)</f>
        <v>5</v>
      </c>
      <c r="H17" s="18">
        <f t="array" ref="H17">iferror(LET(
    kode, B17,
    actual, XLOOKUP(kode, 'Bundling Asik'!A:A, 'Bundling Asik'!G:G),
    target, XLOOKUP(kode, 'Bundling Asik'!A:A, 'Bundling Asik'!F:F),
    ratio, actual/target,
    skor, IFS(
        ratio&gt;5%, 5,
        ratio&gt;=4%, 4,
        ratio&gt;=3%, 3,
        ratio&gt;=2%, 2,
        TRUE, 1
    ),
    skor
),0)</f>
        <v>5</v>
      </c>
      <c r="I17" s="18">
        <f t="array" ref="I17">iferror(LET(
    kode, B17,
    ratio, XLOOKUP(kode, Audit!A:A, Audit!D:D),
    skor, IFS(
        ratio&gt;90, 5,
        ratio&gt;=85, 4,
        ratio&gt;=80, 3,
        ratio&gt;=75, 2,
        TRUE, 1
    ),
    skor
),0)</f>
        <v>4</v>
      </c>
      <c r="J17" s="18">
        <f t="array" ref="J17">iferror(LET(
    kode, B17,
    ratio, XLOOKUP(kode, 'Mistery Shopper'!A:A, 'Mistery Shopper'!D:D),
    skor, IFS(
        ratio&gt;90%, 5,
        ratio&gt;=85%, 4,
        ratio&gt;=80%, 3,
        ratio&gt;=75%, 2,
        TRUE, 1
    ),
    skor
),0)</f>
        <v>5</v>
      </c>
      <c r="K17" s="18">
        <f t="array" ref="K17">iferror(LET(
    kode, B17,
    actual, XLOOKUP(kode, Complain!A:A, Complain!G:G),
    target, XLOOKUP(kode, Complain!A:A, Complain!F:F),
    ratio, actual/target,
    skor, IFS(
        ratio&gt;=0.16%, 1,
        ratio&gt;=0.15%, 2,
        ratio&gt;=0.125%, 3,
        ratio&gt;=0.1%, 4,
        TRUE, 5
    ),
    skor
),0)</f>
        <v>5</v>
      </c>
      <c r="L17" s="19">
        <f t="shared" si="1"/>
        <v>0.94</v>
      </c>
    </row>
    <row r="18">
      <c r="A18" s="17" t="s">
        <v>110</v>
      </c>
      <c r="B18" s="18" t="s">
        <v>112</v>
      </c>
      <c r="C18" s="18">
        <f t="array" ref="C18">iferror(LET(kode, B18, actual, XLOOKUP(kode, Sales!A:A, Sales!G:G),target, XLOOKUP(kode, Sales!A:A, Sales!F:F),ratio, actual/target,skor, IFS(ratio&gt;1, 5,ratio&gt;=0.975, 4,ratio&gt;=0.95, 3,ratio&gt;=0.9, 2,TRUE, 1),skor),0)</f>
        <v>5</v>
      </c>
      <c r="D18" s="18">
        <f t="array" ref="D18">iferror(LET(
    kode, B18,
    actual, XLOOKUP(kode, AVG!A:A, AVG!G:G),
    target, XLOOKUP(kode, AVG!A:A, AVG!F:F),
    ratio, actual/target,
    skor, IFS(
        ratio&gt;1, 5,
        ratio&gt;=0.975, 4,
        ratio&gt;=0.95, 3,
        ratio&gt;=0.9, 2,
        TRUE, 1
    ),
    skor
),0)</f>
        <v>5</v>
      </c>
      <c r="E18" s="18">
        <f t="array" ref="E18">iferror(LET(
    kode, B18,
    large, XLOOKUP(kode, Large!A:A, Large!G:G),
    small, XLOOKUP(kode, Large!A:A, Large!F:F),
    ratio, large/(large+small),
    skor, IFS(
        ratio&lt;0.45, 1,
        ratio&lt;=0.5, 2,
        ratio&lt;=0.55, 3,
        ratio&lt;=0.6, 4,
        TRUE, 5
    ),
    skor
),0)</f>
        <v>1</v>
      </c>
      <c r="F18" s="18">
        <f t="array" ref="F18">iferror(LET(
    kode, B18,
    oatmilk, XLOOKUP(kode, Oatside!A:A, Oatside!G:G),
    drink, XLOOKUP(kode, Oatside!A:A, Oatside!F:F),
    ratio, oatmilk/drink,
    skor, IFS(
        ratio&gt;5%, 5,
        ratio&gt;=4%, 4,
        ratio&gt;=3%, 3,
        ratio&gt;=2%, 2,
        TRUE, 1
    ),
    skor
),0)</f>
        <v>5</v>
      </c>
      <c r="G18" s="18">
        <f t="array" ref="G18">iferror(LET(
    kode, B18,
    actual, XLOOKUP(kode, 'Snack Platter'!A:A, 'Snack Platter'!G:G),
    target, XLOOKUP(kode, 'Snack Platter'!A:A, 'Snack Platter'!F:F),
    ratio, actual/target,
    skor, IFS(
        ratio&gt;10%, 5,
        ratio&gt;=7.5%, 4,
        ratio&gt;=5%, 3,
        ratio&gt;=2.5%, 2,
        TRUE, 1
    ),
    skor
),0)</f>
        <v>3</v>
      </c>
      <c r="H18" s="18">
        <f t="array" ref="H18">iferror(LET(
    kode, B18,
    actual, XLOOKUP(kode, 'Bundling Asik'!A:A, 'Bundling Asik'!G:G),
    target, XLOOKUP(kode, 'Bundling Asik'!A:A, 'Bundling Asik'!F:F),
    ratio, actual/target,
    skor, IFS(
        ratio&gt;5%, 5,
        ratio&gt;=4%, 4,
        ratio&gt;=3%, 3,
        ratio&gt;=2%, 2,
        TRUE, 1
    ),
    skor
),0)</f>
        <v>5</v>
      </c>
      <c r="I18" s="18">
        <f t="array" ref="I18">iferror(LET(
    kode, B18,
    ratio, XLOOKUP(kode, Audit!A:A, Audit!D:D),
    skor, IFS(
        ratio&gt;90, 5,
        ratio&gt;=85, 4,
        ratio&gt;=80, 3,
        ratio&gt;=75, 2,
        TRUE, 1
    ),
    skor
),0)</f>
        <v>4</v>
      </c>
      <c r="J18" s="18">
        <f t="array" ref="J18">iferror(LET(
    kode, B18,
    ratio, XLOOKUP(kode, 'Mistery Shopper'!A:A, 'Mistery Shopper'!D:D),
    skor, IFS(
        ratio&gt;90%, 5,
        ratio&gt;=85%, 4,
        ratio&gt;=80%, 3,
        ratio&gt;=75%, 2,
        TRUE, 1
    ),
    skor
),0)</f>
        <v>5</v>
      </c>
      <c r="K18" s="18">
        <f t="array" ref="K18">iferror(LET(
    kode, B18,
    actual, XLOOKUP(kode, Complain!A:A, Complain!G:G),
    target, XLOOKUP(kode, Complain!A:A, Complain!F:F),
    ratio, actual/target,
    skor, IFS(
        ratio&gt;=0.16%, 1,
        ratio&gt;=0.15%, 2,
        ratio&gt;=0.125%, 3,
        ratio&gt;=0.1%, 4,
        TRUE, 5
    ),
    skor
),0)</f>
        <v>5</v>
      </c>
      <c r="L18" s="19">
        <f t="shared" si="1"/>
        <v>0.91</v>
      </c>
    </row>
    <row r="19">
      <c r="A19" s="17" t="s">
        <v>110</v>
      </c>
      <c r="B19" s="18" t="s">
        <v>114</v>
      </c>
      <c r="C19" s="18">
        <f t="array" ref="C19">iferror(LET(kode, B19, actual, XLOOKUP(kode, Sales!A:A, Sales!G:G),target, XLOOKUP(kode, Sales!A:A, Sales!F:F),ratio, actual/target,skor, IFS(ratio&gt;1, 5,ratio&gt;=0.975, 4,ratio&gt;=0.95, 3,ratio&gt;=0.9, 2,TRUE, 1),skor),0)</f>
        <v>5</v>
      </c>
      <c r="D19" s="18">
        <f t="array" ref="D19">iferror(LET(
    kode, B19,
    actual, XLOOKUP(kode, AVG!A:A, AVG!G:G),
    target, XLOOKUP(kode, AVG!A:A, AVG!F:F),
    ratio, actual/target,
    skor, IFS(
        ratio&gt;1, 5,
        ratio&gt;=0.975, 4,
        ratio&gt;=0.95, 3,
        ratio&gt;=0.9, 2,
        TRUE, 1
    ),
    skor
),0)</f>
        <v>5</v>
      </c>
      <c r="E19" s="18">
        <f t="array" ref="E19">iferror(LET(
    kode, B19,
    large, XLOOKUP(kode, Large!A:A, Large!G:G),
    small, XLOOKUP(kode, Large!A:A, Large!F:F),
    ratio, large/(large+small),
    skor, IFS(
        ratio&lt;0.45, 1,
        ratio&lt;=0.5, 2,
        ratio&lt;=0.55, 3,
        ratio&lt;=0.6, 4,
        TRUE, 5
    ),
    skor
),0)</f>
        <v>1</v>
      </c>
      <c r="F19" s="18">
        <f t="array" ref="F19">iferror(LET(
    kode, B19,
    oatmilk, XLOOKUP(kode, Oatside!A:A, Oatside!G:G),
    drink, XLOOKUP(kode, Oatside!A:A, Oatside!F:F),
    ratio, oatmilk/drink,
    skor, IFS(
        ratio&gt;5%, 5,
        ratio&gt;=4%, 4,
        ratio&gt;=3%, 3,
        ratio&gt;=2%, 2,
        TRUE, 1
    ),
    skor
),0)</f>
        <v>5</v>
      </c>
      <c r="G19" s="18">
        <f t="array" ref="G19">iferror(LET(
    kode, B19,
    actual, XLOOKUP(kode, 'Snack Platter'!A:A, 'Snack Platter'!G:G),
    target, XLOOKUP(kode, 'Snack Platter'!A:A, 'Snack Platter'!F:F),
    ratio, actual/target,
    skor, IFS(
        ratio&gt;10%, 5,
        ratio&gt;=7.5%, 4,
        ratio&gt;=5%, 3,
        ratio&gt;=2.5%, 2,
        TRUE, 1
    ),
    skor
),0)</f>
        <v>4</v>
      </c>
      <c r="H19" s="18">
        <f t="array" ref="H19">iferror(LET(
    kode, B19,
    actual, XLOOKUP(kode, 'Bundling Asik'!A:A, 'Bundling Asik'!G:G),
    target, XLOOKUP(kode, 'Bundling Asik'!A:A, 'Bundling Asik'!F:F),
    ratio, actual/target,
    skor, IFS(
        ratio&gt;5%, 5,
        ratio&gt;=4%, 4,
        ratio&gt;=3%, 3,
        ratio&gt;=2%, 2,
        TRUE, 1
    ),
    skor
),0)</f>
        <v>5</v>
      </c>
      <c r="I19" s="18">
        <f t="array" ref="I19">iferror(LET(
    kode, B19,
    ratio, XLOOKUP(kode, Audit!A:A, Audit!D:D),
    skor, IFS(
        ratio&gt;90, 5,
        ratio&gt;=85, 4,
        ratio&gt;=80, 3,
        ratio&gt;=75, 2,
        TRUE, 1
    ),
    skor
),0)</f>
        <v>3</v>
      </c>
      <c r="J19" s="18">
        <f t="array" ref="J19">iferror(LET(
    kode, B19,
    ratio, XLOOKUP(kode, 'Mistery Shopper'!A:A, 'Mistery Shopper'!D:D),
    skor, IFS(
        ratio&gt;90%, 5,
        ratio&gt;=85%, 4,
        ratio&gt;=80%, 3,
        ratio&gt;=75%, 2,
        TRUE, 1
    ),
    skor
),0)</f>
        <v>5</v>
      </c>
      <c r="K19" s="18">
        <f t="array" ref="K19">iferror(LET(
    kode, B19,
    actual, XLOOKUP(kode, Complain!A:A, Complain!G:G),
    target, XLOOKUP(kode, Complain!A:A, Complain!F:F),
    ratio, actual/target,
    skor, IFS(
        ratio&gt;=0.16%, 1,
        ratio&gt;=0.15%, 2,
        ratio&gt;=0.125%, 3,
        ratio&gt;=0.1%, 4,
        TRUE, 5
    ),
    skor
),0)</f>
        <v>5</v>
      </c>
      <c r="L19" s="19">
        <f t="shared" si="1"/>
        <v>0.89</v>
      </c>
    </row>
    <row r="20">
      <c r="A20" s="17" t="s">
        <v>110</v>
      </c>
      <c r="B20" s="18" t="s">
        <v>131</v>
      </c>
      <c r="C20" s="18">
        <f t="array" ref="C20">iferror(LET(kode, B20, actual, XLOOKUP(kode, Sales!A:A, Sales!G:G),target, XLOOKUP(kode, Sales!A:A, Sales!F:F),ratio, actual/target,skor, IFS(ratio&gt;1, 5,ratio&gt;=0.975, 4,ratio&gt;=0.95, 3,ratio&gt;=0.9, 2,TRUE, 1),skor),0)</f>
        <v>5</v>
      </c>
      <c r="D20" s="18">
        <f t="array" ref="D20">iferror(LET(
    kode, B20,
    actual, XLOOKUP(kode, AVG!A:A, AVG!G:G),
    target, XLOOKUP(kode, AVG!A:A, AVG!F:F),
    ratio, actual/target,
    skor, IFS(
        ratio&gt;1, 5,
        ratio&gt;=0.975, 4,
        ratio&gt;=0.95, 3,
        ratio&gt;=0.9, 2,
        TRUE, 1
    ),
    skor
),0)</f>
        <v>5</v>
      </c>
      <c r="E20" s="18">
        <f t="array" ref="E20">iferror(LET(
    kode, B20,
    large, XLOOKUP(kode, Large!A:A, Large!G:G),
    small, XLOOKUP(kode, Large!A:A, Large!F:F),
    ratio, large/(large+small),
    skor, IFS(
        ratio&lt;0.45, 1,
        ratio&lt;=0.5, 2,
        ratio&lt;=0.55, 3,
        ratio&lt;=0.6, 4,
        TRUE, 5
    ),
    skor
),0)</f>
        <v>1</v>
      </c>
      <c r="F20" s="18">
        <f t="array" ref="F20">iferror(LET(
    kode, B20,
    oatmilk, XLOOKUP(kode, Oatside!A:A, Oatside!G:G),
    drink, XLOOKUP(kode, Oatside!A:A, Oatside!F:F),
    ratio, oatmilk/drink,
    skor, IFS(
        ratio&gt;5%, 5,
        ratio&gt;=4%, 4,
        ratio&gt;=3%, 3,
        ratio&gt;=2%, 2,
        TRUE, 1
    ),
    skor
),0)</f>
        <v>5</v>
      </c>
      <c r="G20" s="18">
        <f t="array" ref="G20">iferror(LET(
    kode, B20,
    actual, XLOOKUP(kode, 'Snack Platter'!A:A, 'Snack Platter'!G:G),
    target, XLOOKUP(kode, 'Snack Platter'!A:A, 'Snack Platter'!F:F),
    ratio, actual/target,
    skor, IFS(
        ratio&gt;10%, 5,
        ratio&gt;=7.5%, 4,
        ratio&gt;=5%, 3,
        ratio&gt;=2.5%, 2,
        TRUE, 1
    ),
    skor
),0)</f>
        <v>3</v>
      </c>
      <c r="H20" s="18">
        <f t="array" ref="H20">iferror(LET(
    kode, B20,
    actual, XLOOKUP(kode, 'Bundling Asik'!A:A, 'Bundling Asik'!G:G),
    target, XLOOKUP(kode, 'Bundling Asik'!A:A, 'Bundling Asik'!F:F),
    ratio, actual/target,
    skor, IFS(
        ratio&gt;5%, 5,
        ratio&gt;=4%, 4,
        ratio&gt;=3%, 3,
        ratio&gt;=2%, 2,
        TRUE, 1
    ),
    skor
),0)</f>
        <v>5</v>
      </c>
      <c r="I20" s="18">
        <f t="array" ref="I20">iferror(LET(
    kode, B20,
    ratio, XLOOKUP(kode, Audit!A:A, Audit!D:D),
    skor, IFS(
        ratio&gt;90, 5,
        ratio&gt;=85, 4,
        ratio&gt;=80, 3,
        ratio&gt;=75, 2,
        TRUE, 1
    ),
    skor
),0)</f>
        <v>2</v>
      </c>
      <c r="J20" s="18">
        <f t="array" ref="J20">iferror(LET(
    kode, B20,
    ratio, XLOOKUP(kode, 'Mistery Shopper'!A:A, 'Mistery Shopper'!D:D),
    skor, IFS(
        ratio&gt;90%, 5,
        ratio&gt;=85%, 4,
        ratio&gt;=80%, 3,
        ratio&gt;=75%, 2,
        TRUE, 1
    ),
    skor
),0)</f>
        <v>5</v>
      </c>
      <c r="K20" s="18">
        <f t="array" ref="K20">iferror(LET(
    kode, B20,
    actual, XLOOKUP(kode, Complain!A:A, Complain!G:G),
    target, XLOOKUP(kode, Complain!A:A, Complain!F:F),
    ratio, actual/target,
    skor, IFS(
        ratio&gt;=0.16%, 1,
        ratio&gt;=0.15%, 2,
        ratio&gt;=0.125%, 3,
        ratio&gt;=0.1%, 4,
        TRUE, 5
    ),
    skor
),0)</f>
        <v>4</v>
      </c>
      <c r="L20" s="19">
        <f t="shared" si="1"/>
        <v>0.83</v>
      </c>
    </row>
    <row r="21">
      <c r="A21" s="17" t="s">
        <v>110</v>
      </c>
      <c r="B21" s="18" t="s">
        <v>128</v>
      </c>
      <c r="C21" s="18">
        <f t="array" ref="C21">iferror(LET(kode, B21, actual, XLOOKUP(kode, Sales!A:A, Sales!G:G),target, XLOOKUP(kode, Sales!A:A, Sales!F:F),ratio, actual/target,skor, IFS(ratio&gt;1, 5,ratio&gt;=0.975, 4,ratio&gt;=0.95, 3,ratio&gt;=0.9, 2,TRUE, 1),skor),0)</f>
        <v>1</v>
      </c>
      <c r="D21" s="18">
        <f t="array" ref="D21">iferror(LET(
    kode, B21,
    actual, XLOOKUP(kode, AVG!A:A, AVG!G:G),
    target, XLOOKUP(kode, AVG!A:A, AVG!F:F),
    ratio, actual/target,
    skor, IFS(
        ratio&gt;1, 5,
        ratio&gt;=0.975, 4,
        ratio&gt;=0.95, 3,
        ratio&gt;=0.9, 2,
        TRUE, 1
    ),
    skor
),0)</f>
        <v>5</v>
      </c>
      <c r="E21" s="18">
        <f t="array" ref="E21">iferror(LET(
    kode, B21,
    large, XLOOKUP(kode, Large!A:A, Large!G:G),
    small, XLOOKUP(kode, Large!A:A, Large!F:F),
    ratio, large/(large+small),
    skor, IFS(
        ratio&lt;0.45, 1,
        ratio&lt;=0.5, 2,
        ratio&lt;=0.55, 3,
        ratio&lt;=0.6, 4,
        TRUE, 5
    ),
    skor
),0)</f>
        <v>3</v>
      </c>
      <c r="F21" s="18">
        <f t="array" ref="F21">iferror(LET(
    kode, B21,
    oatmilk, XLOOKUP(kode, Oatside!A:A, Oatside!G:G),
    drink, XLOOKUP(kode, Oatside!A:A, Oatside!F:F),
    ratio, oatmilk/drink,
    skor, IFS(
        ratio&gt;5%, 5,
        ratio&gt;=4%, 4,
        ratio&gt;=3%, 3,
        ratio&gt;=2%, 2,
        TRUE, 1
    ),
    skor
),0)</f>
        <v>5</v>
      </c>
      <c r="G21" s="18">
        <f t="array" ref="G21">iferror(LET(
    kode, B21,
    actual, XLOOKUP(kode, 'Snack Platter'!A:A, 'Snack Platter'!G:G),
    target, XLOOKUP(kode, 'Snack Platter'!A:A, 'Snack Platter'!F:F),
    ratio, actual/target,
    skor, IFS(
        ratio&gt;10%, 5,
        ratio&gt;=7.5%, 4,
        ratio&gt;=5%, 3,
        ratio&gt;=2.5%, 2,
        TRUE, 1
    ),
    skor
),0)</f>
        <v>5</v>
      </c>
      <c r="H21" s="18">
        <f t="array" ref="H21">iferror(LET(
    kode, B21,
    actual, XLOOKUP(kode, 'Bundling Asik'!A:A, 'Bundling Asik'!G:G),
    target, XLOOKUP(kode, 'Bundling Asik'!A:A, 'Bundling Asik'!F:F),
    ratio, actual/target,
    skor, IFS(
        ratio&gt;5%, 5,
        ratio&gt;=4%, 4,
        ratio&gt;=3%, 3,
        ratio&gt;=2%, 2,
        TRUE, 1
    ),
    skor
),0)</f>
        <v>5</v>
      </c>
      <c r="I21" s="18">
        <f t="array" ref="I21">iferror(LET(
    kode, B21,
    ratio, XLOOKUP(kode, Audit!A:A, Audit!D:D),
    skor, IFS(
        ratio&gt;90, 5,
        ratio&gt;=85, 4,
        ratio&gt;=80, 3,
        ratio&gt;=75, 2,
        TRUE, 1
    ),
    skor
),0)</f>
        <v>5</v>
      </c>
      <c r="J21" s="18">
        <f t="array" ref="J21">iferror(LET(
    kode, B21,
    ratio, XLOOKUP(kode, 'Mistery Shopper'!A:A, 'Mistery Shopper'!D:D),
    skor, IFS(
        ratio&gt;90%, 5,
        ratio&gt;=85%, 4,
        ratio&gt;=80%, 3,
        ratio&gt;=75%, 2,
        TRUE, 1
    ),
    skor
),0)</f>
        <v>5</v>
      </c>
      <c r="K21" s="18">
        <f t="array" ref="K21">iferror(LET(
    kode, B21,
    actual, XLOOKUP(kode, Complain!A:A, Complain!G:G),
    target, XLOOKUP(kode, Complain!A:A, Complain!F:F),
    ratio, actual/target,
    skor, IFS(
        ratio&gt;=0.16%, 1,
        ratio&gt;=0.15%, 2,
        ratio&gt;=0.125%, 3,
        ratio&gt;=0.1%, 4,
        TRUE, 5
    ),
    skor
),0)</f>
        <v>5</v>
      </c>
      <c r="L21" s="19">
        <f t="shared" si="1"/>
        <v>0.66</v>
      </c>
    </row>
    <row r="22">
      <c r="A22" s="17" t="s">
        <v>117</v>
      </c>
      <c r="B22" s="18" t="s">
        <v>122</v>
      </c>
      <c r="C22" s="18">
        <f t="array" ref="C22">iferror(LET(kode, B22, actual, XLOOKUP(kode, Sales!A:A, Sales!G:G),target, XLOOKUP(kode, Sales!A:A, Sales!F:F),ratio, actual/target,skor, IFS(ratio&gt;1, 5,ratio&gt;=0.975, 4,ratio&gt;=0.95, 3,ratio&gt;=0.9, 2,TRUE, 1),skor),0)</f>
        <v>5</v>
      </c>
      <c r="D22" s="18">
        <f t="array" ref="D22">iferror(LET(
    kode, B22,
    actual, XLOOKUP(kode, AVG!A:A, AVG!G:G),
    target, XLOOKUP(kode, AVG!A:A, AVG!F:F),
    ratio, actual/target,
    skor, IFS(
        ratio&gt;1, 5,
        ratio&gt;=0.975, 4,
        ratio&gt;=0.95, 3,
        ratio&gt;=0.9, 2,
        TRUE, 1
    ),
    skor
),0)</f>
        <v>5</v>
      </c>
      <c r="E22" s="18">
        <f t="array" ref="E22">iferror(LET(
    kode, B22,
    large, XLOOKUP(kode, Large!A:A, Large!G:G),
    small, XLOOKUP(kode, Large!A:A, Large!F:F),
    ratio, large/(large+small),
    skor, IFS(
        ratio&lt;0.45, 1,
        ratio&lt;=0.5, 2,
        ratio&lt;=0.55, 3,
        ratio&lt;=0.6, 4,
        TRUE, 5
    ),
    skor
),0)</f>
        <v>1</v>
      </c>
      <c r="F22" s="18">
        <f t="array" ref="F22">iferror(LET(
    kode, B22,
    oatmilk, XLOOKUP(kode, Oatside!A:A, Oatside!G:G),
    drink, XLOOKUP(kode, Oatside!A:A, Oatside!F:F),
    ratio, oatmilk/drink,
    skor, IFS(
        ratio&gt;5%, 5,
        ratio&gt;=4%, 4,
        ratio&gt;=3%, 3,
        ratio&gt;=2%, 2,
        TRUE, 1
    ),
    skor
),0)</f>
        <v>3</v>
      </c>
      <c r="G22" s="18">
        <f t="array" ref="G22">iferror(LET(
    kode, B22,
    actual, XLOOKUP(kode, 'Snack Platter'!A:A, 'Snack Platter'!G:G),
    target, XLOOKUP(kode, 'Snack Platter'!A:A, 'Snack Platter'!F:F),
    ratio, actual/target,
    skor, IFS(
        ratio&gt;10%, 5,
        ratio&gt;=7.5%, 4,
        ratio&gt;=5%, 3,
        ratio&gt;=2.5%, 2,
        TRUE, 1
    ),
    skor
),0)</f>
        <v>1</v>
      </c>
      <c r="H22" s="18">
        <f t="array" ref="H22">iferror(LET(
    kode, B22,
    actual, XLOOKUP(kode, 'Bundling Asik'!A:A, 'Bundling Asik'!G:G),
    target, XLOOKUP(kode, 'Bundling Asik'!A:A, 'Bundling Asik'!F:F),
    ratio, actual/target,
    skor, IFS(
        ratio&gt;5%, 5,
        ratio&gt;=4%, 4,
        ratio&gt;=3%, 3,
        ratio&gt;=2%, 2,
        TRUE, 1
    ),
    skor
),0)</f>
        <v>5</v>
      </c>
      <c r="I22" s="18">
        <f t="array" ref="I22">iferror(LET(
    kode, B22,
    ratio, XLOOKUP(kode, Audit!A:A, Audit!D:D),
    skor, IFS(
        ratio&gt;90, 5,
        ratio&gt;=85, 4,
        ratio&gt;=80, 3,
        ratio&gt;=75, 2,
        TRUE, 1
    ),
    skor
),0)</f>
        <v>1</v>
      </c>
      <c r="J22" s="18">
        <f t="array" ref="J22">iferror(LET(
    kode, B22,
    ratio, XLOOKUP(kode, 'Mistery Shopper'!A:A, 'Mistery Shopper'!D:D),
    skor, IFS(
        ratio&gt;90%, 5,
        ratio&gt;=85%, 4,
        ratio&gt;=80%, 3,
        ratio&gt;=75%, 2,
        TRUE, 1
    ),
    skor
),0)</f>
        <v>5</v>
      </c>
      <c r="K22" s="18">
        <f t="array" ref="K22">iferror(LET(
    kode, B22,
    actual, XLOOKUP(kode, Complain!A:A, Complain!G:G),
    target, XLOOKUP(kode, Complain!A:A, Complain!F:F),
    ratio, actual/target,
    skor, IFS(
        ratio&gt;=0.16%, 1,
        ratio&gt;=0.15%, 2,
        ratio&gt;=0.125%, 3,
        ratio&gt;=0.1%, 4,
        TRUE, 5
    ),
    skor
),0)</f>
        <v>5</v>
      </c>
      <c r="L22" s="19">
        <f t="shared" si="1"/>
        <v>0.78</v>
      </c>
    </row>
    <row r="23">
      <c r="A23" s="17" t="s">
        <v>117</v>
      </c>
      <c r="B23" s="18" t="s">
        <v>134</v>
      </c>
      <c r="C23" s="18">
        <f t="array" ref="C23">iferror(LET(kode, B23, actual, XLOOKUP(kode, Sales!A:A, Sales!G:G),target, XLOOKUP(kode, Sales!A:A, Sales!F:F),ratio, actual/target,skor, IFS(ratio&gt;1, 5,ratio&gt;=0.975, 4,ratio&gt;=0.95, 3,ratio&gt;=0.9, 2,TRUE, 1),skor),0)</f>
        <v>5</v>
      </c>
      <c r="D23" s="18">
        <f t="array" ref="D23">iferror(LET(
    kode, B23,
    actual, XLOOKUP(kode, AVG!A:A, AVG!G:G),
    target, XLOOKUP(kode, AVG!A:A, AVG!F:F),
    ratio, actual/target,
    skor, IFS(
        ratio&gt;1, 5,
        ratio&gt;=0.975, 4,
        ratio&gt;=0.95, 3,
        ratio&gt;=0.9, 2,
        TRUE, 1
    ),
    skor
),0)</f>
        <v>5</v>
      </c>
      <c r="E23" s="18">
        <f t="array" ref="E23">iferror(LET(
    kode, B23,
    large, XLOOKUP(kode, Large!A:A, Large!G:G),
    small, XLOOKUP(kode, Large!A:A, Large!F:F),
    ratio, large/(large+small),
    skor, IFS(
        ratio&lt;0.45, 1,
        ratio&lt;=0.5, 2,
        ratio&lt;=0.55, 3,
        ratio&lt;=0.6, 4,
        TRUE, 5
    ),
    skor
),0)</f>
        <v>1</v>
      </c>
      <c r="F23" s="18">
        <f t="array" ref="F23">iferror(LET(
    kode, B23,
    oatmilk, XLOOKUP(kode, Oatside!A:A, Oatside!G:G),
    drink, XLOOKUP(kode, Oatside!A:A, Oatside!F:F),
    ratio, oatmilk/drink,
    skor, IFS(
        ratio&gt;5%, 5,
        ratio&gt;=4%, 4,
        ratio&gt;=3%, 3,
        ratio&gt;=2%, 2,
        TRUE, 1
    ),
    skor
),0)</f>
        <v>3</v>
      </c>
      <c r="G23" s="18">
        <f t="array" ref="G23">iferror(LET(
    kode, B23,
    actual, XLOOKUP(kode, 'Snack Platter'!A:A, 'Snack Platter'!G:G),
    target, XLOOKUP(kode, 'Snack Platter'!A:A, 'Snack Platter'!F:F),
    ratio, actual/target,
    skor, IFS(
        ratio&gt;10%, 5,
        ratio&gt;=7.5%, 4,
        ratio&gt;=5%, 3,
        ratio&gt;=2.5%, 2,
        TRUE, 1
    ),
    skor
),0)</f>
        <v>2</v>
      </c>
      <c r="H23" s="18">
        <f t="array" ref="H23">iferror(LET(
    kode, B23,
    actual, XLOOKUP(kode, 'Bundling Asik'!A:A, 'Bundling Asik'!G:G),
    target, XLOOKUP(kode, 'Bundling Asik'!A:A, 'Bundling Asik'!F:F),
    ratio, actual/target,
    skor, IFS(
        ratio&gt;5%, 5,
        ratio&gt;=4%, 4,
        ratio&gt;=3%, 3,
        ratio&gt;=2%, 2,
        TRUE, 1
    ),
    skor
),0)</f>
        <v>5</v>
      </c>
      <c r="I23" s="18">
        <f t="array" ref="I23">iferror(LET(
    kode, B23,
    ratio, XLOOKUP(kode, Audit!A:A, Audit!D:D),
    skor, IFS(
        ratio&gt;90, 5,
        ratio&gt;=85, 4,
        ratio&gt;=80, 3,
        ratio&gt;=75, 2,
        TRUE, 1
    ),
    skor
),0)</f>
        <v>1</v>
      </c>
      <c r="J23" s="18">
        <f t="array" ref="J23">iferror(LET(
    kode, B23,
    ratio, XLOOKUP(kode, 'Mistery Shopper'!A:A, 'Mistery Shopper'!D:D),
    skor, IFS(
        ratio&gt;90%, 5,
        ratio&gt;=85%, 4,
        ratio&gt;=80%, 3,
        ratio&gt;=75%, 2,
        TRUE, 1
    ),
    skor
),0)</f>
        <v>5</v>
      </c>
      <c r="K23" s="18">
        <f t="array" ref="K23">iferror(LET(
    kode, B23,
    actual, XLOOKUP(kode, Complain!A:A, Complain!G:G),
    target, XLOOKUP(kode, Complain!A:A, Complain!F:F),
    ratio, actual/target,
    skor, IFS(
        ratio&gt;=0.16%, 1,
        ratio&gt;=0.15%, 2,
        ratio&gt;=0.125%, 3,
        ratio&gt;=0.1%, 4,
        TRUE, 5
    ),
    skor
),0)</f>
        <v>1</v>
      </c>
      <c r="L23" s="19">
        <f t="shared" si="1"/>
        <v>0.71</v>
      </c>
    </row>
    <row r="24">
      <c r="A24" s="17" t="s">
        <v>117</v>
      </c>
      <c r="B24" s="18" t="s">
        <v>133</v>
      </c>
      <c r="C24" s="18">
        <f t="array" ref="C24">iferror(LET(kode, B24, actual, XLOOKUP(kode, Sales!A:A, Sales!G:G),target, XLOOKUP(kode, Sales!A:A, Sales!F:F),ratio, actual/target,skor, IFS(ratio&gt;1, 5,ratio&gt;=0.975, 4,ratio&gt;=0.95, 3,ratio&gt;=0.9, 2,TRUE, 1),skor),0)</f>
        <v>4</v>
      </c>
      <c r="D24" s="18">
        <f t="array" ref="D24">iferror(LET(
    kode, B24,
    actual, XLOOKUP(kode, AVG!A:A, AVG!G:G),
    target, XLOOKUP(kode, AVG!A:A, AVG!F:F),
    ratio, actual/target,
    skor, IFS(
        ratio&gt;1, 5,
        ratio&gt;=0.975, 4,
        ratio&gt;=0.95, 3,
        ratio&gt;=0.9, 2,
        TRUE, 1
    ),
    skor
),0)</f>
        <v>5</v>
      </c>
      <c r="E24" s="18">
        <f t="array" ref="E24">iferror(LET(
    kode, B24,
    large, XLOOKUP(kode, Large!A:A, Large!G:G),
    small, XLOOKUP(kode, Large!A:A, Large!F:F),
    ratio, large/(large+small),
    skor, IFS(
        ratio&lt;0.45, 1,
        ratio&lt;=0.5, 2,
        ratio&lt;=0.55, 3,
        ratio&lt;=0.6, 4,
        TRUE, 5
    ),
    skor
),0)</f>
        <v>1</v>
      </c>
      <c r="F24" s="18">
        <f t="array" ref="F24">iferror(LET(
    kode, B24,
    oatmilk, XLOOKUP(kode, Oatside!A:A, Oatside!G:G),
    drink, XLOOKUP(kode, Oatside!A:A, Oatside!F:F),
    ratio, oatmilk/drink,
    skor, IFS(
        ratio&gt;5%, 5,
        ratio&gt;=4%, 4,
        ratio&gt;=3%, 3,
        ratio&gt;=2%, 2,
        TRUE, 1
    ),
    skor
),0)</f>
        <v>3</v>
      </c>
      <c r="G24" s="18">
        <f t="array" ref="G24">iferror(LET(
    kode, B24,
    actual, XLOOKUP(kode, 'Snack Platter'!A:A, 'Snack Platter'!G:G),
    target, XLOOKUP(kode, 'Snack Platter'!A:A, 'Snack Platter'!F:F),
    ratio, actual/target,
    skor, IFS(
        ratio&gt;10%, 5,
        ratio&gt;=7.5%, 4,
        ratio&gt;=5%, 3,
        ratio&gt;=2.5%, 2,
        TRUE, 1
    ),
    skor
),0)</f>
        <v>1</v>
      </c>
      <c r="H24" s="18">
        <f t="array" ref="H24">iferror(LET(
    kode, B24,
    actual, XLOOKUP(kode, 'Bundling Asik'!A:A, 'Bundling Asik'!G:G),
    target, XLOOKUP(kode, 'Bundling Asik'!A:A, 'Bundling Asik'!F:F),
    ratio, actual/target,
    skor, IFS(
        ratio&gt;5%, 5,
        ratio&gt;=4%, 4,
        ratio&gt;=3%, 3,
        ratio&gt;=2%, 2,
        TRUE, 1
    ),
    skor
),0)</f>
        <v>5</v>
      </c>
      <c r="I24" s="18">
        <f t="array" ref="I24">iferror(LET(
    kode, B24,
    ratio, XLOOKUP(kode, Audit!A:A, Audit!D:D),
    skor, IFS(
        ratio&gt;90, 5,
        ratio&gt;=85, 4,
        ratio&gt;=80, 3,
        ratio&gt;=75, 2,
        TRUE, 1
    ),
    skor
),0)</f>
        <v>1</v>
      </c>
      <c r="J24" s="18">
        <f t="array" ref="J24">iferror(LET(
    kode, B24,
    ratio, XLOOKUP(kode, 'Mistery Shopper'!A:A, 'Mistery Shopper'!D:D),
    skor, IFS(
        ratio&gt;90%, 5,
        ratio&gt;=85%, 4,
        ratio&gt;=80%, 3,
        ratio&gt;=75%, 2,
        TRUE, 1
    ),
    skor
),0)</f>
        <v>5</v>
      </c>
      <c r="K24" s="18">
        <f t="array" ref="K24">iferror(LET(
    kode, B24,
    actual, XLOOKUP(kode, Complain!A:A, Complain!G:G),
    target, XLOOKUP(kode, Complain!A:A, Complain!F:F),
    ratio, actual/target,
    skor, IFS(
        ratio&gt;=0.16%, 1,
        ratio&gt;=0.15%, 2,
        ratio&gt;=0.125%, 3,
        ratio&gt;=0.1%, 4,
        TRUE, 5
    ),
    skor
),0)</f>
        <v>3</v>
      </c>
      <c r="L24" s="19">
        <f t="shared" si="1"/>
        <v>0.66</v>
      </c>
    </row>
    <row r="25">
      <c r="A25" s="17" t="s">
        <v>117</v>
      </c>
      <c r="B25" s="18" t="s">
        <v>138</v>
      </c>
      <c r="C25" s="18">
        <f t="array" ref="C25">iferror(LET(kode, B25, actual, XLOOKUP(kode, Sales!A:A, Sales!G:G),target, XLOOKUP(kode, Sales!A:A, Sales!F:F),ratio, actual/target,skor, IFS(ratio&gt;1, 5,ratio&gt;=0.975, 4,ratio&gt;=0.95, 3,ratio&gt;=0.9, 2,TRUE, 1),skor),0)</f>
        <v>1</v>
      </c>
      <c r="D25" s="18">
        <f t="array" ref="D25">iferror(LET(
    kode, B25,
    actual, XLOOKUP(kode, AVG!A:A, AVG!G:G),
    target, XLOOKUP(kode, AVG!A:A, AVG!F:F),
    ratio, actual/target,
    skor, IFS(
        ratio&gt;1, 5,
        ratio&gt;=0.975, 4,
        ratio&gt;=0.95, 3,
        ratio&gt;=0.9, 2,
        TRUE, 1
    ),
    skor
),0)</f>
        <v>5</v>
      </c>
      <c r="E25" s="18">
        <f t="array" ref="E25">iferror(LET(
    kode, B25,
    large, XLOOKUP(kode, Large!A:A, Large!G:G),
    small, XLOOKUP(kode, Large!A:A, Large!F:F),
    ratio, large/(large+small),
    skor, IFS(
        ratio&lt;0.45, 1,
        ratio&lt;=0.5, 2,
        ratio&lt;=0.55, 3,
        ratio&lt;=0.6, 4,
        TRUE, 5
    ),
    skor
),0)</f>
        <v>2</v>
      </c>
      <c r="F25" s="18">
        <f t="array" ref="F25">iferror(LET(
    kode, B25,
    oatmilk, XLOOKUP(kode, Oatside!A:A, Oatside!G:G),
    drink, XLOOKUP(kode, Oatside!A:A, Oatside!F:F),
    ratio, oatmilk/drink,
    skor, IFS(
        ratio&gt;5%, 5,
        ratio&gt;=4%, 4,
        ratio&gt;=3%, 3,
        ratio&gt;=2%, 2,
        TRUE, 1
    ),
    skor
),0)</f>
        <v>5</v>
      </c>
      <c r="G25" s="18">
        <f t="array" ref="G25">iferror(LET(
    kode, B25,
    actual, XLOOKUP(kode, 'Snack Platter'!A:A, 'Snack Platter'!G:G),
    target, XLOOKUP(kode, 'Snack Platter'!A:A, 'Snack Platter'!F:F),
    ratio, actual/target,
    skor, IFS(
        ratio&gt;10%, 5,
        ratio&gt;=7.5%, 4,
        ratio&gt;=5%, 3,
        ratio&gt;=2.5%, 2,
        TRUE, 1
    ),
    skor
),0)</f>
        <v>3</v>
      </c>
      <c r="H25" s="18">
        <f t="array" ref="H25">iferror(LET(
    kode, B25,
    actual, XLOOKUP(kode, 'Bundling Asik'!A:A, 'Bundling Asik'!G:G),
    target, XLOOKUP(kode, 'Bundling Asik'!A:A, 'Bundling Asik'!F:F),
    ratio, actual/target,
    skor, IFS(
        ratio&gt;5%, 5,
        ratio&gt;=4%, 4,
        ratio&gt;=3%, 3,
        ratio&gt;=2%, 2,
        TRUE, 1
    ),
    skor
),0)</f>
        <v>5</v>
      </c>
      <c r="I25" s="18">
        <f t="array" ref="I25">iferror(LET(
    kode, B25,
    ratio, XLOOKUP(kode, Audit!A:A, Audit!D:D),
    skor, IFS(
        ratio&gt;90, 5,
        ratio&gt;=85, 4,
        ratio&gt;=80, 3,
        ratio&gt;=75, 2,
        TRUE, 1
    ),
    skor
),0)</f>
        <v>2</v>
      </c>
      <c r="J25" s="18">
        <f t="array" ref="J25">iferror(LET(
    kode, B25,
    ratio, XLOOKUP(kode, 'Mistery Shopper'!A:A, 'Mistery Shopper'!D:D),
    skor, IFS(
        ratio&gt;90%, 5,
        ratio&gt;=85%, 4,
        ratio&gt;=80%, 3,
        ratio&gt;=75%, 2,
        TRUE, 1
    ),
    skor
),0)</f>
        <v>5</v>
      </c>
      <c r="K25" s="18">
        <f t="array" ref="K25">iferror(LET(
    kode, B25,
    actual, XLOOKUP(kode, Complain!A:A, Complain!G:G),
    target, XLOOKUP(kode, Complain!A:A, Complain!F:F),
    ratio, actual/target,
    skor, IFS(
        ratio&gt;=0.16%, 1,
        ratio&gt;=0.15%, 2,
        ratio&gt;=0.125%, 3,
        ratio&gt;=0.1%, 4,
        TRUE, 5
    ),
    skor
),0)</f>
        <v>1</v>
      </c>
      <c r="L25" s="19">
        <f t="shared" si="1"/>
        <v>0.46</v>
      </c>
    </row>
    <row r="26">
      <c r="A26" s="17" t="s">
        <v>117</v>
      </c>
      <c r="B26" s="18" t="s">
        <v>140</v>
      </c>
      <c r="C26" s="18">
        <f t="array" ref="C26">iferror(LET(kode, B26, actual, XLOOKUP(kode, Sales!A:A, Sales!G:G),target, XLOOKUP(kode, Sales!A:A, Sales!F:F),ratio, actual/target,skor, IFS(ratio&gt;1, 5,ratio&gt;=0.975, 4,ratio&gt;=0.95, 3,ratio&gt;=0.9, 2,TRUE, 1),skor),0)</f>
        <v>2</v>
      </c>
      <c r="D26" s="18">
        <f t="array" ref="D26">iferror(LET(
    kode, B26,
    actual, XLOOKUP(kode, AVG!A:A, AVG!G:G),
    target, XLOOKUP(kode, AVG!A:A, AVG!F:F),
    ratio, actual/target,
    skor, IFS(
        ratio&gt;1, 5,
        ratio&gt;=0.975, 4,
        ratio&gt;=0.95, 3,
        ratio&gt;=0.9, 2,
        TRUE, 1
    ),
    skor
),0)</f>
        <v>3</v>
      </c>
      <c r="E26" s="18">
        <f t="array" ref="E26">iferror(LET(
    kode, B26,
    large, XLOOKUP(kode, Large!A:A, Large!G:G),
    small, XLOOKUP(kode, Large!A:A, Large!F:F),
    ratio, large/(large+small),
    skor, IFS(
        ratio&lt;0.45, 1,
        ratio&lt;=0.5, 2,
        ratio&lt;=0.55, 3,
        ratio&lt;=0.6, 4,
        TRUE, 5
    ),
    skor
),0)</f>
        <v>1</v>
      </c>
      <c r="F26" s="18">
        <f t="array" ref="F26">iferror(LET(
    kode, B26,
    oatmilk, XLOOKUP(kode, Oatside!A:A, Oatside!G:G),
    drink, XLOOKUP(kode, Oatside!A:A, Oatside!F:F),
    ratio, oatmilk/drink,
    skor, IFS(
        ratio&gt;5%, 5,
        ratio&gt;=4%, 4,
        ratio&gt;=3%, 3,
        ratio&gt;=2%, 2,
        TRUE, 1
    ),
    skor
),0)</f>
        <v>4</v>
      </c>
      <c r="G26" s="18">
        <f t="array" ref="G26">iferror(LET(
    kode, B26,
    actual, XLOOKUP(kode, 'Snack Platter'!A:A, 'Snack Platter'!G:G),
    target, XLOOKUP(kode, 'Snack Platter'!A:A, 'Snack Platter'!F:F),
    ratio, actual/target,
    skor, IFS(
        ratio&gt;10%, 5,
        ratio&gt;=7.5%, 4,
        ratio&gt;=5%, 3,
        ratio&gt;=2.5%, 2,
        TRUE, 1
    ),
    skor
),0)</f>
        <v>2</v>
      </c>
      <c r="H26" s="18">
        <f t="array" ref="H26">iferror(LET(
    kode, B26,
    actual, XLOOKUP(kode, 'Bundling Asik'!A:A, 'Bundling Asik'!G:G),
    target, XLOOKUP(kode, 'Bundling Asik'!A:A, 'Bundling Asik'!F:F),
    ratio, actual/target,
    skor, IFS(
        ratio&gt;5%, 5,
        ratio&gt;=4%, 4,
        ratio&gt;=3%, 3,
        ratio&gt;=2%, 2,
        TRUE, 1
    ),
    skor
),0)</f>
        <v>5</v>
      </c>
      <c r="I26" s="18">
        <f t="array" ref="I26">iferror(LET(
    kode, B26,
    ratio, XLOOKUP(kode, Audit!A:A, Audit!D:D),
    skor, IFS(
        ratio&gt;90, 5,
        ratio&gt;=85, 4,
        ratio&gt;=80, 3,
        ratio&gt;=75, 2,
        TRUE, 1
    ),
    skor
),0)</f>
        <v>1</v>
      </c>
      <c r="J26" s="18">
        <f t="array" ref="J26">iferror(LET(
    kode, B26,
    ratio, XLOOKUP(kode, 'Mistery Shopper'!A:A, 'Mistery Shopper'!D:D),
    skor, IFS(
        ratio&gt;90%, 5,
        ratio&gt;=85%, 4,
        ratio&gt;=80%, 3,
        ratio&gt;=75%, 2,
        TRUE, 1
    ),
    skor
),0)</f>
        <v>5</v>
      </c>
      <c r="K26" s="18">
        <f t="array" ref="K26">iferror(LET(
    kode, B26,
    actual, XLOOKUP(kode, Complain!A:A, Complain!G:G),
    target, XLOOKUP(kode, Complain!A:A, Complain!F:F),
    ratio, actual/target,
    skor, IFS(
        ratio&gt;=0.16%, 1,
        ratio&gt;=0.15%, 2,
        ratio&gt;=0.125%, 3,
        ratio&gt;=0.1%, 4,
        TRUE, 5
    ),
    skor
),0)</f>
        <v>1</v>
      </c>
      <c r="L26" s="19">
        <f t="shared" si="1"/>
        <v>0.44</v>
      </c>
    </row>
    <row r="27">
      <c r="A27" s="17" t="s">
        <v>117</v>
      </c>
      <c r="B27" s="18" t="s">
        <v>139</v>
      </c>
      <c r="C27" s="18">
        <f t="array" ref="C27">iferror(LET(kode, B27, actual, XLOOKUP(kode, Sales!A:A, Sales!G:G),target, XLOOKUP(kode, Sales!A:A, Sales!F:F),ratio, actual/target,skor, IFS(ratio&gt;1, 5,ratio&gt;=0.975, 4,ratio&gt;=0.95, 3,ratio&gt;=0.9, 2,TRUE, 1),skor),0)</f>
        <v>1</v>
      </c>
      <c r="D27" s="18">
        <f t="array" ref="D27">iferror(LET(
    kode, B27,
    actual, XLOOKUP(kode, AVG!A:A, AVG!G:G),
    target, XLOOKUP(kode, AVG!A:A, AVG!F:F),
    ratio, actual/target,
    skor, IFS(
        ratio&gt;1, 5,
        ratio&gt;=0.975, 4,
        ratio&gt;=0.95, 3,
        ratio&gt;=0.9, 2,
        TRUE, 1
    ),
    skor
),0)</f>
        <v>5</v>
      </c>
      <c r="E27" s="18">
        <f t="array" ref="E27">iferror(LET(
    kode, B27,
    large, XLOOKUP(kode, Large!A:A, Large!G:G),
    small, XLOOKUP(kode, Large!A:A, Large!F:F),
    ratio, large/(large+small),
    skor, IFS(
        ratio&lt;0.45, 1,
        ratio&lt;=0.5, 2,
        ratio&lt;=0.55, 3,
        ratio&lt;=0.6, 4,
        TRUE, 5
    ),
    skor
),0)</f>
        <v>1</v>
      </c>
      <c r="F27" s="18">
        <f t="array" ref="F27">iferror(LET(
    kode, B27,
    oatmilk, XLOOKUP(kode, Oatside!A:A, Oatside!G:G),
    drink, XLOOKUP(kode, Oatside!A:A, Oatside!F:F),
    ratio, oatmilk/drink,
    skor, IFS(
        ratio&gt;5%, 5,
        ratio&gt;=4%, 4,
        ratio&gt;=3%, 3,
        ratio&gt;=2%, 2,
        TRUE, 1
    ),
    skor
),0)</f>
        <v>3</v>
      </c>
      <c r="G27" s="18">
        <f t="array" ref="G27">iferror(LET(
    kode, B27,
    actual, XLOOKUP(kode, 'Snack Platter'!A:A, 'Snack Platter'!G:G),
    target, XLOOKUP(kode, 'Snack Platter'!A:A, 'Snack Platter'!F:F),
    ratio, actual/target,
    skor, IFS(
        ratio&gt;10%, 5,
        ratio&gt;=7.5%, 4,
        ratio&gt;=5%, 3,
        ratio&gt;=2.5%, 2,
        TRUE, 1
    ),
    skor
),0)</f>
        <v>1</v>
      </c>
      <c r="H27" s="18">
        <f t="array" ref="H27">iferror(LET(
    kode, B27,
    actual, XLOOKUP(kode, 'Bundling Asik'!A:A, 'Bundling Asik'!G:G),
    target, XLOOKUP(kode, 'Bundling Asik'!A:A, 'Bundling Asik'!F:F),
    ratio, actual/target,
    skor, IFS(
        ratio&gt;5%, 5,
        ratio&gt;=4%, 4,
        ratio&gt;=3%, 3,
        ratio&gt;=2%, 2,
        TRUE, 1
    ),
    skor
),0)</f>
        <v>4</v>
      </c>
      <c r="I27" s="18">
        <f t="array" ref="I27">iferror(LET(
    kode, B27,
    ratio, XLOOKUP(kode, Audit!A:A, Audit!D:D),
    skor, IFS(
        ratio&gt;90, 5,
        ratio&gt;=85, 4,
        ratio&gt;=80, 3,
        ratio&gt;=75, 2,
        TRUE, 1
    ),
    skor
),0)</f>
        <v>1</v>
      </c>
      <c r="J27" s="18">
        <f t="array" ref="J27">iferror(LET(
    kode, B27,
    ratio, XLOOKUP(kode, 'Mistery Shopper'!A:A, 'Mistery Shopper'!D:D),
    skor, IFS(
        ratio&gt;90%, 5,
        ratio&gt;=85%, 4,
        ratio&gt;=80%, 3,
        ratio&gt;=75%, 2,
        TRUE, 1
    ),
    skor
),0)</f>
        <v>5</v>
      </c>
      <c r="K27" s="18">
        <f t="array" ref="K27">iferror(LET(
    kode, B27,
    actual, XLOOKUP(kode, Complain!A:A, Complain!G:G),
    target, XLOOKUP(kode, Complain!A:A, Complain!F:F),
    ratio, actual/target,
    skor, IFS(
        ratio&gt;=0.16%, 1,
        ratio&gt;=0.15%, 2,
        ratio&gt;=0.125%, 3,
        ratio&gt;=0.1%, 4,
        TRUE, 5
    ),
    skor
),0)</f>
        <v>1</v>
      </c>
      <c r="L27" s="19">
        <f t="shared" si="1"/>
        <v>0.37</v>
      </c>
    </row>
    <row r="28">
      <c r="A28" s="17" t="s">
        <v>113</v>
      </c>
      <c r="B28" s="18" t="s">
        <v>116</v>
      </c>
      <c r="C28" s="18">
        <f t="array" ref="C28">iferror(LET(kode, B28, actual, XLOOKUP(kode, Sales!A:A, Sales!G:G),target, XLOOKUP(kode, Sales!A:A, Sales!F:F),ratio, actual/target,skor, IFS(ratio&gt;1, 5,ratio&gt;=0.975, 4,ratio&gt;=0.95, 3,ratio&gt;=0.9, 2,TRUE, 1),skor),0)</f>
        <v>5</v>
      </c>
      <c r="D28" s="18">
        <f t="array" ref="D28">iferror(LET(
    kode, B28,
    actual, XLOOKUP(kode, AVG!A:A, AVG!G:G),
    target, XLOOKUP(kode, AVG!A:A, AVG!F:F),
    ratio, actual/target,
    skor, IFS(
        ratio&gt;1, 5,
        ratio&gt;=0.975, 4,
        ratio&gt;=0.95, 3,
        ratio&gt;=0.9, 2,
        TRUE, 1
    ),
    skor
),0)</f>
        <v>5</v>
      </c>
      <c r="E28" s="18">
        <f t="array" ref="E28">iferror(LET(
    kode, B28,
    large, XLOOKUP(kode, Large!A:A, Large!G:G),
    small, XLOOKUP(kode, Large!A:A, Large!F:F),
    ratio, large/(large+small),
    skor, IFS(
        ratio&lt;0.45, 1,
        ratio&lt;=0.5, 2,
        ratio&lt;=0.55, 3,
        ratio&lt;=0.6, 4,
        TRUE, 5
    ),
    skor
),0)</f>
        <v>1</v>
      </c>
      <c r="F28" s="18">
        <f t="array" ref="F28">iferror(LET(
    kode, B28,
    oatmilk, XLOOKUP(kode, Oatside!A:A, Oatside!G:G),
    drink, XLOOKUP(kode, Oatside!A:A, Oatside!F:F),
    ratio, oatmilk/drink,
    skor, IFS(
        ratio&gt;5%, 5,
        ratio&gt;=4%, 4,
        ratio&gt;=3%, 3,
        ratio&gt;=2%, 2,
        TRUE, 1
    ),
    skor
),0)</f>
        <v>5</v>
      </c>
      <c r="G28" s="18">
        <f t="array" ref="G28">iferror(LET(
    kode, B28,
    actual, XLOOKUP(kode, 'Snack Platter'!A:A, 'Snack Platter'!G:G),
    target, XLOOKUP(kode, 'Snack Platter'!A:A, 'Snack Platter'!F:F),
    ratio, actual/target,
    skor, IFS(
        ratio&gt;10%, 5,
        ratio&gt;=7.5%, 4,
        ratio&gt;=5%, 3,
        ratio&gt;=2.5%, 2,
        TRUE, 1
    ),
    skor
),0)</f>
        <v>2</v>
      </c>
      <c r="H28" s="18">
        <f t="array" ref="H28">iferror(LET(
    kode, B28,
    actual, XLOOKUP(kode, 'Bundling Asik'!A:A, 'Bundling Asik'!G:G),
    target, XLOOKUP(kode, 'Bundling Asik'!A:A, 'Bundling Asik'!F:F),
    ratio, actual/target,
    skor, IFS(
        ratio&gt;5%, 5,
        ratio&gt;=4%, 4,
        ratio&gt;=3%, 3,
        ratio&gt;=2%, 2,
        TRUE, 1
    ),
    skor
),0)</f>
        <v>2</v>
      </c>
      <c r="I28" s="18">
        <f t="array" ref="I28">iferror(LET(
    kode, B28,
    ratio, XLOOKUP(kode, Audit!A:A, Audit!D:D),
    skor, IFS(
        ratio&gt;90, 5,
        ratio&gt;=85, 4,
        ratio&gt;=80, 3,
        ratio&gt;=75, 2,
        TRUE, 1
    ),
    skor
),0)</f>
        <v>4</v>
      </c>
      <c r="J28" s="18">
        <f t="array" ref="J28">iferror(LET(
    kode, B28,
    ratio, XLOOKUP(kode, 'Mistery Shopper'!A:A, 'Mistery Shopper'!D:D),
    skor, IFS(
        ratio&gt;90%, 5,
        ratio&gt;=85%, 4,
        ratio&gt;=80%, 3,
        ratio&gt;=75%, 2,
        TRUE, 1
    ),
    skor
),0)</f>
        <v>5</v>
      </c>
      <c r="K28" s="18">
        <f t="array" ref="K28">iferror(LET(
    kode, B28,
    actual, XLOOKUP(kode, Complain!A:A, Complain!G:G),
    target, XLOOKUP(kode, Complain!A:A, Complain!F:F),
    ratio, actual/target,
    skor, IFS(
        ratio&gt;=0.16%, 1,
        ratio&gt;=0.15%, 2,
        ratio&gt;=0.125%, 3,
        ratio&gt;=0.1%, 4,
        TRUE, 5
    ),
    skor
),0)</f>
        <v>5</v>
      </c>
      <c r="L28" s="19">
        <f t="shared" si="1"/>
        <v>0.87</v>
      </c>
    </row>
    <row r="29">
      <c r="A29" s="17" t="s">
        <v>113</v>
      </c>
      <c r="B29" s="18" t="s">
        <v>120</v>
      </c>
      <c r="C29" s="18">
        <f t="array" ref="C29">iferror(LET(kode, B29, actual, XLOOKUP(kode, Sales!A:A, Sales!G:G),target, XLOOKUP(kode, Sales!A:A, Sales!F:F),ratio, actual/target,skor, IFS(ratio&gt;1, 5,ratio&gt;=0.975, 4,ratio&gt;=0.95, 3,ratio&gt;=0.9, 2,TRUE, 1),skor),0)</f>
        <v>5</v>
      </c>
      <c r="D29" s="18">
        <f t="array" ref="D29">iferror(LET(
    kode, B29,
    actual, XLOOKUP(kode, AVG!A:A, AVG!G:G),
    target, XLOOKUP(kode, AVG!A:A, AVG!F:F),
    ratio, actual/target,
    skor, IFS(
        ratio&gt;1, 5,
        ratio&gt;=0.975, 4,
        ratio&gt;=0.95, 3,
        ratio&gt;=0.9, 2,
        TRUE, 1
    ),
    skor
),0)</f>
        <v>5</v>
      </c>
      <c r="E29" s="18">
        <f t="array" ref="E29">iferror(LET(
    kode, B29,
    large, XLOOKUP(kode, Large!A:A, Large!G:G),
    small, XLOOKUP(kode, Large!A:A, Large!F:F),
    ratio, large/(large+small),
    skor, IFS(
        ratio&lt;0.45, 1,
        ratio&lt;=0.5, 2,
        ratio&lt;=0.55, 3,
        ratio&lt;=0.6, 4,
        TRUE, 5
    ),
    skor
),0)</f>
        <v>1</v>
      </c>
      <c r="F29" s="18">
        <f t="array" ref="F29">iferror(LET(
    kode, B29,
    oatmilk, XLOOKUP(kode, Oatside!A:A, Oatside!G:G),
    drink, XLOOKUP(kode, Oatside!A:A, Oatside!F:F),
    ratio, oatmilk/drink,
    skor, IFS(
        ratio&gt;5%, 5,
        ratio&gt;=4%, 4,
        ratio&gt;=3%, 3,
        ratio&gt;=2%, 2,
        TRUE, 1
    ),
    skor
),0)</f>
        <v>5</v>
      </c>
      <c r="G29" s="18">
        <f t="array" ref="G29">iferror(LET(
    kode, B29,
    actual, XLOOKUP(kode, 'Snack Platter'!A:A, 'Snack Platter'!G:G),
    target, XLOOKUP(kode, 'Snack Platter'!A:A, 'Snack Platter'!F:F),
    ratio, actual/target,
    skor, IFS(
        ratio&gt;10%, 5,
        ratio&gt;=7.5%, 4,
        ratio&gt;=5%, 3,
        ratio&gt;=2.5%, 2,
        TRUE, 1
    ),
    skor
),0)</f>
        <v>4</v>
      </c>
      <c r="H29" s="18">
        <f t="array" ref="H29">iferror(LET(
    kode, B29,
    actual, XLOOKUP(kode, 'Bundling Asik'!A:A, 'Bundling Asik'!G:G),
    target, XLOOKUP(kode, 'Bundling Asik'!A:A, 'Bundling Asik'!F:F),
    ratio, actual/target,
    skor, IFS(
        ratio&gt;5%, 5,
        ratio&gt;=4%, 4,
        ratio&gt;=3%, 3,
        ratio&gt;=2%, 2,
        TRUE, 1
    ),
    skor
),0)</f>
        <v>5</v>
      </c>
      <c r="I29" s="18">
        <f t="array" ref="I29">iferror(LET(
    kode, B29,
    ratio, XLOOKUP(kode, Audit!A:A, Audit!D:D),
    skor, IFS(
        ratio&gt;90, 5,
        ratio&gt;=85, 4,
        ratio&gt;=80, 3,
        ratio&gt;=75, 2,
        TRUE, 1
    ),
    skor
),0)</f>
        <v>3</v>
      </c>
      <c r="J29" s="18">
        <f t="array" ref="J29">iferror(LET(
    kode, B29,
    ratio, XLOOKUP(kode, 'Mistery Shopper'!A:A, 'Mistery Shopper'!D:D),
    skor, IFS(
        ratio&gt;90%, 5,
        ratio&gt;=85%, 4,
        ratio&gt;=80%, 3,
        ratio&gt;=75%, 2,
        TRUE, 1
    ),
    skor
),0)</f>
        <v>5</v>
      </c>
      <c r="K29" s="18">
        <f t="array" ref="K29">iferror(LET(
    kode, B29,
    actual, XLOOKUP(kode, Complain!A:A, Complain!G:G),
    target, XLOOKUP(kode, Complain!A:A, Complain!F:F),
    ratio, actual/target,
    skor, IFS(
        ratio&gt;=0.16%, 1,
        ratio&gt;=0.15%, 2,
        ratio&gt;=0.125%, 3,
        ratio&gt;=0.1%, 4,
        TRUE, 5
    ),
    skor
),0)</f>
        <v>3</v>
      </c>
      <c r="L29" s="19">
        <f t="shared" si="1"/>
        <v>0.85</v>
      </c>
    </row>
    <row r="30">
      <c r="A30" s="17" t="s">
        <v>113</v>
      </c>
      <c r="B30" s="18" t="s">
        <v>123</v>
      </c>
      <c r="C30" s="18">
        <f t="array" ref="C30">iferror(LET(kode, B30, actual, XLOOKUP(kode, Sales!A:A, Sales!G:G),target, XLOOKUP(kode, Sales!A:A, Sales!F:F),ratio, actual/target,skor, IFS(ratio&gt;1, 5,ratio&gt;=0.975, 4,ratio&gt;=0.95, 3,ratio&gt;=0.9, 2,TRUE, 1),skor),0)</f>
        <v>5</v>
      </c>
      <c r="D30" s="18">
        <f t="array" ref="D30">iferror(LET(
    kode, B30,
    actual, XLOOKUP(kode, AVG!A:A, AVG!G:G),
    target, XLOOKUP(kode, AVG!A:A, AVG!F:F),
    ratio, actual/target,
    skor, IFS(
        ratio&gt;1, 5,
        ratio&gt;=0.975, 4,
        ratio&gt;=0.95, 3,
        ratio&gt;=0.9, 2,
        TRUE, 1
    ),
    skor
),0)</f>
        <v>2</v>
      </c>
      <c r="E30" s="18">
        <f t="array" ref="E30">iferror(LET(
    kode, B30,
    large, XLOOKUP(kode, Large!A:A, Large!G:G),
    small, XLOOKUP(kode, Large!A:A, Large!F:F),
    ratio, large/(large+small),
    skor, IFS(
        ratio&lt;0.45, 1,
        ratio&lt;=0.5, 2,
        ratio&lt;=0.55, 3,
        ratio&lt;=0.6, 4,
        TRUE, 5
    ),
    skor
),0)</f>
        <v>1</v>
      </c>
      <c r="F30" s="18">
        <f t="array" ref="F30">iferror(LET(
    kode, B30,
    oatmilk, XLOOKUP(kode, Oatside!A:A, Oatside!G:G),
    drink, XLOOKUP(kode, Oatside!A:A, Oatside!F:F),
    ratio, oatmilk/drink,
    skor, IFS(
        ratio&gt;5%, 5,
        ratio&gt;=4%, 4,
        ratio&gt;=3%, 3,
        ratio&gt;=2%, 2,
        TRUE, 1
    ),
    skor
),0)</f>
        <v>5</v>
      </c>
      <c r="G30" s="18">
        <f t="array" ref="G30">iferror(LET(
    kode, B30,
    actual, XLOOKUP(kode, 'Snack Platter'!A:A, 'Snack Platter'!G:G),
    target, XLOOKUP(kode, 'Snack Platter'!A:A, 'Snack Platter'!F:F),
    ratio, actual/target,
    skor, IFS(
        ratio&gt;10%, 5,
        ratio&gt;=7.5%, 4,
        ratio&gt;=5%, 3,
        ratio&gt;=2.5%, 2,
        TRUE, 1
    ),
    skor
),0)</f>
        <v>3</v>
      </c>
      <c r="H30" s="18">
        <f t="array" ref="H30">iferror(LET(
    kode, B30,
    actual, XLOOKUP(kode, 'Bundling Asik'!A:A, 'Bundling Asik'!G:G),
    target, XLOOKUP(kode, 'Bundling Asik'!A:A, 'Bundling Asik'!F:F),
    ratio, actual/target,
    skor, IFS(
        ratio&gt;5%, 5,
        ratio&gt;=4%, 4,
        ratio&gt;=3%, 3,
        ratio&gt;=2%, 2,
        TRUE, 1
    ),
    skor
),0)</f>
        <v>3</v>
      </c>
      <c r="I30" s="18">
        <f t="array" ref="I30">iferror(LET(
    kode, B30,
    ratio, XLOOKUP(kode, Audit!A:A, Audit!D:D),
    skor, IFS(
        ratio&gt;90, 5,
        ratio&gt;=85, 4,
        ratio&gt;=80, 3,
        ratio&gt;=75, 2,
        TRUE, 1
    ),
    skor
),0)</f>
        <v>4</v>
      </c>
      <c r="J30" s="18">
        <f t="array" ref="J30">iferror(LET(
    kode, B30,
    ratio, XLOOKUP(kode, 'Mistery Shopper'!A:A, 'Mistery Shopper'!D:D),
    skor, IFS(
        ratio&gt;90%, 5,
        ratio&gt;=85%, 4,
        ratio&gt;=80%, 3,
        ratio&gt;=75%, 2,
        TRUE, 1
    ),
    skor
),0)</f>
        <v>5</v>
      </c>
      <c r="K30" s="18">
        <f t="array" ref="K30">iferror(LET(
    kode, B30,
    actual, XLOOKUP(kode, Complain!A:A, Complain!G:G),
    target, XLOOKUP(kode, Complain!A:A, Complain!F:F),
    ratio, actual/target,
    skor, IFS(
        ratio&gt;=0.16%, 1,
        ratio&gt;=0.15%, 2,
        ratio&gt;=0.125%, 3,
        ratio&gt;=0.1%, 4,
        TRUE, 5
    ),
    skor
),0)</f>
        <v>5</v>
      </c>
      <c r="L30" s="19">
        <f t="shared" si="1"/>
        <v>0.83</v>
      </c>
    </row>
    <row r="31">
      <c r="A31" s="17" t="s">
        <v>113</v>
      </c>
      <c r="B31" s="18" t="s">
        <v>137</v>
      </c>
      <c r="C31" s="18">
        <f t="array" ref="C31">iferror(LET(kode, B31, actual, XLOOKUP(kode, Sales!A:A, Sales!G:G),target, XLOOKUP(kode, Sales!A:A, Sales!F:F),ratio, actual/target,skor, IFS(ratio&gt;1, 5,ratio&gt;=0.975, 4,ratio&gt;=0.95, 3,ratio&gt;=0.9, 2,TRUE, 1),skor),0)</f>
        <v>3</v>
      </c>
      <c r="D31" s="18">
        <f t="array" ref="D31">iferror(LET(
    kode, B31,
    actual, XLOOKUP(kode, AVG!A:A, AVG!G:G),
    target, XLOOKUP(kode, AVG!A:A, AVG!F:F),
    ratio, actual/target,
    skor, IFS(
        ratio&gt;1, 5,
        ratio&gt;=0.975, 4,
        ratio&gt;=0.95, 3,
        ratio&gt;=0.9, 2,
        TRUE, 1
    ),
    skor
),0)</f>
        <v>4</v>
      </c>
      <c r="E31" s="18">
        <f t="array" ref="E31">iferror(LET(
    kode, B31,
    large, XLOOKUP(kode, Large!A:A, Large!G:G),
    small, XLOOKUP(kode, Large!A:A, Large!F:F),
    ratio, large/(large+small),
    skor, IFS(
        ratio&lt;0.45, 1,
        ratio&lt;=0.5, 2,
        ratio&lt;=0.55, 3,
        ratio&lt;=0.6, 4,
        TRUE, 5
    ),
    skor
),0)</f>
        <v>1</v>
      </c>
      <c r="F31" s="18">
        <f t="array" ref="F31">iferror(LET(
    kode, B31,
    oatmilk, XLOOKUP(kode, Oatside!A:A, Oatside!G:G),
    drink, XLOOKUP(kode, Oatside!A:A, Oatside!F:F),
    ratio, oatmilk/drink,
    skor, IFS(
        ratio&gt;5%, 5,
        ratio&gt;=4%, 4,
        ratio&gt;=3%, 3,
        ratio&gt;=2%, 2,
        TRUE, 1
    ),
    skor
),0)</f>
        <v>5</v>
      </c>
      <c r="G31" s="18">
        <f t="array" ref="G31">iferror(LET(
    kode, B31,
    actual, XLOOKUP(kode, 'Snack Platter'!A:A, 'Snack Platter'!G:G),
    target, XLOOKUP(kode, 'Snack Platter'!A:A, 'Snack Platter'!F:F),
    ratio, actual/target,
    skor, IFS(
        ratio&gt;10%, 5,
        ratio&gt;=7.5%, 4,
        ratio&gt;=5%, 3,
        ratio&gt;=2.5%, 2,
        TRUE, 1
    ),
    skor
),0)</f>
        <v>2</v>
      </c>
      <c r="H31" s="18">
        <f t="array" ref="H31">iferror(LET(
    kode, B31,
    actual, XLOOKUP(kode, 'Bundling Asik'!A:A, 'Bundling Asik'!G:G),
    target, XLOOKUP(kode, 'Bundling Asik'!A:A, 'Bundling Asik'!F:F),
    ratio, actual/target,
    skor, IFS(
        ratio&gt;5%, 5,
        ratio&gt;=4%, 4,
        ratio&gt;=3%, 3,
        ratio&gt;=2%, 2,
        TRUE, 1
    ),
    skor
),0)</f>
        <v>5</v>
      </c>
      <c r="I31" s="18">
        <f t="array" ref="I31">iferror(LET(
    kode, B31,
    ratio, XLOOKUP(kode, Audit!A:A, Audit!D:D),
    skor, IFS(
        ratio&gt;90, 5,
        ratio&gt;=85, 4,
        ratio&gt;=80, 3,
        ratio&gt;=75, 2,
        TRUE, 1
    ),
    skor
),0)</f>
        <v>3</v>
      </c>
      <c r="J31" s="18">
        <f t="array" ref="J31">iferror(LET(
    kode, B31,
    ratio, XLOOKUP(kode, 'Mistery Shopper'!A:A, 'Mistery Shopper'!D:D),
    skor, IFS(
        ratio&gt;90%, 5,
        ratio&gt;=85%, 4,
        ratio&gt;=80%, 3,
        ratio&gt;=75%, 2,
        TRUE, 1
    ),
    skor
),0)</f>
        <v>5</v>
      </c>
      <c r="K31" s="18">
        <f t="array" ref="K31">iferror(LET(
    kode, B31,
    actual, XLOOKUP(kode, Complain!A:A, Complain!G:G),
    target, XLOOKUP(kode, Complain!A:A, Complain!F:F),
    ratio, actual/target,
    skor, IFS(
        ratio&gt;=0.16%, 1,
        ratio&gt;=0.15%, 2,
        ratio&gt;=0.125%, 3,
        ratio&gt;=0.1%, 4,
        TRUE, 5
    ),
    skor
),0)</f>
        <v>5</v>
      </c>
      <c r="L31" s="19">
        <f t="shared" si="1"/>
        <v>0.69</v>
      </c>
    </row>
  </sheetData>
  <autoFilter ref="$A$1:$L$31">
    <sortState ref="A1:L31">
      <sortCondition ref="A1:A31"/>
      <sortCondition descending="1" ref="L1:L31"/>
      <sortCondition descending="1" ref="D1:D3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c r="N1" s="22"/>
      <c r="O1" s="23"/>
      <c r="P1" s="23"/>
      <c r="Q1" s="23"/>
      <c r="R1" s="22"/>
      <c r="S1" s="22"/>
      <c r="T1" s="22"/>
      <c r="U1" s="22"/>
      <c r="V1" s="22"/>
      <c r="W1" s="22"/>
      <c r="X1" s="22"/>
    </row>
    <row r="2">
      <c r="A2" s="16" t="s">
        <v>151</v>
      </c>
      <c r="B2" s="16" t="s">
        <v>3</v>
      </c>
      <c r="C2" s="16" t="s">
        <v>152</v>
      </c>
      <c r="D2" s="16" t="s">
        <v>3</v>
      </c>
      <c r="E2" s="16" t="s">
        <v>152</v>
      </c>
      <c r="F2" s="16" t="s">
        <v>3</v>
      </c>
      <c r="G2" s="16" t="s">
        <v>152</v>
      </c>
      <c r="H2" s="16" t="s">
        <v>3</v>
      </c>
      <c r="I2" s="16" t="s">
        <v>152</v>
      </c>
      <c r="J2" s="16" t="s">
        <v>3</v>
      </c>
      <c r="K2" s="16" t="s">
        <v>152</v>
      </c>
      <c r="L2" s="16" t="s">
        <v>3</v>
      </c>
      <c r="M2" s="16" t="s">
        <v>152</v>
      </c>
      <c r="N2" s="22"/>
      <c r="O2" s="9"/>
      <c r="P2" s="24"/>
      <c r="Q2" s="24"/>
      <c r="R2" s="22"/>
      <c r="S2" s="22"/>
      <c r="T2" s="22"/>
      <c r="U2" s="22"/>
      <c r="V2" s="22"/>
      <c r="W2" s="22"/>
      <c r="X2" s="22"/>
    </row>
    <row r="3">
      <c r="A3" s="18" t="s">
        <v>140</v>
      </c>
      <c r="B3" s="25">
        <v>2.75E8</v>
      </c>
      <c r="C3" s="26">
        <v>1.13030114E8</v>
      </c>
      <c r="D3" s="27">
        <v>1.15E8</v>
      </c>
      <c r="E3" s="28">
        <v>8.7754076E7</v>
      </c>
      <c r="F3" s="28">
        <v>1.1E8</v>
      </c>
      <c r="G3" s="28">
        <v>1.02866336E8</v>
      </c>
      <c r="H3" s="18"/>
      <c r="I3" s="18"/>
      <c r="J3" s="18"/>
      <c r="K3" s="18"/>
      <c r="L3" s="18"/>
      <c r="M3" s="18"/>
      <c r="O3" s="9"/>
      <c r="P3" s="24"/>
      <c r="Q3" s="24"/>
    </row>
    <row r="4">
      <c r="A4" s="18" t="s">
        <v>131</v>
      </c>
      <c r="B4" s="29">
        <v>3.2E8</v>
      </c>
      <c r="C4" s="26">
        <v>2.9680705E8</v>
      </c>
      <c r="D4" s="27">
        <v>3.05E8</v>
      </c>
      <c r="E4" s="28">
        <v>2.5244954E8</v>
      </c>
      <c r="F4" s="28">
        <v>3.5E8</v>
      </c>
      <c r="G4" s="28">
        <v>3.56629312E8</v>
      </c>
      <c r="H4" s="18"/>
      <c r="I4" s="18"/>
      <c r="J4" s="18"/>
      <c r="K4" s="18"/>
      <c r="L4" s="18"/>
      <c r="M4" s="18"/>
      <c r="O4" s="9"/>
      <c r="P4" s="24"/>
      <c r="Q4" s="24"/>
    </row>
    <row r="5">
      <c r="A5" s="18" t="s">
        <v>136</v>
      </c>
      <c r="B5" s="29">
        <v>2.45E8</v>
      </c>
      <c r="C5" s="26">
        <v>2.10611522E8</v>
      </c>
      <c r="D5" s="27">
        <v>2.3E8</v>
      </c>
      <c r="E5" s="28">
        <v>1.60425281E8</v>
      </c>
      <c r="F5" s="28">
        <v>2.4E8</v>
      </c>
      <c r="G5" s="28">
        <v>2.45953493E8</v>
      </c>
      <c r="H5" s="18"/>
      <c r="I5" s="18"/>
      <c r="J5" s="18"/>
      <c r="K5" s="18"/>
      <c r="L5" s="18"/>
      <c r="M5" s="18"/>
      <c r="O5" s="9"/>
      <c r="P5" s="24"/>
      <c r="Q5" s="24"/>
    </row>
    <row r="6">
      <c r="A6" s="18" t="s">
        <v>135</v>
      </c>
      <c r="B6" s="29">
        <v>1.05E8</v>
      </c>
      <c r="C6" s="26">
        <v>8.4712958E7</v>
      </c>
      <c r="D6" s="27">
        <v>1.0E8</v>
      </c>
      <c r="E6" s="28">
        <v>6.6837271E7</v>
      </c>
      <c r="F6" s="28">
        <v>1.05E8</v>
      </c>
      <c r="G6" s="28">
        <v>8.1675734E7</v>
      </c>
      <c r="H6" s="18"/>
      <c r="I6" s="18"/>
      <c r="J6" s="18"/>
      <c r="K6" s="18"/>
      <c r="L6" s="18"/>
      <c r="M6" s="18"/>
      <c r="O6" s="9"/>
      <c r="P6" s="24"/>
      <c r="Q6" s="24"/>
    </row>
    <row r="7">
      <c r="A7" s="18" t="s">
        <v>122</v>
      </c>
      <c r="B7" s="29">
        <v>3.3E8</v>
      </c>
      <c r="C7" s="26">
        <v>3.29784772E8</v>
      </c>
      <c r="D7" s="27">
        <v>3.1E8</v>
      </c>
      <c r="E7" s="28">
        <v>2.56663268E8</v>
      </c>
      <c r="F7" s="28">
        <v>3.4E8</v>
      </c>
      <c r="G7" s="28">
        <v>3.54749572E8</v>
      </c>
      <c r="H7" s="18"/>
      <c r="I7" s="18"/>
      <c r="J7" s="18"/>
      <c r="K7" s="18"/>
      <c r="L7" s="18"/>
      <c r="M7" s="18"/>
      <c r="O7" s="9"/>
      <c r="P7" s="24"/>
      <c r="Q7" s="24"/>
    </row>
    <row r="8">
      <c r="A8" s="18" t="s">
        <v>116</v>
      </c>
      <c r="B8" s="29">
        <v>3.4E8</v>
      </c>
      <c r="C8" s="26">
        <v>3.35336105E8</v>
      </c>
      <c r="D8" s="27">
        <v>2.6E8</v>
      </c>
      <c r="E8" s="28">
        <v>2.90748668E8</v>
      </c>
      <c r="F8" s="28">
        <v>2.8E8</v>
      </c>
      <c r="G8" s="28">
        <v>4.0535149E8</v>
      </c>
      <c r="H8" s="18"/>
      <c r="I8" s="18"/>
      <c r="J8" s="18"/>
      <c r="K8" s="18"/>
      <c r="L8" s="18"/>
      <c r="M8" s="18"/>
      <c r="O8" s="9"/>
      <c r="P8" s="24"/>
      <c r="Q8" s="24"/>
    </row>
    <row r="9">
      <c r="A9" s="18" t="s">
        <v>133</v>
      </c>
      <c r="B9" s="29">
        <v>2.1E8</v>
      </c>
      <c r="C9" s="26">
        <v>1.87113298E8</v>
      </c>
      <c r="D9" s="27">
        <v>1.95E8</v>
      </c>
      <c r="E9" s="28">
        <v>1.46615274E8</v>
      </c>
      <c r="F9" s="28">
        <v>2.3E8</v>
      </c>
      <c r="G9" s="28">
        <v>2.29863427E8</v>
      </c>
      <c r="H9" s="18"/>
      <c r="I9" s="18"/>
      <c r="J9" s="18"/>
      <c r="K9" s="18"/>
      <c r="L9" s="18"/>
      <c r="M9" s="18"/>
      <c r="O9" s="9"/>
      <c r="P9" s="24"/>
      <c r="Q9" s="24"/>
    </row>
    <row r="10">
      <c r="A10" s="18" t="s">
        <v>138</v>
      </c>
      <c r="B10" s="29">
        <v>1.85E8</v>
      </c>
      <c r="C10" s="26">
        <v>1.38853818E8</v>
      </c>
      <c r="D10" s="27">
        <v>1.75E8</v>
      </c>
      <c r="E10" s="28">
        <v>1.22437518E8</v>
      </c>
      <c r="F10" s="28">
        <v>2.1E8</v>
      </c>
      <c r="G10" s="28">
        <v>1.32713419E8</v>
      </c>
      <c r="H10" s="18"/>
      <c r="I10" s="18"/>
      <c r="J10" s="18"/>
      <c r="K10" s="18"/>
      <c r="L10" s="18"/>
      <c r="M10" s="18"/>
      <c r="O10" s="9"/>
      <c r="P10" s="24"/>
      <c r="Q10" s="24"/>
    </row>
    <row r="11">
      <c r="A11" s="18" t="s">
        <v>143</v>
      </c>
      <c r="B11" s="29">
        <v>2.25E8</v>
      </c>
      <c r="C11" s="26">
        <v>1.89346845E8</v>
      </c>
      <c r="D11" s="27">
        <v>2.1E8</v>
      </c>
      <c r="E11" s="28">
        <v>1.54378504E8</v>
      </c>
      <c r="F11" s="28">
        <v>2.3E8</v>
      </c>
      <c r="G11" s="28">
        <v>1.90746962E8</v>
      </c>
      <c r="H11" s="18"/>
      <c r="I11" s="18"/>
      <c r="J11" s="18"/>
      <c r="K11" s="18"/>
      <c r="L11" s="18"/>
      <c r="M11" s="18"/>
      <c r="O11" s="9"/>
      <c r="P11" s="24"/>
      <c r="Q11" s="24"/>
    </row>
    <row r="12">
      <c r="A12" s="18" t="s">
        <v>137</v>
      </c>
      <c r="B12" s="29">
        <v>2.82E8</v>
      </c>
      <c r="C12" s="26">
        <v>2.2855537E8</v>
      </c>
      <c r="D12" s="27">
        <v>2.25E8</v>
      </c>
      <c r="E12" s="28">
        <v>1.83473662E8</v>
      </c>
      <c r="F12" s="28">
        <v>2.7E8</v>
      </c>
      <c r="G12" s="28">
        <v>2.56835476E8</v>
      </c>
      <c r="H12" s="18"/>
      <c r="I12" s="18"/>
      <c r="J12" s="18"/>
      <c r="K12" s="18"/>
      <c r="L12" s="18"/>
      <c r="M12" s="18"/>
      <c r="O12" s="9"/>
      <c r="P12" s="24"/>
      <c r="Q12" s="24"/>
    </row>
    <row r="13">
      <c r="A13" s="18" t="s">
        <v>128</v>
      </c>
      <c r="B13" s="29">
        <v>2.25E8</v>
      </c>
      <c r="C13" s="26">
        <v>1.53420086E8</v>
      </c>
      <c r="D13" s="27">
        <v>2.4E8</v>
      </c>
      <c r="E13" s="28">
        <v>1.5355062E8</v>
      </c>
      <c r="F13" s="28">
        <v>3.2E8</v>
      </c>
      <c r="G13" s="28">
        <v>2.63235458E8</v>
      </c>
      <c r="H13" s="18"/>
      <c r="I13" s="18"/>
      <c r="J13" s="18"/>
      <c r="K13" s="18"/>
      <c r="L13" s="18"/>
      <c r="M13" s="18"/>
      <c r="O13" s="9"/>
      <c r="P13" s="24"/>
      <c r="Q13" s="24"/>
    </row>
    <row r="14">
      <c r="A14" s="18" t="s">
        <v>121</v>
      </c>
      <c r="B14" s="29">
        <v>4.25E8</v>
      </c>
      <c r="C14" s="26">
        <v>4.20660123E8</v>
      </c>
      <c r="D14" s="27">
        <v>4.3E8</v>
      </c>
      <c r="E14" s="28">
        <v>3.22598069E8</v>
      </c>
      <c r="F14" s="28">
        <v>4.5E8</v>
      </c>
      <c r="G14" s="28">
        <v>4.35204393E8</v>
      </c>
      <c r="H14" s="18"/>
      <c r="I14" s="18"/>
      <c r="J14" s="18"/>
      <c r="K14" s="18"/>
      <c r="L14" s="18"/>
      <c r="M14" s="18"/>
      <c r="O14" s="9"/>
      <c r="P14" s="24"/>
      <c r="Q14" s="24"/>
    </row>
    <row r="15">
      <c r="A15" s="18" t="s">
        <v>139</v>
      </c>
      <c r="B15" s="29">
        <v>2.0E8</v>
      </c>
      <c r="C15" s="26">
        <v>1.58190541E8</v>
      </c>
      <c r="D15" s="27">
        <v>2.3E8</v>
      </c>
      <c r="E15" s="28">
        <v>1.25061048E8</v>
      </c>
      <c r="F15" s="28">
        <v>2.4E8</v>
      </c>
      <c r="G15" s="28">
        <v>1.61600862E8</v>
      </c>
      <c r="H15" s="18"/>
      <c r="I15" s="18"/>
      <c r="J15" s="18"/>
      <c r="K15" s="18"/>
      <c r="L15" s="18"/>
      <c r="M15" s="18"/>
      <c r="O15" s="9"/>
      <c r="P15" s="24"/>
      <c r="Q15" s="24"/>
    </row>
    <row r="16">
      <c r="A16" s="18" t="s">
        <v>142</v>
      </c>
      <c r="B16" s="29">
        <v>1.6E8</v>
      </c>
      <c r="C16" s="26">
        <v>1.43275206E8</v>
      </c>
      <c r="D16" s="27">
        <v>1.45E8</v>
      </c>
      <c r="E16" s="28">
        <v>1.09437921E8</v>
      </c>
      <c r="F16" s="28">
        <v>1.6E8</v>
      </c>
      <c r="G16" s="28">
        <v>1.29865728E8</v>
      </c>
      <c r="H16" s="18"/>
      <c r="I16" s="18"/>
      <c r="J16" s="18"/>
      <c r="K16" s="18"/>
      <c r="L16" s="18"/>
      <c r="M16" s="18"/>
      <c r="O16" s="9"/>
      <c r="P16" s="24"/>
      <c r="Q16" s="24"/>
    </row>
    <row r="17">
      <c r="A17" s="18" t="s">
        <v>132</v>
      </c>
      <c r="B17" s="29">
        <v>3.5E8</v>
      </c>
      <c r="C17" s="26">
        <v>3.32121353E8</v>
      </c>
      <c r="D17" s="27">
        <v>3.3E8</v>
      </c>
      <c r="E17" s="28">
        <v>2.7130297E8</v>
      </c>
      <c r="F17" s="28">
        <v>4.08E8</v>
      </c>
      <c r="G17" s="28">
        <v>3.43698942E8</v>
      </c>
      <c r="H17" s="18"/>
      <c r="I17" s="18"/>
      <c r="J17" s="18"/>
      <c r="K17" s="18"/>
      <c r="L17" s="18"/>
      <c r="M17" s="18"/>
      <c r="O17" s="9"/>
      <c r="P17" s="24"/>
      <c r="Q17" s="24"/>
    </row>
    <row r="18">
      <c r="A18" s="18" t="s">
        <v>114</v>
      </c>
      <c r="B18" s="29">
        <v>1.8E8</v>
      </c>
      <c r="C18" s="26">
        <v>1.99659046E8</v>
      </c>
      <c r="D18" s="27">
        <v>1.7E8</v>
      </c>
      <c r="E18" s="28">
        <v>1.53898884E8</v>
      </c>
      <c r="F18" s="28">
        <v>2.1E8</v>
      </c>
      <c r="G18" s="28">
        <v>2.78330487E8</v>
      </c>
      <c r="H18" s="18"/>
      <c r="I18" s="18"/>
      <c r="J18" s="18"/>
      <c r="K18" s="18"/>
      <c r="L18" s="18"/>
      <c r="M18" s="18"/>
      <c r="O18" s="9"/>
      <c r="P18" s="24"/>
      <c r="Q18" s="24"/>
    </row>
    <row r="19">
      <c r="A19" s="18" t="s">
        <v>111</v>
      </c>
      <c r="B19" s="29">
        <v>1.7E8</v>
      </c>
      <c r="C19" s="26">
        <v>1.72679392E8</v>
      </c>
      <c r="D19" s="27">
        <v>1.6E8</v>
      </c>
      <c r="E19" s="28">
        <v>1.45140653E8</v>
      </c>
      <c r="F19" s="28">
        <v>1.7E8</v>
      </c>
      <c r="G19" s="28">
        <v>1.97593377E8</v>
      </c>
      <c r="H19" s="18"/>
      <c r="I19" s="18"/>
      <c r="J19" s="18"/>
      <c r="K19" s="18"/>
      <c r="L19" s="18"/>
      <c r="M19" s="18"/>
      <c r="O19" s="9"/>
      <c r="P19" s="24"/>
      <c r="Q19" s="24"/>
    </row>
    <row r="20">
      <c r="A20" s="18" t="s">
        <v>109</v>
      </c>
      <c r="B20" s="29">
        <v>3.2E8</v>
      </c>
      <c r="C20" s="26">
        <v>3.14527882E8</v>
      </c>
      <c r="D20" s="27">
        <v>3.0E8</v>
      </c>
      <c r="E20" s="28">
        <v>2.6812207E8</v>
      </c>
      <c r="F20" s="28">
        <v>3.3E8</v>
      </c>
      <c r="G20" s="28">
        <v>3.5886918E8</v>
      </c>
      <c r="H20" s="18"/>
      <c r="I20" s="18"/>
      <c r="J20" s="18"/>
      <c r="K20" s="18"/>
      <c r="L20" s="18"/>
      <c r="M20" s="18"/>
      <c r="O20" s="9"/>
      <c r="P20" s="24"/>
      <c r="Q20" s="24"/>
    </row>
    <row r="21">
      <c r="A21" s="18" t="s">
        <v>124</v>
      </c>
      <c r="B21" s="29">
        <v>1.45E8</v>
      </c>
      <c r="C21" s="26">
        <v>1.38339449E8</v>
      </c>
      <c r="D21" s="27">
        <v>1.3E8</v>
      </c>
      <c r="E21" s="28">
        <v>1.1114397E8</v>
      </c>
      <c r="F21" s="28">
        <v>1.5E8</v>
      </c>
      <c r="G21" s="28">
        <v>1.5157222E8</v>
      </c>
      <c r="H21" s="18"/>
      <c r="I21" s="18"/>
      <c r="J21" s="18"/>
      <c r="K21" s="18"/>
      <c r="L21" s="18"/>
      <c r="M21" s="18"/>
      <c r="O21" s="9"/>
      <c r="P21" s="24"/>
      <c r="Q21" s="24"/>
    </row>
    <row r="22">
      <c r="A22" s="18" t="s">
        <v>127</v>
      </c>
      <c r="B22" s="29">
        <v>2.4E8</v>
      </c>
      <c r="C22" s="26">
        <v>2.20771426E8</v>
      </c>
      <c r="D22" s="27">
        <v>1.95E8</v>
      </c>
      <c r="E22" s="28">
        <v>1.92467933E8</v>
      </c>
      <c r="F22" s="28">
        <v>2.35E8</v>
      </c>
      <c r="G22" s="28">
        <v>2.48550222E8</v>
      </c>
      <c r="H22" s="18"/>
      <c r="I22" s="18"/>
      <c r="J22" s="18"/>
      <c r="K22" s="18"/>
      <c r="L22" s="18"/>
      <c r="M22" s="18"/>
      <c r="O22" s="9"/>
      <c r="P22" s="24"/>
      <c r="Q22" s="24"/>
    </row>
    <row r="23">
      <c r="A23" s="18" t="s">
        <v>130</v>
      </c>
      <c r="B23" s="29">
        <v>2.6E8</v>
      </c>
      <c r="C23" s="26">
        <v>2.42197236E8</v>
      </c>
      <c r="D23" s="27">
        <v>2.2E8</v>
      </c>
      <c r="E23" s="28">
        <v>2.18770351E8</v>
      </c>
      <c r="F23" s="28">
        <v>2.95E8</v>
      </c>
      <c r="G23" s="28">
        <v>3.05020918E8</v>
      </c>
      <c r="H23" s="18"/>
      <c r="I23" s="18"/>
      <c r="J23" s="18"/>
      <c r="K23" s="18"/>
      <c r="L23" s="18"/>
      <c r="M23" s="18"/>
      <c r="O23" s="9"/>
      <c r="P23" s="24"/>
      <c r="Q23" s="24"/>
    </row>
    <row r="24">
      <c r="A24" s="18" t="s">
        <v>141</v>
      </c>
      <c r="B24" s="29">
        <v>9.5E7</v>
      </c>
      <c r="C24" s="26">
        <v>6.9736127E7</v>
      </c>
      <c r="D24" s="27">
        <v>7.5E7</v>
      </c>
      <c r="E24" s="28">
        <v>5.990415E7</v>
      </c>
      <c r="F24" s="28">
        <v>9.0E7</v>
      </c>
      <c r="G24" s="28">
        <v>6.7622328E7</v>
      </c>
      <c r="H24" s="18"/>
      <c r="I24" s="18"/>
      <c r="J24" s="18"/>
      <c r="K24" s="18"/>
      <c r="L24" s="18"/>
      <c r="M24" s="18"/>
      <c r="O24" s="9"/>
      <c r="P24" s="24"/>
      <c r="Q24" s="24"/>
    </row>
    <row r="25">
      <c r="A25" s="18" t="s">
        <v>123</v>
      </c>
      <c r="B25" s="29">
        <v>1.5E8</v>
      </c>
      <c r="C25" s="26">
        <v>1.4665974E8</v>
      </c>
      <c r="D25" s="27">
        <v>1.3E8</v>
      </c>
      <c r="E25" s="28">
        <v>1.33582293E8</v>
      </c>
      <c r="F25" s="28">
        <v>1.45E8</v>
      </c>
      <c r="G25" s="28">
        <v>1.88395447E8</v>
      </c>
      <c r="H25" s="18"/>
      <c r="I25" s="18"/>
      <c r="J25" s="18"/>
      <c r="K25" s="18"/>
      <c r="L25" s="18"/>
      <c r="M25" s="18"/>
      <c r="O25" s="9"/>
      <c r="P25" s="24"/>
      <c r="Q25" s="24"/>
    </row>
    <row r="26">
      <c r="A26" s="18" t="s">
        <v>112</v>
      </c>
      <c r="B26" s="29">
        <v>1.45E8</v>
      </c>
      <c r="C26" s="26">
        <v>1.46225634E8</v>
      </c>
      <c r="D26" s="27">
        <v>1.2E8</v>
      </c>
      <c r="E26" s="28">
        <v>1.20927995E8</v>
      </c>
      <c r="F26" s="28">
        <v>1.45E8</v>
      </c>
      <c r="G26" s="28">
        <v>1.9044631E8</v>
      </c>
      <c r="H26" s="18"/>
      <c r="I26" s="18"/>
      <c r="J26" s="18"/>
      <c r="K26" s="18"/>
      <c r="L26" s="18"/>
      <c r="M26" s="18"/>
      <c r="O26" s="9"/>
      <c r="P26" s="24"/>
      <c r="Q26" s="24"/>
    </row>
    <row r="27">
      <c r="A27" s="18" t="s">
        <v>134</v>
      </c>
      <c r="B27" s="29">
        <v>2.0E8</v>
      </c>
      <c r="C27" s="26">
        <v>1.73049992E8</v>
      </c>
      <c r="D27" s="27">
        <v>1.8E8</v>
      </c>
      <c r="E27" s="28">
        <v>1.30144779E8</v>
      </c>
      <c r="F27" s="28">
        <v>2.05E8</v>
      </c>
      <c r="G27" s="28">
        <v>2.24242619E8</v>
      </c>
      <c r="H27" s="18"/>
      <c r="I27" s="18"/>
      <c r="J27" s="18"/>
      <c r="K27" s="18"/>
      <c r="L27" s="18"/>
      <c r="M27" s="18"/>
      <c r="O27" s="9"/>
      <c r="P27" s="24"/>
      <c r="Q27" s="24"/>
    </row>
    <row r="28">
      <c r="A28" s="18" t="s">
        <v>125</v>
      </c>
      <c r="B28" s="29">
        <v>2.4E8</v>
      </c>
      <c r="C28" s="26">
        <v>2.25520618E8</v>
      </c>
      <c r="D28" s="27">
        <v>2.2E8</v>
      </c>
      <c r="E28" s="28">
        <v>1.80999366E8</v>
      </c>
      <c r="F28" s="28">
        <v>2.4E8</v>
      </c>
      <c r="G28" s="28">
        <v>2.6222649E8</v>
      </c>
      <c r="H28" s="18"/>
      <c r="I28" s="18"/>
      <c r="J28" s="18"/>
      <c r="K28" s="18"/>
      <c r="L28" s="18"/>
      <c r="M28" s="18"/>
      <c r="O28" s="9"/>
      <c r="P28" s="24"/>
      <c r="Q28" s="24"/>
    </row>
    <row r="29">
      <c r="A29" s="18" t="s">
        <v>129</v>
      </c>
      <c r="B29" s="29">
        <v>2.35E8</v>
      </c>
      <c r="C29" s="26">
        <v>2.0800384E8</v>
      </c>
      <c r="D29" s="27">
        <v>2.3E8</v>
      </c>
      <c r="E29" s="28">
        <v>1.76047584E8</v>
      </c>
      <c r="F29" s="28">
        <v>2.5E8</v>
      </c>
      <c r="G29" s="28">
        <v>2.52184133E8</v>
      </c>
      <c r="H29" s="18"/>
      <c r="I29" s="18"/>
      <c r="J29" s="18"/>
      <c r="K29" s="18"/>
      <c r="L29" s="18"/>
      <c r="M29" s="18"/>
      <c r="O29" s="9"/>
      <c r="P29" s="24"/>
      <c r="Q29" s="24"/>
    </row>
    <row r="30">
      <c r="A30" s="18" t="s">
        <v>120</v>
      </c>
      <c r="B30" s="29">
        <v>3.1E8</v>
      </c>
      <c r="C30" s="26">
        <v>2.99781881E8</v>
      </c>
      <c r="D30" s="27">
        <v>2.7E8</v>
      </c>
      <c r="E30" s="28">
        <v>2.54030403E8</v>
      </c>
      <c r="F30" s="28">
        <v>3.1E8</v>
      </c>
      <c r="G30" s="28">
        <v>3.89392101E8</v>
      </c>
      <c r="H30" s="18"/>
      <c r="I30" s="18"/>
      <c r="J30" s="18"/>
      <c r="K30" s="18"/>
      <c r="L30" s="18"/>
      <c r="M30" s="18"/>
      <c r="O30" s="9"/>
      <c r="P30" s="24"/>
      <c r="Q30" s="24"/>
    </row>
    <row r="31">
      <c r="A31" s="18" t="s">
        <v>126</v>
      </c>
      <c r="B31" s="29">
        <v>2.3E8</v>
      </c>
      <c r="C31" s="26">
        <v>2.17597884E8</v>
      </c>
      <c r="D31" s="27">
        <v>2.15E8</v>
      </c>
      <c r="E31" s="28">
        <v>1.69827438E8</v>
      </c>
      <c r="F31" s="28">
        <v>2.3E8</v>
      </c>
      <c r="G31" s="28">
        <v>2.37591106E8</v>
      </c>
      <c r="H31" s="18"/>
      <c r="I31" s="18"/>
      <c r="J31" s="18"/>
      <c r="K31" s="18"/>
      <c r="L31" s="18"/>
      <c r="M31" s="18"/>
      <c r="O31" s="9"/>
      <c r="P31" s="24"/>
      <c r="Q31" s="24"/>
    </row>
    <row r="32">
      <c r="A32" s="18" t="s">
        <v>118</v>
      </c>
      <c r="B32" s="25">
        <v>2.75E8</v>
      </c>
      <c r="C32" s="30">
        <v>2.66147448E8</v>
      </c>
      <c r="D32" s="27">
        <v>2.2E8</v>
      </c>
      <c r="E32" s="28">
        <v>2.22853058E8</v>
      </c>
      <c r="F32" s="28">
        <v>2.7E8</v>
      </c>
      <c r="G32" s="28">
        <v>3.378349E8</v>
      </c>
      <c r="H32" s="18"/>
      <c r="I32" s="18"/>
      <c r="J32" s="18"/>
      <c r="K32" s="18"/>
      <c r="L32" s="18"/>
      <c r="M32" s="18"/>
      <c r="O32" s="9"/>
      <c r="P32" s="9"/>
      <c r="Q32" s="9"/>
    </row>
    <row r="33">
      <c r="O33" s="9"/>
      <c r="P33" s="9"/>
      <c r="Q33" s="9"/>
    </row>
    <row r="34">
      <c r="O34" s="9"/>
      <c r="P34" s="9"/>
      <c r="Q34" s="9"/>
    </row>
    <row r="35">
      <c r="O35" s="9"/>
      <c r="P35" s="9"/>
      <c r="Q35" s="9"/>
    </row>
    <row r="36">
      <c r="O36" s="9"/>
      <c r="P36" s="9"/>
      <c r="Q36" s="9"/>
    </row>
    <row r="37">
      <c r="O37" s="9"/>
      <c r="P37" s="9"/>
      <c r="Q37" s="9"/>
    </row>
    <row r="38">
      <c r="O38" s="9"/>
      <c r="P38" s="9"/>
      <c r="Q38" s="9"/>
    </row>
    <row r="39">
      <c r="O39" s="9"/>
      <c r="P39" s="9"/>
      <c r="Q39" s="9"/>
    </row>
    <row r="40">
      <c r="O40" s="9"/>
      <c r="P40" s="9"/>
      <c r="Q40" s="9"/>
    </row>
    <row r="41">
      <c r="O41" s="9"/>
      <c r="P41" s="9"/>
      <c r="Q41" s="9"/>
    </row>
    <row r="42">
      <c r="O42" s="9"/>
      <c r="P42" s="9"/>
      <c r="Q42" s="9"/>
    </row>
    <row r="43">
      <c r="O43" s="9"/>
      <c r="P43" s="9"/>
      <c r="Q43" s="9"/>
    </row>
    <row r="44">
      <c r="O44" s="9"/>
      <c r="P44" s="9"/>
      <c r="Q44" s="9"/>
    </row>
    <row r="45">
      <c r="O45" s="9"/>
      <c r="P45" s="9"/>
      <c r="Q45" s="9"/>
    </row>
    <row r="46">
      <c r="O46" s="9"/>
      <c r="P46" s="9"/>
      <c r="Q46" s="9"/>
    </row>
    <row r="47">
      <c r="O47" s="9"/>
      <c r="P47" s="9"/>
      <c r="Q47" s="9"/>
    </row>
    <row r="48">
      <c r="O48" s="9"/>
      <c r="P48" s="9"/>
      <c r="Q48" s="9"/>
    </row>
    <row r="49">
      <c r="O49" s="9"/>
      <c r="P49" s="9"/>
      <c r="Q49" s="9"/>
    </row>
    <row r="50">
      <c r="O50" s="9"/>
      <c r="P50" s="9"/>
      <c r="Q50" s="9"/>
    </row>
    <row r="51">
      <c r="O51" s="9"/>
      <c r="P51" s="9"/>
      <c r="Q51" s="9"/>
    </row>
    <row r="52">
      <c r="O52" s="9"/>
      <c r="P52" s="9"/>
      <c r="Q52" s="9"/>
    </row>
    <row r="53">
      <c r="O53" s="9"/>
      <c r="P53" s="9"/>
      <c r="Q53" s="9"/>
    </row>
    <row r="54">
      <c r="O54" s="9"/>
      <c r="P54" s="9"/>
      <c r="Q54" s="9"/>
    </row>
    <row r="55">
      <c r="O55" s="9"/>
      <c r="P55" s="9"/>
      <c r="Q55" s="9"/>
    </row>
    <row r="56">
      <c r="O56" s="9"/>
      <c r="P56" s="9"/>
      <c r="Q56" s="9"/>
    </row>
    <row r="57">
      <c r="O57" s="9"/>
      <c r="P57" s="9"/>
      <c r="Q57" s="9"/>
    </row>
    <row r="58">
      <c r="O58" s="9"/>
      <c r="P58" s="9"/>
      <c r="Q58" s="9"/>
    </row>
    <row r="59">
      <c r="O59" s="9"/>
      <c r="P59" s="9"/>
      <c r="Q59" s="9"/>
    </row>
    <row r="60">
      <c r="O60" s="9"/>
      <c r="P60" s="9"/>
      <c r="Q60" s="9"/>
    </row>
    <row r="61">
      <c r="O61" s="9"/>
      <c r="P61" s="9"/>
      <c r="Q61" s="9"/>
    </row>
    <row r="62">
      <c r="O62" s="9"/>
      <c r="P62" s="9"/>
      <c r="Q62" s="9"/>
    </row>
    <row r="63">
      <c r="O63" s="9"/>
      <c r="P63" s="9"/>
      <c r="Q63" s="9"/>
    </row>
    <row r="64">
      <c r="O64" s="9"/>
      <c r="P64" s="9"/>
      <c r="Q64" s="9"/>
    </row>
    <row r="65">
      <c r="O65" s="9"/>
      <c r="P65" s="9"/>
      <c r="Q65" s="9"/>
    </row>
    <row r="66">
      <c r="O66" s="9"/>
      <c r="P66" s="9"/>
      <c r="Q66" s="9"/>
    </row>
    <row r="67">
      <c r="O67" s="9"/>
      <c r="P67" s="9"/>
      <c r="Q67" s="9"/>
    </row>
    <row r="68">
      <c r="O68" s="9"/>
      <c r="P68" s="9"/>
      <c r="Q68" s="9"/>
    </row>
    <row r="69">
      <c r="O69" s="9"/>
      <c r="P69" s="9"/>
      <c r="Q69" s="9"/>
    </row>
    <row r="70">
      <c r="O70" s="9"/>
      <c r="P70" s="9"/>
      <c r="Q70" s="9"/>
    </row>
    <row r="71">
      <c r="O71" s="9"/>
      <c r="P71" s="9"/>
      <c r="Q71" s="9"/>
    </row>
    <row r="72">
      <c r="O72" s="9"/>
      <c r="P72" s="9"/>
      <c r="Q72" s="9"/>
    </row>
    <row r="73">
      <c r="O73" s="9"/>
      <c r="P73" s="9"/>
      <c r="Q73" s="9"/>
    </row>
    <row r="74">
      <c r="O74" s="9"/>
      <c r="P74" s="9"/>
      <c r="Q74" s="9"/>
    </row>
    <row r="75">
      <c r="O75" s="9"/>
      <c r="P75" s="9"/>
      <c r="Q75" s="9"/>
    </row>
    <row r="76">
      <c r="O76" s="9"/>
      <c r="P76" s="9"/>
      <c r="Q76" s="9"/>
    </row>
    <row r="77">
      <c r="O77" s="9"/>
      <c r="P77" s="9"/>
      <c r="Q77" s="9"/>
    </row>
    <row r="78">
      <c r="O78" s="9"/>
      <c r="P78" s="9"/>
      <c r="Q78" s="9"/>
    </row>
    <row r="79">
      <c r="O79" s="9"/>
      <c r="P79" s="9"/>
      <c r="Q79" s="9"/>
    </row>
    <row r="80">
      <c r="O80" s="9"/>
      <c r="P80" s="9"/>
      <c r="Q80" s="9"/>
    </row>
    <row r="81">
      <c r="O81" s="9"/>
      <c r="P81" s="9"/>
      <c r="Q81" s="9"/>
    </row>
    <row r="82">
      <c r="O82" s="9"/>
      <c r="P82" s="9"/>
      <c r="Q82" s="9"/>
    </row>
    <row r="83">
      <c r="O83" s="9"/>
      <c r="P83" s="9"/>
      <c r="Q83" s="9"/>
    </row>
    <row r="84">
      <c r="O84" s="9"/>
      <c r="P84" s="9"/>
      <c r="Q84" s="9"/>
    </row>
    <row r="85">
      <c r="O85" s="9"/>
      <c r="P85" s="9"/>
      <c r="Q85" s="9"/>
    </row>
    <row r="86">
      <c r="O86" s="9"/>
      <c r="P86" s="9"/>
      <c r="Q86" s="9"/>
    </row>
    <row r="87">
      <c r="O87" s="9"/>
      <c r="P87" s="9"/>
      <c r="Q87" s="9"/>
    </row>
    <row r="88">
      <c r="O88" s="9"/>
      <c r="P88" s="9"/>
      <c r="Q88" s="9"/>
    </row>
    <row r="89">
      <c r="O89" s="9"/>
      <c r="P89" s="9"/>
      <c r="Q89" s="9"/>
    </row>
    <row r="90">
      <c r="O90" s="9"/>
      <c r="P90" s="9"/>
      <c r="Q90" s="9"/>
    </row>
    <row r="91">
      <c r="O91" s="9"/>
      <c r="P91" s="9"/>
      <c r="Q91" s="9"/>
    </row>
    <row r="92">
      <c r="O92" s="9"/>
      <c r="P92" s="9"/>
      <c r="Q92" s="9"/>
    </row>
    <row r="93">
      <c r="O93" s="9"/>
      <c r="P93" s="9"/>
      <c r="Q93" s="9"/>
    </row>
    <row r="94">
      <c r="O94" s="9"/>
      <c r="P94" s="9"/>
      <c r="Q94" s="9"/>
    </row>
    <row r="95">
      <c r="O95" s="9"/>
      <c r="P95" s="9"/>
      <c r="Q95" s="9"/>
    </row>
    <row r="96">
      <c r="O96" s="9"/>
      <c r="P96" s="9"/>
      <c r="Q96" s="9"/>
    </row>
    <row r="97">
      <c r="O97" s="9"/>
      <c r="P97" s="9"/>
      <c r="Q97" s="9"/>
    </row>
    <row r="98">
      <c r="O98" s="9"/>
      <c r="P98" s="9"/>
      <c r="Q98" s="9"/>
    </row>
    <row r="99">
      <c r="O99" s="9"/>
      <c r="P99" s="9"/>
      <c r="Q99" s="9"/>
    </row>
    <row r="100">
      <c r="O100" s="9"/>
      <c r="P100" s="9"/>
      <c r="Q100" s="9"/>
    </row>
    <row r="101">
      <c r="O101" s="9"/>
      <c r="P101" s="9"/>
      <c r="Q101" s="9"/>
    </row>
    <row r="102">
      <c r="O102" s="9"/>
      <c r="P102" s="9"/>
      <c r="Q102" s="9"/>
    </row>
    <row r="103">
      <c r="O103" s="9"/>
      <c r="P103" s="9"/>
      <c r="Q103" s="9"/>
    </row>
    <row r="104">
      <c r="O104" s="9"/>
      <c r="P104" s="9"/>
      <c r="Q104" s="9"/>
    </row>
    <row r="105">
      <c r="O105" s="9"/>
      <c r="P105" s="9"/>
      <c r="Q105" s="9"/>
    </row>
    <row r="106">
      <c r="O106" s="9"/>
      <c r="P106" s="9"/>
      <c r="Q106" s="9"/>
    </row>
    <row r="107">
      <c r="O107" s="9"/>
      <c r="P107" s="9"/>
      <c r="Q107" s="9"/>
    </row>
    <row r="108">
      <c r="O108" s="9"/>
      <c r="P108" s="9"/>
      <c r="Q108" s="9"/>
    </row>
    <row r="109">
      <c r="O109" s="9"/>
      <c r="P109" s="9"/>
      <c r="Q109" s="9"/>
    </row>
    <row r="110">
      <c r="O110" s="9"/>
      <c r="P110" s="9"/>
      <c r="Q110" s="9"/>
    </row>
    <row r="111">
      <c r="O111" s="9"/>
      <c r="P111" s="9"/>
      <c r="Q111" s="9"/>
    </row>
    <row r="112">
      <c r="O112" s="9"/>
      <c r="P112" s="9"/>
      <c r="Q112" s="9"/>
    </row>
    <row r="113">
      <c r="O113" s="9"/>
      <c r="P113" s="9"/>
      <c r="Q113" s="9"/>
    </row>
    <row r="114">
      <c r="O114" s="9"/>
      <c r="P114" s="9"/>
      <c r="Q114" s="9"/>
    </row>
    <row r="115">
      <c r="O115" s="9"/>
      <c r="P115" s="9"/>
      <c r="Q115" s="9"/>
    </row>
    <row r="116">
      <c r="O116" s="9"/>
      <c r="P116" s="9"/>
      <c r="Q116" s="9"/>
    </row>
    <row r="117">
      <c r="O117" s="9"/>
      <c r="P117" s="9"/>
      <c r="Q117" s="9"/>
    </row>
    <row r="118">
      <c r="O118" s="9"/>
      <c r="P118" s="9"/>
      <c r="Q118" s="9"/>
    </row>
    <row r="119">
      <c r="O119" s="9"/>
      <c r="P119" s="9"/>
      <c r="Q119" s="9"/>
    </row>
    <row r="120">
      <c r="O120" s="9"/>
      <c r="P120" s="9"/>
      <c r="Q120" s="9"/>
    </row>
    <row r="121">
      <c r="O121" s="9"/>
      <c r="P121" s="9"/>
      <c r="Q121" s="9"/>
    </row>
    <row r="122">
      <c r="O122" s="9"/>
      <c r="P122" s="9"/>
      <c r="Q122" s="9"/>
    </row>
    <row r="123">
      <c r="O123" s="9"/>
      <c r="P123" s="9"/>
      <c r="Q123" s="9"/>
    </row>
    <row r="124">
      <c r="O124" s="9"/>
      <c r="P124" s="9"/>
      <c r="Q124" s="9"/>
    </row>
    <row r="125">
      <c r="O125" s="9"/>
      <c r="P125" s="9"/>
      <c r="Q125" s="9"/>
    </row>
    <row r="126">
      <c r="O126" s="9"/>
      <c r="P126" s="9"/>
      <c r="Q126" s="9"/>
    </row>
    <row r="127">
      <c r="O127" s="9"/>
      <c r="P127" s="9"/>
      <c r="Q127" s="9"/>
    </row>
    <row r="128">
      <c r="O128" s="9"/>
      <c r="P128" s="9"/>
      <c r="Q128" s="9"/>
    </row>
    <row r="129">
      <c r="O129" s="9"/>
      <c r="P129" s="9"/>
      <c r="Q129" s="9"/>
    </row>
    <row r="130">
      <c r="O130" s="9"/>
      <c r="P130" s="9"/>
      <c r="Q130" s="9"/>
    </row>
    <row r="131">
      <c r="O131" s="9"/>
      <c r="P131" s="9"/>
      <c r="Q131" s="9"/>
    </row>
    <row r="132">
      <c r="O132" s="9"/>
      <c r="P132" s="9"/>
      <c r="Q132" s="9"/>
    </row>
    <row r="133">
      <c r="O133" s="9"/>
      <c r="P133" s="9"/>
      <c r="Q133" s="9"/>
    </row>
    <row r="134">
      <c r="O134" s="9"/>
      <c r="P134" s="9"/>
      <c r="Q134" s="9"/>
    </row>
    <row r="135">
      <c r="O135" s="9"/>
      <c r="P135" s="9"/>
      <c r="Q135" s="9"/>
    </row>
    <row r="136">
      <c r="O136" s="9"/>
      <c r="P136" s="9"/>
      <c r="Q136" s="9"/>
    </row>
    <row r="137">
      <c r="O137" s="9"/>
      <c r="P137" s="9"/>
      <c r="Q137" s="9"/>
    </row>
    <row r="138">
      <c r="O138" s="9"/>
      <c r="P138" s="9"/>
      <c r="Q138" s="9"/>
    </row>
    <row r="139">
      <c r="O139" s="9"/>
      <c r="P139" s="9"/>
      <c r="Q139" s="9"/>
    </row>
    <row r="140">
      <c r="O140" s="9"/>
      <c r="P140" s="9"/>
      <c r="Q140" s="9"/>
    </row>
    <row r="141">
      <c r="O141" s="9"/>
      <c r="P141" s="9"/>
      <c r="Q141" s="9"/>
    </row>
    <row r="142">
      <c r="O142" s="9"/>
      <c r="P142" s="9"/>
      <c r="Q142" s="9"/>
    </row>
    <row r="143">
      <c r="O143" s="9"/>
      <c r="P143" s="9"/>
      <c r="Q143" s="9"/>
    </row>
    <row r="144">
      <c r="O144" s="9"/>
      <c r="P144" s="9"/>
      <c r="Q144" s="9"/>
    </row>
    <row r="145">
      <c r="O145" s="9"/>
      <c r="P145" s="9"/>
      <c r="Q145" s="9"/>
    </row>
    <row r="146">
      <c r="O146" s="9"/>
      <c r="P146" s="9"/>
      <c r="Q146" s="9"/>
    </row>
    <row r="147">
      <c r="O147" s="9"/>
      <c r="P147" s="9"/>
      <c r="Q147" s="9"/>
    </row>
    <row r="148">
      <c r="O148" s="9"/>
      <c r="P148" s="9"/>
      <c r="Q148" s="9"/>
    </row>
    <row r="149">
      <c r="O149" s="9"/>
      <c r="P149" s="9"/>
      <c r="Q149" s="9"/>
    </row>
    <row r="150">
      <c r="O150" s="9"/>
      <c r="P150" s="9"/>
      <c r="Q150" s="9"/>
    </row>
    <row r="151">
      <c r="O151" s="9"/>
      <c r="P151" s="9"/>
      <c r="Q151" s="9"/>
    </row>
    <row r="152">
      <c r="O152" s="9"/>
      <c r="P152" s="9"/>
      <c r="Q152" s="9"/>
    </row>
    <row r="153">
      <c r="O153" s="9"/>
      <c r="P153" s="9"/>
      <c r="Q153" s="9"/>
    </row>
    <row r="154">
      <c r="O154" s="9"/>
      <c r="P154" s="9"/>
      <c r="Q154" s="9"/>
    </row>
    <row r="155">
      <c r="O155" s="9"/>
      <c r="P155" s="9"/>
      <c r="Q155" s="9"/>
    </row>
    <row r="156">
      <c r="O156" s="9"/>
      <c r="P156" s="9"/>
      <c r="Q156" s="9"/>
    </row>
    <row r="157">
      <c r="O157" s="9"/>
      <c r="P157" s="9"/>
      <c r="Q157" s="9"/>
    </row>
    <row r="158">
      <c r="O158" s="9"/>
      <c r="P158" s="9"/>
      <c r="Q158" s="9"/>
    </row>
    <row r="159">
      <c r="O159" s="9"/>
      <c r="P159" s="9"/>
      <c r="Q159" s="9"/>
    </row>
    <row r="160">
      <c r="O160" s="9"/>
      <c r="P160" s="9"/>
      <c r="Q160" s="9"/>
    </row>
    <row r="161">
      <c r="O161" s="9"/>
      <c r="P161" s="9"/>
      <c r="Q161" s="9"/>
    </row>
    <row r="162">
      <c r="O162" s="9"/>
      <c r="P162" s="9"/>
      <c r="Q162" s="9"/>
    </row>
    <row r="163">
      <c r="O163" s="9"/>
      <c r="P163" s="9"/>
      <c r="Q163" s="9"/>
    </row>
    <row r="164">
      <c r="O164" s="9"/>
      <c r="P164" s="9"/>
      <c r="Q164" s="9"/>
    </row>
    <row r="165">
      <c r="O165" s="9"/>
      <c r="P165" s="9"/>
      <c r="Q165" s="9"/>
    </row>
    <row r="166">
      <c r="O166" s="9"/>
      <c r="P166" s="9"/>
      <c r="Q166" s="9"/>
    </row>
    <row r="167">
      <c r="O167" s="9"/>
      <c r="P167" s="9"/>
      <c r="Q167" s="9"/>
    </row>
    <row r="168">
      <c r="O168" s="9"/>
      <c r="P168" s="9"/>
      <c r="Q168" s="9"/>
    </row>
    <row r="169">
      <c r="O169" s="9"/>
      <c r="P169" s="9"/>
      <c r="Q169" s="9"/>
    </row>
    <row r="170">
      <c r="O170" s="9"/>
      <c r="P170" s="9"/>
      <c r="Q170" s="9"/>
    </row>
    <row r="171">
      <c r="O171" s="9"/>
      <c r="P171" s="9"/>
      <c r="Q171" s="9"/>
    </row>
    <row r="172">
      <c r="O172" s="9"/>
      <c r="P172" s="9"/>
      <c r="Q172" s="9"/>
    </row>
    <row r="173">
      <c r="O173" s="9"/>
      <c r="P173" s="9"/>
      <c r="Q173" s="9"/>
    </row>
    <row r="174">
      <c r="O174" s="9"/>
      <c r="P174" s="9"/>
      <c r="Q174" s="9"/>
    </row>
    <row r="175">
      <c r="O175" s="9"/>
      <c r="P175" s="9"/>
      <c r="Q175" s="9"/>
    </row>
    <row r="176">
      <c r="O176" s="9"/>
      <c r="P176" s="9"/>
      <c r="Q176" s="9"/>
    </row>
    <row r="177">
      <c r="O177" s="9"/>
      <c r="P177" s="9"/>
      <c r="Q177" s="9"/>
    </row>
    <row r="178">
      <c r="O178" s="9"/>
      <c r="P178" s="9"/>
      <c r="Q178" s="9"/>
    </row>
    <row r="179">
      <c r="O179" s="9"/>
      <c r="P179" s="9"/>
      <c r="Q179" s="9"/>
    </row>
    <row r="180">
      <c r="O180" s="9"/>
      <c r="P180" s="9"/>
      <c r="Q180" s="9"/>
    </row>
    <row r="181">
      <c r="O181" s="9"/>
      <c r="P181" s="9"/>
      <c r="Q181" s="9"/>
    </row>
    <row r="182">
      <c r="O182" s="9"/>
      <c r="P182" s="9"/>
      <c r="Q182" s="9"/>
    </row>
    <row r="183">
      <c r="O183" s="9"/>
      <c r="P183" s="9"/>
      <c r="Q183" s="9"/>
    </row>
    <row r="184">
      <c r="O184" s="9"/>
      <c r="P184" s="9"/>
      <c r="Q184" s="9"/>
    </row>
    <row r="185">
      <c r="O185" s="9"/>
      <c r="P185" s="9"/>
      <c r="Q185" s="9"/>
    </row>
    <row r="186">
      <c r="O186" s="9"/>
      <c r="P186" s="9"/>
      <c r="Q186" s="9"/>
    </row>
    <row r="187">
      <c r="O187" s="9"/>
      <c r="P187" s="9"/>
      <c r="Q187" s="9"/>
    </row>
    <row r="188">
      <c r="O188" s="9"/>
      <c r="P188" s="9"/>
      <c r="Q188" s="9"/>
    </row>
    <row r="189">
      <c r="O189" s="9"/>
      <c r="P189" s="9"/>
      <c r="Q189" s="9"/>
    </row>
    <row r="190">
      <c r="O190" s="9"/>
      <c r="P190" s="9"/>
      <c r="Q190" s="9"/>
    </row>
    <row r="191">
      <c r="O191" s="9"/>
      <c r="P191" s="9"/>
      <c r="Q191" s="9"/>
    </row>
    <row r="192">
      <c r="O192" s="9"/>
      <c r="P192" s="9"/>
      <c r="Q192" s="9"/>
    </row>
    <row r="193">
      <c r="O193" s="9"/>
      <c r="P193" s="9"/>
      <c r="Q193" s="9"/>
    </row>
    <row r="194">
      <c r="O194" s="9"/>
      <c r="P194" s="9"/>
      <c r="Q194" s="9"/>
    </row>
    <row r="195">
      <c r="O195" s="9"/>
      <c r="P195" s="9"/>
      <c r="Q195" s="9"/>
    </row>
    <row r="196">
      <c r="O196" s="9"/>
      <c r="P196" s="9"/>
      <c r="Q196" s="9"/>
    </row>
    <row r="197">
      <c r="O197" s="9"/>
      <c r="P197" s="9"/>
      <c r="Q197" s="9"/>
    </row>
    <row r="198">
      <c r="O198" s="9"/>
      <c r="P198" s="9"/>
      <c r="Q198" s="9"/>
    </row>
    <row r="199">
      <c r="O199" s="9"/>
      <c r="P199" s="9"/>
      <c r="Q199" s="9"/>
    </row>
    <row r="200">
      <c r="O200" s="9"/>
      <c r="P200" s="9"/>
      <c r="Q200" s="9"/>
    </row>
    <row r="201">
      <c r="O201" s="9"/>
      <c r="P201" s="9"/>
      <c r="Q201" s="9"/>
    </row>
    <row r="202">
      <c r="O202" s="9"/>
      <c r="P202" s="9"/>
      <c r="Q202" s="9"/>
    </row>
    <row r="203">
      <c r="O203" s="9"/>
      <c r="P203" s="9"/>
      <c r="Q203" s="9"/>
    </row>
    <row r="204">
      <c r="O204" s="9"/>
      <c r="P204" s="9"/>
      <c r="Q204" s="9"/>
    </row>
    <row r="205">
      <c r="O205" s="9"/>
      <c r="P205" s="9"/>
      <c r="Q205" s="9"/>
    </row>
    <row r="206">
      <c r="O206" s="9"/>
      <c r="P206" s="9"/>
      <c r="Q206" s="9"/>
    </row>
    <row r="207">
      <c r="O207" s="9"/>
      <c r="P207" s="9"/>
      <c r="Q207" s="9"/>
    </row>
    <row r="208">
      <c r="O208" s="9"/>
      <c r="P208" s="9"/>
      <c r="Q208" s="9"/>
    </row>
    <row r="209">
      <c r="O209" s="9"/>
      <c r="P209" s="9"/>
      <c r="Q209" s="9"/>
    </row>
    <row r="210">
      <c r="O210" s="9"/>
      <c r="P210" s="9"/>
      <c r="Q210" s="9"/>
    </row>
    <row r="211">
      <c r="O211" s="9"/>
      <c r="P211" s="9"/>
      <c r="Q211" s="9"/>
    </row>
    <row r="212">
      <c r="O212" s="9"/>
      <c r="P212" s="9"/>
      <c r="Q212" s="9"/>
    </row>
    <row r="213">
      <c r="O213" s="9"/>
      <c r="P213" s="9"/>
      <c r="Q213" s="9"/>
    </row>
    <row r="214">
      <c r="O214" s="9"/>
      <c r="P214" s="9"/>
      <c r="Q214" s="9"/>
    </row>
    <row r="215">
      <c r="O215" s="9"/>
      <c r="P215" s="9"/>
      <c r="Q215" s="9"/>
    </row>
    <row r="216">
      <c r="O216" s="9"/>
      <c r="P216" s="9"/>
      <c r="Q216" s="9"/>
    </row>
    <row r="217">
      <c r="O217" s="9"/>
      <c r="P217" s="9"/>
      <c r="Q217" s="9"/>
    </row>
    <row r="218">
      <c r="O218" s="9"/>
      <c r="P218" s="9"/>
      <c r="Q218" s="9"/>
    </row>
    <row r="219">
      <c r="O219" s="9"/>
      <c r="P219" s="9"/>
      <c r="Q219" s="9"/>
    </row>
    <row r="220">
      <c r="O220" s="9"/>
      <c r="P220" s="9"/>
      <c r="Q220" s="9"/>
    </row>
    <row r="221">
      <c r="O221" s="9"/>
      <c r="P221" s="9"/>
      <c r="Q221" s="9"/>
    </row>
    <row r="222">
      <c r="O222" s="9"/>
      <c r="P222" s="9"/>
      <c r="Q222" s="9"/>
    </row>
    <row r="223">
      <c r="O223" s="9"/>
      <c r="P223" s="9"/>
      <c r="Q223" s="9"/>
    </row>
    <row r="224">
      <c r="O224" s="9"/>
      <c r="P224" s="9"/>
      <c r="Q224" s="9"/>
    </row>
    <row r="225">
      <c r="O225" s="9"/>
      <c r="P225" s="9"/>
      <c r="Q225" s="9"/>
    </row>
    <row r="226">
      <c r="O226" s="9"/>
      <c r="P226" s="9"/>
      <c r="Q226" s="9"/>
    </row>
    <row r="227">
      <c r="O227" s="9"/>
      <c r="P227" s="9"/>
      <c r="Q227" s="9"/>
    </row>
    <row r="228">
      <c r="O228" s="9"/>
      <c r="P228" s="9"/>
      <c r="Q228" s="9"/>
    </row>
    <row r="229">
      <c r="O229" s="9"/>
      <c r="P229" s="9"/>
      <c r="Q229" s="9"/>
    </row>
    <row r="230">
      <c r="O230" s="9"/>
      <c r="P230" s="9"/>
      <c r="Q230" s="9"/>
    </row>
    <row r="231">
      <c r="O231" s="9"/>
      <c r="P231" s="9"/>
      <c r="Q231" s="9"/>
    </row>
    <row r="232">
      <c r="O232" s="9"/>
      <c r="P232" s="9"/>
      <c r="Q232" s="9"/>
    </row>
    <row r="233">
      <c r="O233" s="9"/>
      <c r="P233" s="9"/>
      <c r="Q233" s="9"/>
    </row>
    <row r="234">
      <c r="O234" s="9"/>
      <c r="P234" s="9"/>
      <c r="Q234" s="9"/>
    </row>
    <row r="235">
      <c r="O235" s="9"/>
      <c r="P235" s="9"/>
      <c r="Q235" s="9"/>
    </row>
    <row r="236">
      <c r="O236" s="9"/>
      <c r="P236" s="9"/>
      <c r="Q236" s="9"/>
    </row>
    <row r="237">
      <c r="O237" s="9"/>
      <c r="P237" s="9"/>
      <c r="Q237" s="9"/>
    </row>
    <row r="238">
      <c r="O238" s="9"/>
      <c r="P238" s="9"/>
      <c r="Q238" s="9"/>
    </row>
    <row r="239">
      <c r="O239" s="9"/>
      <c r="P239" s="9"/>
      <c r="Q239" s="9"/>
    </row>
    <row r="240">
      <c r="O240" s="9"/>
      <c r="P240" s="9"/>
      <c r="Q240" s="9"/>
    </row>
    <row r="241">
      <c r="O241" s="9"/>
      <c r="P241" s="9"/>
      <c r="Q241" s="9"/>
    </row>
    <row r="242">
      <c r="O242" s="9"/>
      <c r="P242" s="9"/>
      <c r="Q242" s="9"/>
    </row>
    <row r="243">
      <c r="O243" s="9"/>
      <c r="P243" s="9"/>
      <c r="Q243" s="9"/>
    </row>
    <row r="244">
      <c r="O244" s="9"/>
      <c r="P244" s="9"/>
      <c r="Q244" s="9"/>
    </row>
    <row r="245">
      <c r="O245" s="9"/>
      <c r="P245" s="9"/>
      <c r="Q245" s="9"/>
    </row>
    <row r="246">
      <c r="O246" s="9"/>
      <c r="P246" s="9"/>
      <c r="Q246" s="9"/>
    </row>
    <row r="247">
      <c r="O247" s="9"/>
      <c r="P247" s="9"/>
      <c r="Q247" s="9"/>
    </row>
    <row r="248">
      <c r="O248" s="9"/>
      <c r="P248" s="9"/>
      <c r="Q248" s="9"/>
    </row>
    <row r="249">
      <c r="O249" s="9"/>
      <c r="P249" s="9"/>
      <c r="Q249" s="9"/>
    </row>
    <row r="250">
      <c r="O250" s="9"/>
      <c r="P250" s="9"/>
      <c r="Q250" s="9"/>
    </row>
    <row r="251">
      <c r="O251" s="9"/>
      <c r="P251" s="9"/>
      <c r="Q251" s="9"/>
    </row>
    <row r="252">
      <c r="O252" s="9"/>
      <c r="P252" s="9"/>
      <c r="Q252" s="9"/>
    </row>
    <row r="253">
      <c r="O253" s="9"/>
      <c r="P253" s="9"/>
      <c r="Q253" s="9"/>
    </row>
    <row r="254">
      <c r="O254" s="9"/>
      <c r="P254" s="9"/>
      <c r="Q254" s="9"/>
    </row>
    <row r="255">
      <c r="O255" s="9"/>
      <c r="P255" s="9"/>
      <c r="Q255" s="9"/>
    </row>
    <row r="256">
      <c r="O256" s="9"/>
      <c r="P256" s="9"/>
      <c r="Q256" s="9"/>
    </row>
    <row r="257">
      <c r="O257" s="9"/>
      <c r="P257" s="9"/>
      <c r="Q257" s="9"/>
    </row>
    <row r="258">
      <c r="O258" s="9"/>
      <c r="P258" s="9"/>
      <c r="Q258" s="9"/>
    </row>
    <row r="259">
      <c r="O259" s="9"/>
      <c r="P259" s="9"/>
      <c r="Q259" s="9"/>
    </row>
    <row r="260">
      <c r="O260" s="9"/>
      <c r="P260" s="9"/>
      <c r="Q260" s="9"/>
    </row>
    <row r="261">
      <c r="O261" s="9"/>
      <c r="P261" s="9"/>
      <c r="Q261" s="9"/>
    </row>
    <row r="262">
      <c r="O262" s="9"/>
      <c r="P262" s="9"/>
      <c r="Q262" s="9"/>
    </row>
    <row r="263">
      <c r="O263" s="9"/>
      <c r="P263" s="9"/>
      <c r="Q263" s="9"/>
    </row>
    <row r="264">
      <c r="O264" s="9"/>
      <c r="P264" s="9"/>
      <c r="Q264" s="9"/>
    </row>
    <row r="265">
      <c r="O265" s="9"/>
      <c r="P265" s="9"/>
      <c r="Q265" s="9"/>
    </row>
    <row r="266">
      <c r="O266" s="9"/>
      <c r="P266" s="9"/>
      <c r="Q266" s="9"/>
    </row>
    <row r="267">
      <c r="O267" s="9"/>
      <c r="P267" s="9"/>
      <c r="Q267" s="9"/>
    </row>
    <row r="268">
      <c r="O268" s="9"/>
      <c r="P268" s="9"/>
      <c r="Q268" s="9"/>
    </row>
    <row r="269">
      <c r="O269" s="9"/>
      <c r="P269" s="9"/>
      <c r="Q269" s="9"/>
    </row>
    <row r="270">
      <c r="O270" s="9"/>
      <c r="P270" s="9"/>
      <c r="Q270" s="9"/>
    </row>
    <row r="271">
      <c r="O271" s="9"/>
      <c r="P271" s="9"/>
      <c r="Q271" s="9"/>
    </row>
    <row r="272">
      <c r="O272" s="9"/>
      <c r="P272" s="9"/>
      <c r="Q272" s="9"/>
    </row>
    <row r="273">
      <c r="O273" s="9"/>
      <c r="P273" s="9"/>
      <c r="Q273" s="9"/>
    </row>
    <row r="274">
      <c r="O274" s="9"/>
      <c r="P274" s="9"/>
      <c r="Q274" s="9"/>
    </row>
    <row r="275">
      <c r="O275" s="9"/>
      <c r="P275" s="9"/>
      <c r="Q275" s="9"/>
    </row>
    <row r="276">
      <c r="O276" s="9"/>
      <c r="P276" s="9"/>
      <c r="Q276" s="9"/>
    </row>
    <row r="277">
      <c r="O277" s="9"/>
      <c r="P277" s="9"/>
      <c r="Q277" s="9"/>
    </row>
    <row r="278">
      <c r="O278" s="9"/>
      <c r="P278" s="9"/>
      <c r="Q278" s="9"/>
    </row>
    <row r="279">
      <c r="O279" s="9"/>
      <c r="P279" s="9"/>
      <c r="Q279" s="9"/>
    </row>
    <row r="280">
      <c r="O280" s="9"/>
      <c r="P280" s="9"/>
      <c r="Q280" s="9"/>
    </row>
    <row r="281">
      <c r="O281" s="9"/>
      <c r="P281" s="9"/>
      <c r="Q281" s="9"/>
    </row>
    <row r="282">
      <c r="O282" s="9"/>
      <c r="P282" s="9"/>
      <c r="Q282" s="9"/>
    </row>
    <row r="283">
      <c r="O283" s="9"/>
      <c r="P283" s="9"/>
      <c r="Q283" s="9"/>
    </row>
    <row r="284">
      <c r="O284" s="9"/>
      <c r="P284" s="9"/>
      <c r="Q284" s="9"/>
    </row>
    <row r="285">
      <c r="O285" s="9"/>
      <c r="P285" s="9"/>
      <c r="Q285" s="9"/>
    </row>
    <row r="286">
      <c r="O286" s="9"/>
      <c r="P286" s="9"/>
      <c r="Q286" s="9"/>
    </row>
    <row r="287">
      <c r="O287" s="9"/>
      <c r="P287" s="9"/>
      <c r="Q287" s="9"/>
    </row>
    <row r="288">
      <c r="O288" s="9"/>
      <c r="P288" s="9"/>
      <c r="Q288" s="9"/>
    </row>
    <row r="289">
      <c r="O289" s="9"/>
      <c r="P289" s="9"/>
      <c r="Q289" s="9"/>
    </row>
    <row r="290">
      <c r="O290" s="9"/>
      <c r="P290" s="9"/>
      <c r="Q290" s="9"/>
    </row>
    <row r="291">
      <c r="O291" s="9"/>
      <c r="P291" s="9"/>
      <c r="Q291" s="9"/>
    </row>
    <row r="292">
      <c r="O292" s="9"/>
      <c r="P292" s="9"/>
      <c r="Q292" s="9"/>
    </row>
    <row r="293">
      <c r="O293" s="9"/>
      <c r="P293" s="9"/>
      <c r="Q293" s="9"/>
    </row>
    <row r="294">
      <c r="O294" s="9"/>
      <c r="P294" s="9"/>
      <c r="Q294" s="9"/>
    </row>
    <row r="295">
      <c r="O295" s="9"/>
      <c r="P295" s="9"/>
      <c r="Q295" s="9"/>
    </row>
    <row r="296">
      <c r="O296" s="9"/>
      <c r="P296" s="9"/>
      <c r="Q296" s="9"/>
    </row>
    <row r="297">
      <c r="O297" s="9"/>
      <c r="P297" s="9"/>
      <c r="Q297" s="9"/>
    </row>
    <row r="298">
      <c r="O298" s="9"/>
      <c r="P298" s="9"/>
      <c r="Q298" s="9"/>
    </row>
    <row r="299">
      <c r="O299" s="9"/>
      <c r="P299" s="9"/>
      <c r="Q299" s="9"/>
    </row>
    <row r="300">
      <c r="O300" s="9"/>
      <c r="P300" s="9"/>
      <c r="Q300" s="9"/>
    </row>
    <row r="301">
      <c r="O301" s="9"/>
      <c r="P301" s="9"/>
      <c r="Q301" s="9"/>
    </row>
    <row r="302">
      <c r="O302" s="9"/>
      <c r="P302" s="9"/>
      <c r="Q302" s="9"/>
    </row>
    <row r="303">
      <c r="O303" s="9"/>
      <c r="P303" s="9"/>
      <c r="Q303" s="9"/>
    </row>
    <row r="304">
      <c r="O304" s="9"/>
      <c r="P304" s="9"/>
      <c r="Q304" s="9"/>
    </row>
    <row r="305">
      <c r="O305" s="9"/>
      <c r="P305" s="9"/>
      <c r="Q305" s="9"/>
    </row>
    <row r="306">
      <c r="O306" s="9"/>
      <c r="P306" s="9"/>
      <c r="Q306" s="9"/>
    </row>
    <row r="307">
      <c r="O307" s="9"/>
      <c r="P307" s="9"/>
      <c r="Q307" s="9"/>
    </row>
    <row r="308">
      <c r="O308" s="9"/>
      <c r="P308" s="9"/>
      <c r="Q308" s="9"/>
    </row>
    <row r="309">
      <c r="O309" s="9"/>
      <c r="P309" s="9"/>
      <c r="Q309" s="9"/>
    </row>
    <row r="310">
      <c r="O310" s="9"/>
      <c r="P310" s="9"/>
      <c r="Q310" s="9"/>
    </row>
    <row r="311">
      <c r="O311" s="9"/>
      <c r="P311" s="9"/>
      <c r="Q311" s="9"/>
    </row>
    <row r="312">
      <c r="O312" s="9"/>
      <c r="P312" s="9"/>
      <c r="Q312" s="9"/>
    </row>
    <row r="313">
      <c r="O313" s="9"/>
      <c r="P313" s="9"/>
      <c r="Q313" s="9"/>
    </row>
    <row r="314">
      <c r="O314" s="9"/>
      <c r="P314" s="9"/>
      <c r="Q314" s="9"/>
    </row>
    <row r="315">
      <c r="O315" s="9"/>
      <c r="P315" s="9"/>
      <c r="Q315" s="9"/>
    </row>
    <row r="316">
      <c r="O316" s="9"/>
      <c r="P316" s="9"/>
      <c r="Q316" s="9"/>
    </row>
    <row r="317">
      <c r="O317" s="9"/>
      <c r="P317" s="9"/>
      <c r="Q317" s="9"/>
    </row>
    <row r="318">
      <c r="O318" s="9"/>
      <c r="P318" s="9"/>
      <c r="Q318" s="9"/>
    </row>
    <row r="319">
      <c r="O319" s="9"/>
      <c r="P319" s="9"/>
      <c r="Q319" s="9"/>
    </row>
    <row r="320">
      <c r="O320" s="9"/>
      <c r="P320" s="9"/>
      <c r="Q320" s="9"/>
    </row>
    <row r="321">
      <c r="O321" s="9"/>
      <c r="P321" s="9"/>
      <c r="Q321" s="9"/>
    </row>
    <row r="322">
      <c r="O322" s="9"/>
      <c r="P322" s="9"/>
      <c r="Q322" s="9"/>
    </row>
    <row r="323">
      <c r="O323" s="9"/>
      <c r="P323" s="9"/>
      <c r="Q323" s="9"/>
    </row>
    <row r="324">
      <c r="O324" s="9"/>
      <c r="P324" s="9"/>
      <c r="Q324" s="9"/>
    </row>
    <row r="325">
      <c r="O325" s="9"/>
      <c r="P325" s="9"/>
      <c r="Q325" s="9"/>
    </row>
    <row r="326">
      <c r="O326" s="9"/>
      <c r="P326" s="9"/>
      <c r="Q326" s="9"/>
    </row>
    <row r="327">
      <c r="O327" s="9"/>
      <c r="P327" s="9"/>
      <c r="Q327" s="9"/>
    </row>
    <row r="328">
      <c r="O328" s="9"/>
      <c r="P328" s="9"/>
      <c r="Q328" s="9"/>
    </row>
    <row r="329">
      <c r="O329" s="9"/>
      <c r="P329" s="9"/>
      <c r="Q329" s="9"/>
    </row>
    <row r="330">
      <c r="O330" s="9"/>
      <c r="P330" s="9"/>
      <c r="Q330" s="9"/>
    </row>
    <row r="331">
      <c r="O331" s="9"/>
      <c r="P331" s="9"/>
      <c r="Q331" s="9"/>
    </row>
    <row r="332">
      <c r="O332" s="9"/>
      <c r="P332" s="9"/>
      <c r="Q332" s="9"/>
    </row>
    <row r="333">
      <c r="O333" s="9"/>
      <c r="P333" s="9"/>
      <c r="Q333" s="9"/>
    </row>
    <row r="334">
      <c r="O334" s="9"/>
      <c r="P334" s="9"/>
      <c r="Q334" s="9"/>
    </row>
    <row r="335">
      <c r="O335" s="9"/>
      <c r="P335" s="9"/>
      <c r="Q335" s="9"/>
    </row>
    <row r="336">
      <c r="O336" s="9"/>
      <c r="P336" s="9"/>
      <c r="Q336" s="9"/>
    </row>
    <row r="337">
      <c r="O337" s="9"/>
      <c r="P337" s="9"/>
      <c r="Q337" s="9"/>
    </row>
    <row r="338">
      <c r="O338" s="9"/>
      <c r="P338" s="9"/>
      <c r="Q338" s="9"/>
    </row>
    <row r="339">
      <c r="O339" s="9"/>
      <c r="P339" s="9"/>
      <c r="Q339" s="9"/>
    </row>
    <row r="340">
      <c r="O340" s="9"/>
      <c r="P340" s="9"/>
      <c r="Q340" s="9"/>
    </row>
    <row r="341">
      <c r="O341" s="9"/>
      <c r="P341" s="9"/>
      <c r="Q341" s="9"/>
    </row>
    <row r="342">
      <c r="O342" s="9"/>
      <c r="P342" s="9"/>
      <c r="Q342" s="9"/>
    </row>
    <row r="343">
      <c r="O343" s="9"/>
      <c r="P343" s="9"/>
      <c r="Q343" s="9"/>
    </row>
    <row r="344">
      <c r="O344" s="9"/>
      <c r="P344" s="9"/>
      <c r="Q344" s="9"/>
    </row>
    <row r="345">
      <c r="O345" s="9"/>
      <c r="P345" s="9"/>
      <c r="Q345" s="9"/>
    </row>
    <row r="346">
      <c r="O346" s="9"/>
      <c r="P346" s="9"/>
      <c r="Q346" s="9"/>
    </row>
    <row r="347">
      <c r="O347" s="9"/>
      <c r="P347" s="9"/>
      <c r="Q347" s="9"/>
    </row>
    <row r="348">
      <c r="O348" s="9"/>
      <c r="P348" s="9"/>
      <c r="Q348" s="9"/>
    </row>
    <row r="349">
      <c r="O349" s="9"/>
      <c r="P349" s="9"/>
      <c r="Q349" s="9"/>
    </row>
    <row r="350">
      <c r="O350" s="9"/>
      <c r="P350" s="9"/>
      <c r="Q350" s="9"/>
    </row>
    <row r="351">
      <c r="O351" s="9"/>
      <c r="P351" s="9"/>
      <c r="Q351" s="9"/>
    </row>
    <row r="352">
      <c r="O352" s="9"/>
      <c r="P352" s="9"/>
      <c r="Q352" s="9"/>
    </row>
    <row r="353">
      <c r="O353" s="9"/>
      <c r="P353" s="9"/>
      <c r="Q353" s="9"/>
    </row>
    <row r="354">
      <c r="O354" s="9"/>
      <c r="P354" s="9"/>
      <c r="Q354" s="9"/>
    </row>
    <row r="355">
      <c r="O355" s="9"/>
      <c r="P355" s="9"/>
      <c r="Q355" s="9"/>
    </row>
    <row r="356">
      <c r="O356" s="9"/>
      <c r="P356" s="9"/>
      <c r="Q356" s="9"/>
    </row>
    <row r="357">
      <c r="O357" s="9"/>
      <c r="P357" s="9"/>
      <c r="Q357" s="9"/>
    </row>
    <row r="358">
      <c r="O358" s="9"/>
      <c r="P358" s="9"/>
      <c r="Q358" s="9"/>
    </row>
    <row r="359">
      <c r="O359" s="9"/>
      <c r="P359" s="9"/>
      <c r="Q359" s="9"/>
    </row>
    <row r="360">
      <c r="O360" s="9"/>
      <c r="P360" s="9"/>
      <c r="Q360" s="9"/>
    </row>
    <row r="361">
      <c r="O361" s="9"/>
      <c r="P361" s="9"/>
      <c r="Q361" s="9"/>
    </row>
    <row r="362">
      <c r="O362" s="9"/>
      <c r="P362" s="9"/>
      <c r="Q362" s="9"/>
    </row>
    <row r="363">
      <c r="O363" s="9"/>
      <c r="P363" s="9"/>
      <c r="Q363" s="9"/>
    </row>
    <row r="364">
      <c r="O364" s="9"/>
      <c r="P364" s="9"/>
      <c r="Q364" s="9"/>
    </row>
    <row r="365">
      <c r="O365" s="9"/>
      <c r="P365" s="9"/>
      <c r="Q365" s="9"/>
    </row>
    <row r="366">
      <c r="O366" s="9"/>
      <c r="P366" s="9"/>
      <c r="Q366" s="9"/>
    </row>
    <row r="367">
      <c r="O367" s="9"/>
      <c r="P367" s="9"/>
      <c r="Q367" s="9"/>
    </row>
    <row r="368">
      <c r="O368" s="9"/>
      <c r="P368" s="9"/>
      <c r="Q368" s="9"/>
    </row>
    <row r="369">
      <c r="O369" s="9"/>
      <c r="P369" s="9"/>
      <c r="Q369" s="9"/>
    </row>
    <row r="370">
      <c r="O370" s="9"/>
      <c r="P370" s="9"/>
      <c r="Q370" s="9"/>
    </row>
    <row r="371">
      <c r="O371" s="9"/>
      <c r="P371" s="9"/>
      <c r="Q371" s="9"/>
    </row>
    <row r="372">
      <c r="O372" s="9"/>
      <c r="P372" s="9"/>
      <c r="Q372" s="9"/>
    </row>
    <row r="373">
      <c r="O373" s="9"/>
      <c r="P373" s="9"/>
      <c r="Q373" s="9"/>
    </row>
    <row r="374">
      <c r="O374" s="9"/>
      <c r="P374" s="9"/>
      <c r="Q374" s="9"/>
    </row>
    <row r="375">
      <c r="O375" s="9"/>
      <c r="P375" s="9"/>
      <c r="Q375" s="9"/>
    </row>
    <row r="376">
      <c r="O376" s="9"/>
      <c r="P376" s="9"/>
      <c r="Q376" s="9"/>
    </row>
    <row r="377">
      <c r="O377" s="9"/>
      <c r="P377" s="9"/>
      <c r="Q377" s="9"/>
    </row>
    <row r="378">
      <c r="O378" s="9"/>
      <c r="P378" s="9"/>
      <c r="Q378" s="9"/>
    </row>
    <row r="379">
      <c r="O379" s="9"/>
      <c r="P379" s="9"/>
      <c r="Q379" s="9"/>
    </row>
    <row r="380">
      <c r="O380" s="9"/>
      <c r="P380" s="9"/>
      <c r="Q380" s="9"/>
    </row>
    <row r="381">
      <c r="O381" s="9"/>
      <c r="P381" s="9"/>
      <c r="Q381" s="9"/>
    </row>
    <row r="382">
      <c r="O382" s="9"/>
      <c r="P382" s="9"/>
      <c r="Q382" s="9"/>
    </row>
    <row r="383">
      <c r="O383" s="9"/>
      <c r="P383" s="9"/>
      <c r="Q383" s="9"/>
    </row>
    <row r="384">
      <c r="O384" s="9"/>
      <c r="P384" s="9"/>
      <c r="Q384" s="9"/>
    </row>
    <row r="385">
      <c r="O385" s="9"/>
      <c r="P385" s="9"/>
      <c r="Q385" s="9"/>
    </row>
    <row r="386">
      <c r="O386" s="9"/>
      <c r="P386" s="9"/>
      <c r="Q386" s="9"/>
    </row>
    <row r="387">
      <c r="O387" s="9"/>
      <c r="P387" s="9"/>
      <c r="Q387" s="9"/>
    </row>
    <row r="388">
      <c r="O388" s="9"/>
      <c r="P388" s="9"/>
      <c r="Q388" s="9"/>
    </row>
    <row r="389">
      <c r="O389" s="9"/>
      <c r="P389" s="9"/>
      <c r="Q389" s="9"/>
    </row>
    <row r="390">
      <c r="O390" s="9"/>
      <c r="P390" s="9"/>
      <c r="Q390" s="9"/>
    </row>
    <row r="391">
      <c r="O391" s="9"/>
      <c r="P391" s="9"/>
      <c r="Q391" s="9"/>
    </row>
    <row r="392">
      <c r="O392" s="9"/>
      <c r="P392" s="9"/>
      <c r="Q392" s="9"/>
    </row>
    <row r="393">
      <c r="O393" s="9"/>
      <c r="P393" s="9"/>
      <c r="Q393" s="9"/>
    </row>
    <row r="394">
      <c r="O394" s="9"/>
      <c r="P394" s="9"/>
      <c r="Q394" s="9"/>
    </row>
    <row r="395">
      <c r="O395" s="9"/>
      <c r="P395" s="9"/>
      <c r="Q395" s="9"/>
    </row>
    <row r="396">
      <c r="O396" s="9"/>
      <c r="P396" s="9"/>
      <c r="Q396" s="9"/>
    </row>
    <row r="397">
      <c r="O397" s="9"/>
      <c r="P397" s="9"/>
      <c r="Q397" s="9"/>
    </row>
    <row r="398">
      <c r="O398" s="9"/>
      <c r="P398" s="9"/>
      <c r="Q398" s="9"/>
    </row>
    <row r="399">
      <c r="O399" s="9"/>
      <c r="P399" s="9"/>
      <c r="Q399" s="9"/>
    </row>
    <row r="400">
      <c r="O400" s="9"/>
      <c r="P400" s="9"/>
      <c r="Q400" s="9"/>
    </row>
    <row r="401">
      <c r="O401" s="9"/>
      <c r="P401" s="9"/>
      <c r="Q401" s="9"/>
    </row>
    <row r="402">
      <c r="O402" s="9"/>
      <c r="P402" s="9"/>
      <c r="Q402" s="9"/>
    </row>
    <row r="403">
      <c r="O403" s="9"/>
      <c r="P403" s="9"/>
      <c r="Q403" s="9"/>
    </row>
    <row r="404">
      <c r="O404" s="9"/>
      <c r="P404" s="9"/>
      <c r="Q404" s="9"/>
    </row>
    <row r="405">
      <c r="O405" s="9"/>
      <c r="P405" s="9"/>
      <c r="Q405" s="9"/>
    </row>
    <row r="406">
      <c r="O406" s="9"/>
      <c r="P406" s="9"/>
      <c r="Q406" s="9"/>
    </row>
    <row r="407">
      <c r="O407" s="9"/>
      <c r="P407" s="9"/>
      <c r="Q407" s="9"/>
    </row>
    <row r="408">
      <c r="O408" s="9"/>
      <c r="P408" s="9"/>
      <c r="Q408" s="9"/>
    </row>
    <row r="409">
      <c r="O409" s="9"/>
      <c r="P409" s="9"/>
      <c r="Q409" s="9"/>
    </row>
    <row r="410">
      <c r="O410" s="9"/>
      <c r="P410" s="9"/>
      <c r="Q410" s="9"/>
    </row>
    <row r="411">
      <c r="O411" s="9"/>
      <c r="P411" s="9"/>
      <c r="Q411" s="9"/>
    </row>
    <row r="412">
      <c r="O412" s="9"/>
      <c r="P412" s="9"/>
      <c r="Q412" s="9"/>
    </row>
    <row r="413">
      <c r="O413" s="9"/>
      <c r="P413" s="9"/>
      <c r="Q413" s="9"/>
    </row>
    <row r="414">
      <c r="O414" s="9"/>
      <c r="P414" s="9"/>
      <c r="Q414" s="9"/>
    </row>
    <row r="415">
      <c r="O415" s="9"/>
      <c r="P415" s="9"/>
      <c r="Q415" s="9"/>
    </row>
    <row r="416">
      <c r="O416" s="9"/>
      <c r="P416" s="9"/>
      <c r="Q416" s="9"/>
    </row>
    <row r="417">
      <c r="O417" s="9"/>
      <c r="P417" s="9"/>
      <c r="Q417" s="9"/>
    </row>
    <row r="418">
      <c r="O418" s="9"/>
      <c r="P418" s="9"/>
      <c r="Q418" s="9"/>
    </row>
    <row r="419">
      <c r="O419" s="9"/>
      <c r="P419" s="9"/>
      <c r="Q419" s="9"/>
    </row>
    <row r="420">
      <c r="O420" s="9"/>
      <c r="P420" s="9"/>
      <c r="Q420" s="9"/>
    </row>
    <row r="421">
      <c r="O421" s="9"/>
      <c r="P421" s="9"/>
      <c r="Q421" s="9"/>
    </row>
    <row r="422">
      <c r="O422" s="9"/>
      <c r="P422" s="9"/>
      <c r="Q422" s="9"/>
    </row>
    <row r="423">
      <c r="O423" s="9"/>
      <c r="P423" s="9"/>
      <c r="Q423" s="9"/>
    </row>
    <row r="424">
      <c r="O424" s="9"/>
      <c r="P424" s="9"/>
      <c r="Q424" s="9"/>
    </row>
    <row r="425">
      <c r="O425" s="9"/>
      <c r="P425" s="9"/>
      <c r="Q425" s="9"/>
    </row>
    <row r="426">
      <c r="O426" s="9"/>
      <c r="P426" s="9"/>
      <c r="Q426" s="9"/>
    </row>
    <row r="427">
      <c r="O427" s="9"/>
      <c r="P427" s="9"/>
      <c r="Q427" s="9"/>
    </row>
    <row r="428">
      <c r="O428" s="9"/>
      <c r="P428" s="9"/>
      <c r="Q428" s="9"/>
    </row>
    <row r="429">
      <c r="O429" s="9"/>
      <c r="P429" s="9"/>
      <c r="Q429" s="9"/>
    </row>
    <row r="430">
      <c r="O430" s="9"/>
      <c r="P430" s="9"/>
      <c r="Q430" s="9"/>
    </row>
    <row r="431">
      <c r="O431" s="9"/>
      <c r="P431" s="9"/>
      <c r="Q431" s="9"/>
    </row>
    <row r="432">
      <c r="O432" s="9"/>
      <c r="P432" s="9"/>
      <c r="Q432" s="9"/>
    </row>
    <row r="433">
      <c r="O433" s="9"/>
      <c r="P433" s="9"/>
      <c r="Q433" s="9"/>
    </row>
    <row r="434">
      <c r="O434" s="9"/>
      <c r="P434" s="9"/>
      <c r="Q434" s="9"/>
    </row>
    <row r="435">
      <c r="O435" s="9"/>
      <c r="P435" s="9"/>
      <c r="Q435" s="9"/>
    </row>
    <row r="436">
      <c r="O436" s="9"/>
      <c r="P436" s="9"/>
      <c r="Q436" s="9"/>
    </row>
    <row r="437">
      <c r="O437" s="9"/>
      <c r="P437" s="9"/>
      <c r="Q437" s="9"/>
    </row>
    <row r="438">
      <c r="O438" s="9"/>
      <c r="P438" s="9"/>
      <c r="Q438" s="9"/>
    </row>
    <row r="439">
      <c r="O439" s="9"/>
      <c r="P439" s="9"/>
      <c r="Q439" s="9"/>
    </row>
    <row r="440">
      <c r="O440" s="9"/>
      <c r="P440" s="9"/>
      <c r="Q440" s="9"/>
    </row>
    <row r="441">
      <c r="O441" s="9"/>
      <c r="P441" s="9"/>
      <c r="Q441" s="9"/>
    </row>
    <row r="442">
      <c r="O442" s="9"/>
      <c r="P442" s="9"/>
      <c r="Q442" s="9"/>
    </row>
    <row r="443">
      <c r="O443" s="9"/>
      <c r="P443" s="9"/>
      <c r="Q443" s="9"/>
    </row>
    <row r="444">
      <c r="O444" s="9"/>
      <c r="P444" s="9"/>
      <c r="Q444" s="9"/>
    </row>
    <row r="445">
      <c r="O445" s="9"/>
      <c r="P445" s="9"/>
      <c r="Q445" s="9"/>
    </row>
    <row r="446">
      <c r="O446" s="9"/>
      <c r="P446" s="9"/>
      <c r="Q446" s="9"/>
    </row>
    <row r="447">
      <c r="O447" s="9"/>
      <c r="P447" s="9"/>
      <c r="Q447" s="9"/>
    </row>
    <row r="448">
      <c r="O448" s="9"/>
      <c r="P448" s="9"/>
      <c r="Q448" s="9"/>
    </row>
    <row r="449">
      <c r="O449" s="9"/>
      <c r="P449" s="9"/>
      <c r="Q449" s="9"/>
    </row>
    <row r="450">
      <c r="O450" s="9"/>
      <c r="P450" s="9"/>
      <c r="Q450" s="9"/>
    </row>
    <row r="451">
      <c r="O451" s="9"/>
      <c r="P451" s="9"/>
      <c r="Q451" s="9"/>
    </row>
    <row r="452">
      <c r="O452" s="9"/>
      <c r="P452" s="9"/>
      <c r="Q452" s="9"/>
    </row>
    <row r="453">
      <c r="O453" s="9"/>
      <c r="P453" s="9"/>
      <c r="Q453" s="9"/>
    </row>
    <row r="454">
      <c r="O454" s="9"/>
      <c r="P454" s="9"/>
      <c r="Q454" s="9"/>
    </row>
    <row r="455">
      <c r="O455" s="9"/>
      <c r="P455" s="9"/>
      <c r="Q455" s="9"/>
    </row>
    <row r="456">
      <c r="O456" s="9"/>
      <c r="P456" s="9"/>
      <c r="Q456" s="9"/>
    </row>
    <row r="457">
      <c r="O457" s="9"/>
      <c r="P457" s="9"/>
      <c r="Q457" s="9"/>
    </row>
    <row r="458">
      <c r="O458" s="9"/>
      <c r="P458" s="9"/>
      <c r="Q458" s="9"/>
    </row>
    <row r="459">
      <c r="O459" s="9"/>
      <c r="P459" s="9"/>
      <c r="Q459" s="9"/>
    </row>
    <row r="460">
      <c r="O460" s="9"/>
      <c r="P460" s="9"/>
      <c r="Q460" s="9"/>
    </row>
    <row r="461">
      <c r="O461" s="9"/>
      <c r="P461" s="9"/>
      <c r="Q461" s="9"/>
    </row>
    <row r="462">
      <c r="O462" s="9"/>
      <c r="P462" s="9"/>
      <c r="Q462" s="9"/>
    </row>
    <row r="463">
      <c r="O463" s="9"/>
      <c r="P463" s="9"/>
      <c r="Q463" s="9"/>
    </row>
    <row r="464">
      <c r="O464" s="9"/>
      <c r="P464" s="9"/>
      <c r="Q464" s="9"/>
    </row>
    <row r="465">
      <c r="O465" s="9"/>
      <c r="P465" s="9"/>
      <c r="Q465" s="9"/>
    </row>
    <row r="466">
      <c r="O466" s="9"/>
      <c r="P466" s="9"/>
      <c r="Q466" s="9"/>
    </row>
    <row r="467">
      <c r="O467" s="9"/>
      <c r="P467" s="9"/>
      <c r="Q467" s="9"/>
    </row>
    <row r="468">
      <c r="O468" s="9"/>
      <c r="P468" s="9"/>
      <c r="Q468" s="9"/>
    </row>
    <row r="469">
      <c r="O469" s="9"/>
      <c r="P469" s="9"/>
      <c r="Q469" s="9"/>
    </row>
    <row r="470">
      <c r="O470" s="9"/>
      <c r="P470" s="9"/>
      <c r="Q470" s="9"/>
    </row>
    <row r="471">
      <c r="O471" s="9"/>
      <c r="P471" s="9"/>
      <c r="Q471" s="9"/>
    </row>
    <row r="472">
      <c r="O472" s="9"/>
      <c r="P472" s="9"/>
      <c r="Q472" s="9"/>
    </row>
    <row r="473">
      <c r="O473" s="9"/>
      <c r="P473" s="9"/>
      <c r="Q473" s="9"/>
    </row>
    <row r="474">
      <c r="O474" s="9"/>
      <c r="P474" s="9"/>
      <c r="Q474" s="9"/>
    </row>
    <row r="475">
      <c r="O475" s="9"/>
      <c r="P475" s="9"/>
      <c r="Q475" s="9"/>
    </row>
    <row r="476">
      <c r="O476" s="9"/>
      <c r="P476" s="9"/>
      <c r="Q476" s="9"/>
    </row>
    <row r="477">
      <c r="O477" s="9"/>
      <c r="P477" s="9"/>
      <c r="Q477" s="9"/>
    </row>
    <row r="478">
      <c r="O478" s="9"/>
      <c r="P478" s="9"/>
      <c r="Q478" s="9"/>
    </row>
    <row r="479">
      <c r="O479" s="9"/>
      <c r="P479" s="9"/>
      <c r="Q479" s="9"/>
    </row>
    <row r="480">
      <c r="O480" s="9"/>
      <c r="P480" s="9"/>
      <c r="Q480" s="9"/>
    </row>
    <row r="481">
      <c r="O481" s="9"/>
      <c r="P481" s="9"/>
      <c r="Q481" s="9"/>
    </row>
    <row r="482">
      <c r="O482" s="9"/>
      <c r="P482" s="9"/>
      <c r="Q482" s="9"/>
    </row>
    <row r="483">
      <c r="O483" s="9"/>
      <c r="P483" s="9"/>
      <c r="Q483" s="9"/>
    </row>
    <row r="484">
      <c r="O484" s="9"/>
      <c r="P484" s="9"/>
      <c r="Q484" s="9"/>
    </row>
    <row r="485">
      <c r="O485" s="9"/>
      <c r="P485" s="9"/>
      <c r="Q485" s="9"/>
    </row>
    <row r="486">
      <c r="O486" s="9"/>
      <c r="P486" s="9"/>
      <c r="Q486" s="9"/>
    </row>
    <row r="487">
      <c r="O487" s="9"/>
      <c r="P487" s="9"/>
      <c r="Q487" s="9"/>
    </row>
    <row r="488">
      <c r="O488" s="9"/>
      <c r="P488" s="9"/>
      <c r="Q488" s="9"/>
    </row>
    <row r="489">
      <c r="O489" s="9"/>
      <c r="P489" s="9"/>
      <c r="Q489" s="9"/>
    </row>
    <row r="490">
      <c r="O490" s="9"/>
      <c r="P490" s="9"/>
      <c r="Q490" s="9"/>
    </row>
    <row r="491">
      <c r="O491" s="9"/>
      <c r="P491" s="9"/>
      <c r="Q491" s="9"/>
    </row>
    <row r="492">
      <c r="O492" s="9"/>
      <c r="P492" s="9"/>
      <c r="Q492" s="9"/>
    </row>
    <row r="493">
      <c r="O493" s="9"/>
      <c r="P493" s="9"/>
      <c r="Q493" s="9"/>
    </row>
    <row r="494">
      <c r="O494" s="9"/>
      <c r="P494" s="9"/>
      <c r="Q494" s="9"/>
    </row>
    <row r="495">
      <c r="O495" s="9"/>
      <c r="P495" s="9"/>
      <c r="Q495" s="9"/>
    </row>
    <row r="496">
      <c r="O496" s="9"/>
      <c r="P496" s="9"/>
      <c r="Q496" s="9"/>
    </row>
    <row r="497">
      <c r="O497" s="9"/>
      <c r="P497" s="9"/>
      <c r="Q497" s="9"/>
    </row>
    <row r="498">
      <c r="O498" s="9"/>
      <c r="P498" s="9"/>
      <c r="Q498" s="9"/>
    </row>
    <row r="499">
      <c r="O499" s="9"/>
      <c r="P499" s="9"/>
      <c r="Q499" s="9"/>
    </row>
    <row r="500">
      <c r="O500" s="9"/>
      <c r="P500" s="9"/>
      <c r="Q500" s="9"/>
    </row>
    <row r="501">
      <c r="O501" s="9"/>
      <c r="P501" s="9"/>
      <c r="Q501" s="9"/>
    </row>
    <row r="502">
      <c r="O502" s="9"/>
      <c r="P502" s="9"/>
      <c r="Q502" s="9"/>
    </row>
    <row r="503">
      <c r="O503" s="9"/>
      <c r="P503" s="9"/>
      <c r="Q503" s="9"/>
    </row>
    <row r="504">
      <c r="O504" s="9"/>
      <c r="P504" s="9"/>
      <c r="Q504" s="9"/>
    </row>
    <row r="505">
      <c r="O505" s="9"/>
      <c r="P505" s="9"/>
      <c r="Q505" s="9"/>
    </row>
    <row r="506">
      <c r="O506" s="9"/>
      <c r="P506" s="9"/>
      <c r="Q506" s="9"/>
    </row>
    <row r="507">
      <c r="O507" s="9"/>
      <c r="P507" s="9"/>
      <c r="Q507" s="9"/>
    </row>
    <row r="508">
      <c r="O508" s="9"/>
      <c r="P508" s="9"/>
      <c r="Q508" s="9"/>
    </row>
    <row r="509">
      <c r="O509" s="9"/>
      <c r="P509" s="9"/>
      <c r="Q509" s="9"/>
    </row>
    <row r="510">
      <c r="O510" s="9"/>
      <c r="P510" s="9"/>
      <c r="Q510" s="9"/>
    </row>
    <row r="511">
      <c r="O511" s="9"/>
      <c r="P511" s="9"/>
      <c r="Q511" s="9"/>
    </row>
    <row r="512">
      <c r="O512" s="9"/>
      <c r="P512" s="9"/>
      <c r="Q512" s="9"/>
    </row>
    <row r="513">
      <c r="O513" s="9"/>
      <c r="P513" s="9"/>
      <c r="Q513" s="9"/>
    </row>
    <row r="514">
      <c r="O514" s="9"/>
      <c r="P514" s="9"/>
      <c r="Q514" s="9"/>
    </row>
    <row r="515">
      <c r="O515" s="9"/>
      <c r="P515" s="9"/>
      <c r="Q515" s="9"/>
    </row>
    <row r="516">
      <c r="O516" s="9"/>
      <c r="P516" s="9"/>
      <c r="Q516" s="9"/>
    </row>
    <row r="517">
      <c r="O517" s="9"/>
      <c r="P517" s="9"/>
      <c r="Q517" s="9"/>
    </row>
    <row r="518">
      <c r="O518" s="9"/>
      <c r="P518" s="9"/>
      <c r="Q518" s="9"/>
    </row>
    <row r="519">
      <c r="O519" s="9"/>
      <c r="P519" s="9"/>
      <c r="Q519" s="9"/>
    </row>
    <row r="520">
      <c r="O520" s="9"/>
      <c r="P520" s="9"/>
      <c r="Q520" s="9"/>
    </row>
    <row r="521">
      <c r="O521" s="9"/>
      <c r="P521" s="9"/>
      <c r="Q521" s="9"/>
    </row>
    <row r="522">
      <c r="O522" s="9"/>
      <c r="P522" s="9"/>
      <c r="Q522" s="9"/>
    </row>
    <row r="523">
      <c r="O523" s="9"/>
      <c r="P523" s="9"/>
      <c r="Q523" s="9"/>
    </row>
    <row r="524">
      <c r="O524" s="9"/>
      <c r="P524" s="9"/>
      <c r="Q524" s="9"/>
    </row>
    <row r="525">
      <c r="O525" s="9"/>
      <c r="P525" s="9"/>
      <c r="Q525" s="9"/>
    </row>
    <row r="526">
      <c r="O526" s="9"/>
      <c r="P526" s="9"/>
      <c r="Q526" s="9"/>
    </row>
    <row r="527">
      <c r="O527" s="9"/>
      <c r="P527" s="9"/>
      <c r="Q527" s="9"/>
    </row>
    <row r="528">
      <c r="O528" s="9"/>
      <c r="P528" s="9"/>
      <c r="Q528" s="9"/>
    </row>
    <row r="529">
      <c r="O529" s="9"/>
      <c r="P529" s="9"/>
      <c r="Q529" s="9"/>
    </row>
    <row r="530">
      <c r="O530" s="9"/>
      <c r="P530" s="9"/>
      <c r="Q530" s="9"/>
    </row>
    <row r="531">
      <c r="O531" s="9"/>
      <c r="P531" s="9"/>
      <c r="Q531" s="9"/>
    </row>
    <row r="532">
      <c r="O532" s="9"/>
      <c r="P532" s="9"/>
      <c r="Q532" s="9"/>
    </row>
    <row r="533">
      <c r="O533" s="9"/>
      <c r="P533" s="9"/>
      <c r="Q533" s="9"/>
    </row>
    <row r="534">
      <c r="O534" s="9"/>
      <c r="P534" s="9"/>
      <c r="Q534" s="9"/>
    </row>
    <row r="535">
      <c r="O535" s="9"/>
      <c r="P535" s="9"/>
      <c r="Q535" s="9"/>
    </row>
    <row r="536">
      <c r="O536" s="9"/>
      <c r="P536" s="9"/>
      <c r="Q536" s="9"/>
    </row>
    <row r="537">
      <c r="O537" s="9"/>
      <c r="P537" s="9"/>
      <c r="Q537" s="9"/>
    </row>
    <row r="538">
      <c r="O538" s="9"/>
      <c r="P538" s="9"/>
      <c r="Q538" s="9"/>
    </row>
    <row r="539">
      <c r="O539" s="9"/>
      <c r="P539" s="9"/>
      <c r="Q539" s="9"/>
    </row>
    <row r="540">
      <c r="O540" s="9"/>
      <c r="P540" s="9"/>
      <c r="Q540" s="9"/>
    </row>
    <row r="541">
      <c r="O541" s="9"/>
      <c r="P541" s="9"/>
      <c r="Q541" s="9"/>
    </row>
    <row r="542">
      <c r="O542" s="9"/>
      <c r="P542" s="9"/>
      <c r="Q542" s="9"/>
    </row>
    <row r="543">
      <c r="O543" s="9"/>
      <c r="P543" s="9"/>
      <c r="Q543" s="9"/>
    </row>
    <row r="544">
      <c r="O544" s="9"/>
      <c r="P544" s="9"/>
      <c r="Q544" s="9"/>
    </row>
    <row r="545">
      <c r="O545" s="9"/>
      <c r="P545" s="9"/>
      <c r="Q545" s="9"/>
    </row>
    <row r="546">
      <c r="O546" s="9"/>
      <c r="P546" s="9"/>
      <c r="Q546" s="9"/>
    </row>
    <row r="547">
      <c r="O547" s="9"/>
      <c r="P547" s="9"/>
      <c r="Q547" s="9"/>
    </row>
    <row r="548">
      <c r="O548" s="9"/>
      <c r="P548" s="9"/>
      <c r="Q548" s="9"/>
    </row>
    <row r="549">
      <c r="O549" s="9"/>
      <c r="P549" s="9"/>
      <c r="Q549" s="9"/>
    </row>
    <row r="550">
      <c r="O550" s="9"/>
      <c r="P550" s="9"/>
      <c r="Q550" s="9"/>
    </row>
    <row r="551">
      <c r="O551" s="9"/>
      <c r="P551" s="9"/>
      <c r="Q551" s="9"/>
    </row>
    <row r="552">
      <c r="O552" s="9"/>
      <c r="P552" s="9"/>
      <c r="Q552" s="9"/>
    </row>
    <row r="553">
      <c r="O553" s="9"/>
      <c r="P553" s="9"/>
      <c r="Q553" s="9"/>
    </row>
    <row r="554">
      <c r="O554" s="9"/>
      <c r="P554" s="9"/>
      <c r="Q554" s="9"/>
    </row>
    <row r="555">
      <c r="O555" s="9"/>
      <c r="P555" s="9"/>
      <c r="Q555" s="9"/>
    </row>
    <row r="556">
      <c r="O556" s="9"/>
      <c r="P556" s="9"/>
      <c r="Q556" s="9"/>
    </row>
    <row r="557">
      <c r="O557" s="9"/>
      <c r="P557" s="9"/>
      <c r="Q557" s="9"/>
    </row>
    <row r="558">
      <c r="O558" s="9"/>
      <c r="P558" s="9"/>
      <c r="Q558" s="9"/>
    </row>
    <row r="559">
      <c r="O559" s="9"/>
      <c r="P559" s="9"/>
      <c r="Q559" s="9"/>
    </row>
    <row r="560">
      <c r="O560" s="9"/>
      <c r="P560" s="9"/>
      <c r="Q560" s="9"/>
    </row>
    <row r="561">
      <c r="O561" s="9"/>
      <c r="P561" s="9"/>
      <c r="Q561" s="9"/>
    </row>
    <row r="562">
      <c r="O562" s="9"/>
      <c r="P562" s="9"/>
      <c r="Q562" s="9"/>
    </row>
    <row r="563">
      <c r="O563" s="9"/>
      <c r="P563" s="9"/>
      <c r="Q563" s="9"/>
    </row>
    <row r="564">
      <c r="O564" s="9"/>
      <c r="P564" s="9"/>
      <c r="Q564" s="9"/>
    </row>
    <row r="565">
      <c r="O565" s="9"/>
      <c r="P565" s="9"/>
      <c r="Q565" s="9"/>
    </row>
    <row r="566">
      <c r="O566" s="9"/>
      <c r="P566" s="9"/>
      <c r="Q566" s="9"/>
    </row>
    <row r="567">
      <c r="O567" s="9"/>
      <c r="P567" s="9"/>
      <c r="Q567" s="9"/>
    </row>
    <row r="568">
      <c r="O568" s="9"/>
      <c r="P568" s="9"/>
      <c r="Q568" s="9"/>
    </row>
    <row r="569">
      <c r="O569" s="9"/>
      <c r="P569" s="9"/>
      <c r="Q569" s="9"/>
    </row>
    <row r="570">
      <c r="O570" s="9"/>
      <c r="P570" s="9"/>
      <c r="Q570" s="9"/>
    </row>
    <row r="571">
      <c r="O571" s="9"/>
      <c r="P571" s="9"/>
      <c r="Q571" s="9"/>
    </row>
    <row r="572">
      <c r="O572" s="9"/>
      <c r="P572" s="9"/>
      <c r="Q572" s="9"/>
    </row>
    <row r="573">
      <c r="O573" s="9"/>
      <c r="P573" s="9"/>
      <c r="Q573" s="9"/>
    </row>
    <row r="574">
      <c r="O574" s="9"/>
      <c r="P574" s="9"/>
      <c r="Q574" s="9"/>
    </row>
    <row r="575">
      <c r="O575" s="9"/>
      <c r="P575" s="9"/>
      <c r="Q575" s="9"/>
    </row>
    <row r="576">
      <c r="O576" s="9"/>
      <c r="P576" s="9"/>
      <c r="Q576" s="9"/>
    </row>
    <row r="577">
      <c r="O577" s="9"/>
      <c r="P577" s="9"/>
      <c r="Q577" s="9"/>
    </row>
    <row r="578">
      <c r="O578" s="9"/>
      <c r="P578" s="9"/>
      <c r="Q578" s="9"/>
    </row>
    <row r="579">
      <c r="O579" s="9"/>
      <c r="P579" s="9"/>
      <c r="Q579" s="9"/>
    </row>
    <row r="580">
      <c r="O580" s="9"/>
      <c r="P580" s="9"/>
      <c r="Q580" s="9"/>
    </row>
    <row r="581">
      <c r="O581" s="9"/>
      <c r="P581" s="9"/>
      <c r="Q581" s="9"/>
    </row>
    <row r="582">
      <c r="O582" s="9"/>
      <c r="P582" s="9"/>
      <c r="Q582" s="9"/>
    </row>
    <row r="583">
      <c r="O583" s="9"/>
      <c r="P583" s="9"/>
      <c r="Q583" s="9"/>
    </row>
    <row r="584">
      <c r="O584" s="9"/>
      <c r="P584" s="9"/>
      <c r="Q584" s="9"/>
    </row>
    <row r="585">
      <c r="O585" s="9"/>
      <c r="P585" s="9"/>
      <c r="Q585" s="9"/>
    </row>
    <row r="586">
      <c r="O586" s="9"/>
      <c r="P586" s="9"/>
      <c r="Q586" s="9"/>
    </row>
    <row r="587">
      <c r="O587" s="9"/>
      <c r="P587" s="9"/>
      <c r="Q587" s="9"/>
    </row>
    <row r="588">
      <c r="O588" s="9"/>
      <c r="P588" s="9"/>
      <c r="Q588" s="9"/>
    </row>
    <row r="589">
      <c r="O589" s="9"/>
      <c r="P589" s="9"/>
      <c r="Q589" s="9"/>
    </row>
    <row r="590">
      <c r="O590" s="9"/>
      <c r="P590" s="9"/>
      <c r="Q590" s="9"/>
    </row>
    <row r="591">
      <c r="O591" s="9"/>
      <c r="P591" s="9"/>
      <c r="Q591" s="9"/>
    </row>
    <row r="592">
      <c r="O592" s="9"/>
      <c r="P592" s="9"/>
      <c r="Q592" s="9"/>
    </row>
    <row r="593">
      <c r="O593" s="9"/>
      <c r="P593" s="9"/>
      <c r="Q593" s="9"/>
    </row>
    <row r="594">
      <c r="O594" s="9"/>
      <c r="P594" s="9"/>
      <c r="Q594" s="9"/>
    </row>
    <row r="595">
      <c r="O595" s="9"/>
      <c r="P595" s="9"/>
      <c r="Q595" s="9"/>
    </row>
    <row r="596">
      <c r="O596" s="9"/>
      <c r="P596" s="9"/>
      <c r="Q596" s="9"/>
    </row>
    <row r="597">
      <c r="O597" s="9"/>
      <c r="P597" s="9"/>
      <c r="Q597" s="9"/>
    </row>
    <row r="598">
      <c r="O598" s="9"/>
      <c r="P598" s="9"/>
      <c r="Q598" s="9"/>
    </row>
    <row r="599">
      <c r="O599" s="9"/>
      <c r="P599" s="9"/>
      <c r="Q599" s="9"/>
    </row>
    <row r="600">
      <c r="O600" s="9"/>
      <c r="P600" s="9"/>
      <c r="Q600" s="9"/>
    </row>
    <row r="601">
      <c r="O601" s="9"/>
      <c r="P601" s="9"/>
      <c r="Q601" s="9"/>
    </row>
    <row r="602">
      <c r="O602" s="9"/>
      <c r="P602" s="9"/>
      <c r="Q602" s="9"/>
    </row>
    <row r="603">
      <c r="O603" s="9"/>
      <c r="P603" s="9"/>
      <c r="Q603" s="9"/>
    </row>
    <row r="604">
      <c r="O604" s="9"/>
      <c r="P604" s="9"/>
      <c r="Q604" s="9"/>
    </row>
    <row r="605">
      <c r="O605" s="9"/>
      <c r="P605" s="9"/>
      <c r="Q605" s="9"/>
    </row>
    <row r="606">
      <c r="O606" s="9"/>
      <c r="P606" s="9"/>
      <c r="Q606" s="9"/>
    </row>
    <row r="607">
      <c r="O607" s="9"/>
      <c r="P607" s="9"/>
      <c r="Q607" s="9"/>
    </row>
    <row r="608">
      <c r="O608" s="9"/>
      <c r="P608" s="9"/>
      <c r="Q608" s="9"/>
    </row>
    <row r="609">
      <c r="O609" s="9"/>
      <c r="P609" s="9"/>
      <c r="Q609" s="9"/>
    </row>
    <row r="610">
      <c r="O610" s="9"/>
      <c r="P610" s="9"/>
      <c r="Q610" s="9"/>
    </row>
    <row r="611">
      <c r="O611" s="9"/>
      <c r="P611" s="9"/>
      <c r="Q611" s="9"/>
    </row>
    <row r="612">
      <c r="O612" s="9"/>
      <c r="P612" s="9"/>
      <c r="Q612" s="9"/>
    </row>
    <row r="613">
      <c r="O613" s="9"/>
      <c r="P613" s="9"/>
      <c r="Q613" s="9"/>
    </row>
    <row r="614">
      <c r="O614" s="9"/>
      <c r="P614" s="9"/>
      <c r="Q614" s="9"/>
    </row>
    <row r="615">
      <c r="O615" s="9"/>
      <c r="P615" s="9"/>
      <c r="Q615" s="9"/>
    </row>
    <row r="616">
      <c r="O616" s="9"/>
      <c r="P616" s="9"/>
      <c r="Q616" s="9"/>
    </row>
    <row r="617">
      <c r="O617" s="9"/>
      <c r="P617" s="9"/>
      <c r="Q617" s="9"/>
    </row>
    <row r="618">
      <c r="O618" s="9"/>
      <c r="P618" s="9"/>
      <c r="Q618" s="9"/>
    </row>
    <row r="619">
      <c r="O619" s="9"/>
      <c r="P619" s="9"/>
      <c r="Q619" s="9"/>
    </row>
    <row r="620">
      <c r="O620" s="9"/>
      <c r="P620" s="9"/>
      <c r="Q620" s="9"/>
    </row>
    <row r="621">
      <c r="O621" s="9"/>
      <c r="P621" s="9"/>
      <c r="Q621" s="9"/>
    </row>
    <row r="622">
      <c r="O622" s="9"/>
      <c r="P622" s="9"/>
      <c r="Q622" s="9"/>
    </row>
    <row r="623">
      <c r="O623" s="9"/>
      <c r="P623" s="9"/>
      <c r="Q623" s="9"/>
    </row>
    <row r="624">
      <c r="O624" s="9"/>
      <c r="P624" s="9"/>
      <c r="Q624" s="9"/>
    </row>
    <row r="625">
      <c r="O625" s="9"/>
      <c r="P625" s="9"/>
      <c r="Q625" s="9"/>
    </row>
    <row r="626">
      <c r="O626" s="9"/>
      <c r="P626" s="9"/>
      <c r="Q626" s="9"/>
    </row>
    <row r="627">
      <c r="O627" s="9"/>
      <c r="P627" s="9"/>
      <c r="Q627" s="9"/>
    </row>
    <row r="628">
      <c r="O628" s="9"/>
      <c r="P628" s="9"/>
      <c r="Q628" s="9"/>
    </row>
    <row r="629">
      <c r="O629" s="9"/>
      <c r="P629" s="9"/>
      <c r="Q629" s="9"/>
    </row>
    <row r="630">
      <c r="O630" s="9"/>
      <c r="P630" s="9"/>
      <c r="Q630" s="9"/>
    </row>
    <row r="631">
      <c r="O631" s="9"/>
      <c r="P631" s="9"/>
      <c r="Q631" s="9"/>
    </row>
    <row r="632">
      <c r="O632" s="9"/>
      <c r="P632" s="9"/>
      <c r="Q632" s="9"/>
    </row>
    <row r="633">
      <c r="O633" s="9"/>
      <c r="P633" s="9"/>
      <c r="Q633" s="9"/>
    </row>
    <row r="634">
      <c r="O634" s="9"/>
      <c r="P634" s="9"/>
      <c r="Q634" s="9"/>
    </row>
    <row r="635">
      <c r="O635" s="9"/>
      <c r="P635" s="9"/>
      <c r="Q635" s="9"/>
    </row>
    <row r="636">
      <c r="O636" s="9"/>
      <c r="P636" s="9"/>
      <c r="Q636" s="9"/>
    </row>
    <row r="637">
      <c r="O637" s="9"/>
      <c r="P637" s="9"/>
      <c r="Q637" s="9"/>
    </row>
    <row r="638">
      <c r="O638" s="9"/>
      <c r="P638" s="9"/>
      <c r="Q638" s="9"/>
    </row>
    <row r="639">
      <c r="O639" s="9"/>
      <c r="P639" s="9"/>
      <c r="Q639" s="9"/>
    </row>
    <row r="640">
      <c r="O640" s="9"/>
      <c r="P640" s="9"/>
      <c r="Q640" s="9"/>
    </row>
    <row r="641">
      <c r="O641" s="9"/>
      <c r="P641" s="9"/>
      <c r="Q641" s="9"/>
    </row>
    <row r="642">
      <c r="O642" s="9"/>
      <c r="P642" s="9"/>
      <c r="Q642" s="9"/>
    </row>
    <row r="643">
      <c r="O643" s="9"/>
      <c r="P643" s="9"/>
      <c r="Q643" s="9"/>
    </row>
    <row r="644">
      <c r="O644" s="9"/>
      <c r="P644" s="9"/>
      <c r="Q644" s="9"/>
    </row>
    <row r="645">
      <c r="O645" s="9"/>
      <c r="P645" s="9"/>
      <c r="Q645" s="9"/>
    </row>
    <row r="646">
      <c r="O646" s="9"/>
      <c r="P646" s="9"/>
      <c r="Q646" s="9"/>
    </row>
    <row r="647">
      <c r="O647" s="9"/>
      <c r="P647" s="9"/>
      <c r="Q647" s="9"/>
    </row>
    <row r="648">
      <c r="O648" s="9"/>
      <c r="P648" s="9"/>
      <c r="Q648" s="9"/>
    </row>
    <row r="649">
      <c r="O649" s="9"/>
      <c r="P649" s="9"/>
      <c r="Q649" s="9"/>
    </row>
    <row r="650">
      <c r="O650" s="9"/>
      <c r="P650" s="9"/>
      <c r="Q650" s="9"/>
    </row>
    <row r="651">
      <c r="O651" s="9"/>
      <c r="P651" s="9"/>
      <c r="Q651" s="9"/>
    </row>
    <row r="652">
      <c r="O652" s="9"/>
      <c r="P652" s="9"/>
      <c r="Q652" s="9"/>
    </row>
    <row r="653">
      <c r="O653" s="9"/>
      <c r="P653" s="9"/>
      <c r="Q653" s="9"/>
    </row>
    <row r="654">
      <c r="O654" s="9"/>
      <c r="P654" s="9"/>
      <c r="Q654" s="9"/>
    </row>
    <row r="655">
      <c r="O655" s="9"/>
      <c r="P655" s="9"/>
      <c r="Q655" s="9"/>
    </row>
    <row r="656">
      <c r="O656" s="9"/>
      <c r="P656" s="9"/>
      <c r="Q656" s="9"/>
    </row>
    <row r="657">
      <c r="O657" s="9"/>
      <c r="P657" s="9"/>
      <c r="Q657" s="9"/>
    </row>
    <row r="658">
      <c r="O658" s="9"/>
      <c r="P658" s="9"/>
      <c r="Q658" s="9"/>
    </row>
    <row r="659">
      <c r="O659" s="9"/>
      <c r="P659" s="9"/>
      <c r="Q659" s="9"/>
    </row>
    <row r="660">
      <c r="O660" s="9"/>
      <c r="P660" s="9"/>
      <c r="Q660" s="9"/>
    </row>
    <row r="661">
      <c r="O661" s="9"/>
      <c r="P661" s="9"/>
      <c r="Q661" s="9"/>
    </row>
    <row r="662">
      <c r="O662" s="9"/>
      <c r="P662" s="9"/>
      <c r="Q662" s="9"/>
    </row>
    <row r="663">
      <c r="O663" s="9"/>
      <c r="P663" s="9"/>
      <c r="Q663" s="9"/>
    </row>
    <row r="664">
      <c r="O664" s="9"/>
      <c r="P664" s="9"/>
      <c r="Q664" s="9"/>
    </row>
    <row r="665">
      <c r="O665" s="9"/>
      <c r="P665" s="9"/>
      <c r="Q665" s="9"/>
    </row>
    <row r="666">
      <c r="O666" s="9"/>
      <c r="P666" s="9"/>
      <c r="Q666" s="9"/>
    </row>
    <row r="667">
      <c r="O667" s="9"/>
      <c r="P667" s="9"/>
      <c r="Q667" s="9"/>
    </row>
    <row r="668">
      <c r="O668" s="9"/>
      <c r="P668" s="9"/>
      <c r="Q668" s="9"/>
    </row>
    <row r="669">
      <c r="O669" s="9"/>
      <c r="P669" s="9"/>
      <c r="Q669" s="9"/>
    </row>
    <row r="670">
      <c r="O670" s="9"/>
      <c r="P670" s="9"/>
      <c r="Q670" s="9"/>
    </row>
    <row r="671">
      <c r="O671" s="9"/>
      <c r="P671" s="9"/>
      <c r="Q671" s="9"/>
    </row>
    <row r="672">
      <c r="O672" s="9"/>
      <c r="P672" s="9"/>
      <c r="Q672" s="9"/>
    </row>
    <row r="673">
      <c r="O673" s="9"/>
      <c r="P673" s="9"/>
      <c r="Q673" s="9"/>
    </row>
    <row r="674">
      <c r="O674" s="9"/>
      <c r="P674" s="9"/>
      <c r="Q674" s="9"/>
    </row>
    <row r="675">
      <c r="O675" s="9"/>
      <c r="P675" s="9"/>
      <c r="Q675" s="9"/>
    </row>
    <row r="676">
      <c r="O676" s="9"/>
      <c r="P676" s="9"/>
      <c r="Q676" s="9"/>
    </row>
    <row r="677">
      <c r="O677" s="9"/>
      <c r="P677" s="9"/>
      <c r="Q677" s="9"/>
    </row>
    <row r="678">
      <c r="O678" s="9"/>
      <c r="P678" s="9"/>
      <c r="Q678" s="9"/>
    </row>
    <row r="679">
      <c r="O679" s="9"/>
      <c r="P679" s="9"/>
      <c r="Q679" s="9"/>
    </row>
    <row r="680">
      <c r="O680" s="9"/>
      <c r="P680" s="9"/>
      <c r="Q680" s="9"/>
    </row>
    <row r="681">
      <c r="O681" s="9"/>
      <c r="P681" s="9"/>
      <c r="Q681" s="9"/>
    </row>
    <row r="682">
      <c r="O682" s="9"/>
      <c r="P682" s="9"/>
      <c r="Q682" s="9"/>
    </row>
    <row r="683">
      <c r="O683" s="9"/>
      <c r="P683" s="9"/>
      <c r="Q683" s="9"/>
    </row>
    <row r="684">
      <c r="O684" s="9"/>
      <c r="P684" s="9"/>
      <c r="Q684" s="9"/>
    </row>
    <row r="685">
      <c r="O685" s="9"/>
      <c r="P685" s="9"/>
      <c r="Q685" s="9"/>
    </row>
    <row r="686">
      <c r="O686" s="9"/>
      <c r="P686" s="9"/>
      <c r="Q686" s="9"/>
    </row>
    <row r="687">
      <c r="O687" s="9"/>
      <c r="P687" s="9"/>
      <c r="Q687" s="9"/>
    </row>
    <row r="688">
      <c r="O688" s="9"/>
      <c r="P688" s="9"/>
      <c r="Q688" s="9"/>
    </row>
    <row r="689">
      <c r="O689" s="9"/>
      <c r="P689" s="9"/>
      <c r="Q689" s="9"/>
    </row>
    <row r="690">
      <c r="O690" s="9"/>
      <c r="P690" s="9"/>
      <c r="Q690" s="9"/>
    </row>
    <row r="691">
      <c r="O691" s="9"/>
      <c r="P691" s="9"/>
      <c r="Q691" s="9"/>
    </row>
    <row r="692">
      <c r="O692" s="9"/>
      <c r="P692" s="9"/>
      <c r="Q692" s="9"/>
    </row>
    <row r="693">
      <c r="O693" s="9"/>
      <c r="P693" s="9"/>
      <c r="Q693" s="9"/>
    </row>
    <row r="694">
      <c r="O694" s="9"/>
      <c r="P694" s="9"/>
      <c r="Q694" s="9"/>
    </row>
    <row r="695">
      <c r="O695" s="9"/>
      <c r="P695" s="9"/>
      <c r="Q695" s="9"/>
    </row>
    <row r="696">
      <c r="O696" s="9"/>
      <c r="P696" s="9"/>
      <c r="Q696" s="9"/>
    </row>
    <row r="697">
      <c r="O697" s="9"/>
      <c r="P697" s="9"/>
      <c r="Q697" s="9"/>
    </row>
    <row r="698">
      <c r="O698" s="9"/>
      <c r="P698" s="9"/>
      <c r="Q698" s="9"/>
    </row>
    <row r="699">
      <c r="O699" s="9"/>
      <c r="P699" s="9"/>
      <c r="Q699" s="9"/>
    </row>
    <row r="700">
      <c r="O700" s="9"/>
      <c r="P700" s="9"/>
      <c r="Q700" s="9"/>
    </row>
    <row r="701">
      <c r="O701" s="9"/>
      <c r="P701" s="9"/>
      <c r="Q701" s="9"/>
    </row>
    <row r="702">
      <c r="O702" s="9"/>
      <c r="P702" s="9"/>
      <c r="Q702" s="9"/>
    </row>
    <row r="703">
      <c r="O703" s="9"/>
      <c r="P703" s="9"/>
      <c r="Q703" s="9"/>
    </row>
    <row r="704">
      <c r="O704" s="9"/>
      <c r="P704" s="9"/>
      <c r="Q704" s="9"/>
    </row>
    <row r="705">
      <c r="O705" s="9"/>
      <c r="P705" s="9"/>
      <c r="Q705" s="9"/>
    </row>
    <row r="706">
      <c r="O706" s="9"/>
      <c r="P706" s="9"/>
      <c r="Q706" s="9"/>
    </row>
    <row r="707">
      <c r="O707" s="9"/>
      <c r="P707" s="9"/>
      <c r="Q707" s="9"/>
    </row>
    <row r="708">
      <c r="O708" s="9"/>
      <c r="P708" s="9"/>
      <c r="Q708" s="9"/>
    </row>
    <row r="709">
      <c r="O709" s="9"/>
      <c r="P709" s="9"/>
      <c r="Q709" s="9"/>
    </row>
    <row r="710">
      <c r="O710" s="9"/>
      <c r="P710" s="9"/>
      <c r="Q710" s="9"/>
    </row>
    <row r="711">
      <c r="O711" s="9"/>
      <c r="P711" s="9"/>
      <c r="Q711" s="9"/>
    </row>
    <row r="712">
      <c r="O712" s="9"/>
      <c r="P712" s="9"/>
      <c r="Q712" s="9"/>
    </row>
    <row r="713">
      <c r="O713" s="9"/>
      <c r="P713" s="9"/>
      <c r="Q713" s="9"/>
    </row>
    <row r="714">
      <c r="O714" s="9"/>
      <c r="P714" s="9"/>
      <c r="Q714" s="9"/>
    </row>
    <row r="715">
      <c r="O715" s="9"/>
      <c r="P715" s="9"/>
      <c r="Q715" s="9"/>
    </row>
    <row r="716">
      <c r="O716" s="9"/>
      <c r="P716" s="9"/>
      <c r="Q716" s="9"/>
    </row>
    <row r="717">
      <c r="O717" s="9"/>
      <c r="P717" s="9"/>
      <c r="Q717" s="9"/>
    </row>
    <row r="718">
      <c r="O718" s="9"/>
      <c r="P718" s="9"/>
      <c r="Q718" s="9"/>
    </row>
    <row r="719">
      <c r="O719" s="9"/>
      <c r="P719" s="9"/>
      <c r="Q719" s="9"/>
    </row>
    <row r="720">
      <c r="O720" s="9"/>
      <c r="P720" s="9"/>
      <c r="Q720" s="9"/>
    </row>
    <row r="721">
      <c r="O721" s="9"/>
      <c r="P721" s="9"/>
      <c r="Q721" s="9"/>
    </row>
    <row r="722">
      <c r="O722" s="9"/>
      <c r="P722" s="9"/>
      <c r="Q722" s="9"/>
    </row>
    <row r="723">
      <c r="O723" s="9"/>
      <c r="P723" s="9"/>
      <c r="Q723" s="9"/>
    </row>
    <row r="724">
      <c r="O724" s="9"/>
      <c r="P724" s="9"/>
      <c r="Q724" s="9"/>
    </row>
    <row r="725">
      <c r="O725" s="9"/>
      <c r="P725" s="9"/>
      <c r="Q725" s="9"/>
    </row>
    <row r="726">
      <c r="O726" s="9"/>
      <c r="P726" s="9"/>
      <c r="Q726" s="9"/>
    </row>
    <row r="727">
      <c r="O727" s="9"/>
      <c r="P727" s="9"/>
      <c r="Q727" s="9"/>
    </row>
    <row r="728">
      <c r="O728" s="9"/>
      <c r="P728" s="9"/>
      <c r="Q728" s="9"/>
    </row>
    <row r="729">
      <c r="O729" s="9"/>
      <c r="P729" s="9"/>
      <c r="Q729" s="9"/>
    </row>
    <row r="730">
      <c r="O730" s="9"/>
      <c r="P730" s="9"/>
      <c r="Q730" s="9"/>
    </row>
    <row r="731">
      <c r="O731" s="9"/>
      <c r="P731" s="9"/>
      <c r="Q731" s="9"/>
    </row>
    <row r="732">
      <c r="O732" s="9"/>
      <c r="P732" s="9"/>
      <c r="Q732" s="9"/>
    </row>
    <row r="733">
      <c r="O733" s="9"/>
      <c r="P733" s="9"/>
      <c r="Q733" s="9"/>
    </row>
    <row r="734">
      <c r="O734" s="9"/>
      <c r="P734" s="9"/>
      <c r="Q734" s="9"/>
    </row>
    <row r="735">
      <c r="O735" s="9"/>
      <c r="P735" s="9"/>
      <c r="Q735" s="9"/>
    </row>
    <row r="736">
      <c r="O736" s="9"/>
      <c r="P736" s="9"/>
      <c r="Q736" s="9"/>
    </row>
    <row r="737">
      <c r="O737" s="9"/>
      <c r="P737" s="9"/>
      <c r="Q737" s="9"/>
    </row>
    <row r="738">
      <c r="O738" s="9"/>
      <c r="P738" s="9"/>
      <c r="Q738" s="9"/>
    </row>
    <row r="739">
      <c r="O739" s="9"/>
      <c r="P739" s="9"/>
      <c r="Q739" s="9"/>
    </row>
    <row r="740">
      <c r="O740" s="9"/>
      <c r="P740" s="9"/>
      <c r="Q740" s="9"/>
    </row>
    <row r="741">
      <c r="O741" s="9"/>
      <c r="P741" s="9"/>
      <c r="Q741" s="9"/>
    </row>
    <row r="742">
      <c r="O742" s="9"/>
      <c r="P742" s="9"/>
      <c r="Q742" s="9"/>
    </row>
    <row r="743">
      <c r="O743" s="9"/>
      <c r="P743" s="9"/>
      <c r="Q743" s="9"/>
    </row>
    <row r="744">
      <c r="O744" s="9"/>
      <c r="P744" s="9"/>
      <c r="Q744" s="9"/>
    </row>
    <row r="745">
      <c r="O745" s="9"/>
      <c r="P745" s="9"/>
      <c r="Q745" s="9"/>
    </row>
    <row r="746">
      <c r="O746" s="9"/>
      <c r="P746" s="9"/>
      <c r="Q746" s="9"/>
    </row>
    <row r="747">
      <c r="O747" s="9"/>
      <c r="P747" s="9"/>
      <c r="Q747" s="9"/>
    </row>
    <row r="748">
      <c r="O748" s="9"/>
      <c r="P748" s="9"/>
      <c r="Q748" s="9"/>
    </row>
    <row r="749">
      <c r="O749" s="9"/>
      <c r="P749" s="9"/>
      <c r="Q749" s="9"/>
    </row>
    <row r="750">
      <c r="O750" s="9"/>
      <c r="P750" s="9"/>
      <c r="Q750" s="9"/>
    </row>
    <row r="751">
      <c r="O751" s="9"/>
      <c r="P751" s="9"/>
      <c r="Q751" s="9"/>
    </row>
    <row r="752">
      <c r="O752" s="9"/>
      <c r="P752" s="9"/>
      <c r="Q752" s="9"/>
    </row>
    <row r="753">
      <c r="O753" s="9"/>
      <c r="P753" s="9"/>
      <c r="Q753" s="9"/>
    </row>
    <row r="754">
      <c r="O754" s="9"/>
      <c r="P754" s="9"/>
      <c r="Q754" s="9"/>
    </row>
    <row r="755">
      <c r="O755" s="9"/>
      <c r="P755" s="9"/>
      <c r="Q755" s="9"/>
    </row>
    <row r="756">
      <c r="O756" s="9"/>
      <c r="P756" s="9"/>
      <c r="Q756" s="9"/>
    </row>
    <row r="757">
      <c r="O757" s="9"/>
      <c r="P757" s="9"/>
      <c r="Q757" s="9"/>
    </row>
    <row r="758">
      <c r="O758" s="9"/>
      <c r="P758" s="9"/>
      <c r="Q758" s="9"/>
    </row>
    <row r="759">
      <c r="O759" s="9"/>
      <c r="P759" s="9"/>
      <c r="Q759" s="9"/>
    </row>
    <row r="760">
      <c r="O760" s="9"/>
      <c r="P760" s="9"/>
      <c r="Q760" s="9"/>
    </row>
    <row r="761">
      <c r="O761" s="9"/>
      <c r="P761" s="9"/>
      <c r="Q761" s="9"/>
    </row>
    <row r="762">
      <c r="O762" s="9"/>
      <c r="P762" s="9"/>
      <c r="Q762" s="9"/>
    </row>
    <row r="763">
      <c r="O763" s="9"/>
      <c r="P763" s="9"/>
      <c r="Q763" s="9"/>
    </row>
    <row r="764">
      <c r="O764" s="9"/>
      <c r="P764" s="9"/>
      <c r="Q764" s="9"/>
    </row>
    <row r="765">
      <c r="O765" s="9"/>
      <c r="P765" s="9"/>
      <c r="Q765" s="9"/>
    </row>
    <row r="766">
      <c r="O766" s="9"/>
      <c r="P766" s="9"/>
      <c r="Q766" s="9"/>
    </row>
    <row r="767">
      <c r="O767" s="9"/>
      <c r="P767" s="9"/>
      <c r="Q767" s="9"/>
    </row>
    <row r="768">
      <c r="O768" s="9"/>
      <c r="P768" s="9"/>
      <c r="Q768" s="9"/>
    </row>
    <row r="769">
      <c r="O769" s="9"/>
      <c r="P769" s="9"/>
      <c r="Q769" s="9"/>
    </row>
    <row r="770">
      <c r="O770" s="9"/>
      <c r="P770" s="9"/>
      <c r="Q770" s="9"/>
    </row>
    <row r="771">
      <c r="O771" s="9"/>
      <c r="P771" s="9"/>
      <c r="Q771" s="9"/>
    </row>
    <row r="772">
      <c r="O772" s="9"/>
      <c r="P772" s="9"/>
      <c r="Q772" s="9"/>
    </row>
    <row r="773">
      <c r="O773" s="9"/>
      <c r="P773" s="9"/>
      <c r="Q773" s="9"/>
    </row>
    <row r="774">
      <c r="O774" s="9"/>
      <c r="P774" s="9"/>
      <c r="Q774" s="9"/>
    </row>
    <row r="775">
      <c r="O775" s="9"/>
      <c r="P775" s="9"/>
      <c r="Q775" s="9"/>
    </row>
    <row r="776">
      <c r="O776" s="9"/>
      <c r="P776" s="9"/>
      <c r="Q776" s="9"/>
    </row>
    <row r="777">
      <c r="O777" s="9"/>
      <c r="P777" s="9"/>
      <c r="Q777" s="9"/>
    </row>
    <row r="778">
      <c r="O778" s="9"/>
      <c r="P778" s="9"/>
      <c r="Q778" s="9"/>
    </row>
    <row r="779">
      <c r="O779" s="9"/>
      <c r="P779" s="9"/>
      <c r="Q779" s="9"/>
    </row>
    <row r="780">
      <c r="O780" s="9"/>
      <c r="P780" s="9"/>
      <c r="Q780" s="9"/>
    </row>
    <row r="781">
      <c r="O781" s="9"/>
      <c r="P781" s="9"/>
      <c r="Q781" s="9"/>
    </row>
    <row r="782">
      <c r="O782" s="9"/>
      <c r="P782" s="9"/>
      <c r="Q782" s="9"/>
    </row>
    <row r="783">
      <c r="O783" s="9"/>
      <c r="P783" s="9"/>
      <c r="Q783" s="9"/>
    </row>
    <row r="784">
      <c r="O784" s="9"/>
      <c r="P784" s="9"/>
      <c r="Q784" s="9"/>
    </row>
    <row r="785">
      <c r="O785" s="9"/>
      <c r="P785" s="9"/>
      <c r="Q785" s="9"/>
    </row>
    <row r="786">
      <c r="O786" s="9"/>
      <c r="P786" s="9"/>
      <c r="Q786" s="9"/>
    </row>
    <row r="787">
      <c r="O787" s="9"/>
      <c r="P787" s="9"/>
      <c r="Q787" s="9"/>
    </row>
    <row r="788">
      <c r="O788" s="9"/>
      <c r="P788" s="9"/>
      <c r="Q788" s="9"/>
    </row>
    <row r="789">
      <c r="O789" s="9"/>
      <c r="P789" s="9"/>
      <c r="Q789" s="9"/>
    </row>
    <row r="790">
      <c r="O790" s="9"/>
      <c r="P790" s="9"/>
      <c r="Q790" s="9"/>
    </row>
    <row r="791">
      <c r="O791" s="9"/>
      <c r="P791" s="9"/>
      <c r="Q791" s="9"/>
    </row>
    <row r="792">
      <c r="O792" s="9"/>
      <c r="P792" s="9"/>
      <c r="Q792" s="9"/>
    </row>
    <row r="793">
      <c r="O793" s="9"/>
      <c r="P793" s="9"/>
      <c r="Q793" s="9"/>
    </row>
    <row r="794">
      <c r="O794" s="9"/>
      <c r="P794" s="9"/>
      <c r="Q794" s="9"/>
    </row>
    <row r="795">
      <c r="O795" s="9"/>
      <c r="P795" s="9"/>
      <c r="Q795" s="9"/>
    </row>
    <row r="796">
      <c r="O796" s="9"/>
      <c r="P796" s="9"/>
      <c r="Q796" s="9"/>
    </row>
    <row r="797">
      <c r="O797" s="9"/>
      <c r="P797" s="9"/>
      <c r="Q797" s="9"/>
    </row>
    <row r="798">
      <c r="O798" s="9"/>
      <c r="P798" s="9"/>
      <c r="Q798" s="9"/>
    </row>
    <row r="799">
      <c r="O799" s="9"/>
      <c r="P799" s="9"/>
      <c r="Q799" s="9"/>
    </row>
    <row r="800">
      <c r="O800" s="9"/>
      <c r="P800" s="9"/>
      <c r="Q800" s="9"/>
    </row>
    <row r="801">
      <c r="O801" s="9"/>
      <c r="P801" s="9"/>
      <c r="Q801" s="9"/>
    </row>
    <row r="802">
      <c r="O802" s="9"/>
      <c r="P802" s="9"/>
      <c r="Q802" s="9"/>
    </row>
    <row r="803">
      <c r="O803" s="9"/>
      <c r="P803" s="9"/>
      <c r="Q803" s="9"/>
    </row>
    <row r="804">
      <c r="O804" s="9"/>
      <c r="P804" s="9"/>
      <c r="Q804" s="9"/>
    </row>
    <row r="805">
      <c r="O805" s="9"/>
      <c r="P805" s="9"/>
      <c r="Q805" s="9"/>
    </row>
    <row r="806">
      <c r="O806" s="9"/>
      <c r="P806" s="9"/>
      <c r="Q806" s="9"/>
    </row>
    <row r="807">
      <c r="O807" s="9"/>
      <c r="P807" s="9"/>
      <c r="Q807" s="9"/>
    </row>
    <row r="808">
      <c r="O808" s="9"/>
      <c r="P808" s="9"/>
      <c r="Q808" s="9"/>
    </row>
    <row r="809">
      <c r="O809" s="9"/>
      <c r="P809" s="9"/>
      <c r="Q809" s="9"/>
    </row>
    <row r="810">
      <c r="O810" s="9"/>
      <c r="P810" s="9"/>
      <c r="Q810" s="9"/>
    </row>
    <row r="811">
      <c r="O811" s="9"/>
      <c r="P811" s="9"/>
      <c r="Q811" s="9"/>
    </row>
    <row r="812">
      <c r="O812" s="9"/>
      <c r="P812" s="9"/>
      <c r="Q812" s="9"/>
    </row>
    <row r="813">
      <c r="O813" s="9"/>
      <c r="P813" s="9"/>
      <c r="Q813" s="9"/>
    </row>
    <row r="814">
      <c r="O814" s="9"/>
      <c r="P814" s="9"/>
      <c r="Q814" s="9"/>
    </row>
    <row r="815">
      <c r="O815" s="9"/>
      <c r="P815" s="9"/>
      <c r="Q815" s="9"/>
    </row>
    <row r="816">
      <c r="O816" s="9"/>
      <c r="P816" s="9"/>
      <c r="Q816" s="9"/>
    </row>
    <row r="817">
      <c r="O817" s="9"/>
      <c r="P817" s="9"/>
      <c r="Q817" s="9"/>
    </row>
    <row r="818">
      <c r="O818" s="9"/>
      <c r="P818" s="9"/>
      <c r="Q818" s="9"/>
    </row>
    <row r="819">
      <c r="O819" s="9"/>
      <c r="P819" s="9"/>
      <c r="Q819" s="9"/>
    </row>
    <row r="820">
      <c r="O820" s="9"/>
      <c r="P820" s="9"/>
      <c r="Q820" s="9"/>
    </row>
    <row r="821">
      <c r="O821" s="9"/>
      <c r="P821" s="9"/>
      <c r="Q821" s="9"/>
    </row>
    <row r="822">
      <c r="O822" s="9"/>
      <c r="P822" s="9"/>
      <c r="Q822" s="9"/>
    </row>
    <row r="823">
      <c r="O823" s="9"/>
      <c r="P823" s="9"/>
      <c r="Q823" s="9"/>
    </row>
    <row r="824">
      <c r="O824" s="9"/>
      <c r="P824" s="9"/>
      <c r="Q824" s="9"/>
    </row>
    <row r="825">
      <c r="O825" s="9"/>
      <c r="P825" s="9"/>
      <c r="Q825" s="9"/>
    </row>
    <row r="826">
      <c r="O826" s="9"/>
      <c r="P826" s="9"/>
      <c r="Q826" s="9"/>
    </row>
    <row r="827">
      <c r="O827" s="9"/>
      <c r="P827" s="9"/>
      <c r="Q827" s="9"/>
    </row>
    <row r="828">
      <c r="O828" s="9"/>
      <c r="P828" s="9"/>
      <c r="Q828" s="9"/>
    </row>
    <row r="829">
      <c r="O829" s="9"/>
      <c r="P829" s="9"/>
      <c r="Q829" s="9"/>
    </row>
    <row r="830">
      <c r="O830" s="9"/>
      <c r="P830" s="9"/>
      <c r="Q830" s="9"/>
    </row>
    <row r="831">
      <c r="O831" s="9"/>
      <c r="P831" s="9"/>
      <c r="Q831" s="9"/>
    </row>
    <row r="832">
      <c r="O832" s="9"/>
      <c r="P832" s="9"/>
      <c r="Q832" s="9"/>
    </row>
    <row r="833">
      <c r="O833" s="9"/>
      <c r="P833" s="9"/>
      <c r="Q833" s="9"/>
    </row>
    <row r="834">
      <c r="O834" s="9"/>
      <c r="P834" s="9"/>
      <c r="Q834" s="9"/>
    </row>
    <row r="835">
      <c r="O835" s="9"/>
      <c r="P835" s="9"/>
      <c r="Q835" s="9"/>
    </row>
    <row r="836">
      <c r="O836" s="9"/>
      <c r="P836" s="9"/>
      <c r="Q836" s="9"/>
    </row>
    <row r="837">
      <c r="O837" s="9"/>
      <c r="P837" s="9"/>
      <c r="Q837" s="9"/>
    </row>
    <row r="838">
      <c r="O838" s="9"/>
      <c r="P838" s="9"/>
      <c r="Q838" s="9"/>
    </row>
    <row r="839">
      <c r="O839" s="9"/>
      <c r="P839" s="9"/>
      <c r="Q839" s="9"/>
    </row>
    <row r="840">
      <c r="O840" s="9"/>
      <c r="P840" s="9"/>
      <c r="Q840" s="9"/>
    </row>
    <row r="841">
      <c r="O841" s="9"/>
      <c r="P841" s="9"/>
      <c r="Q841" s="9"/>
    </row>
    <row r="842">
      <c r="O842" s="9"/>
      <c r="P842" s="9"/>
      <c r="Q842" s="9"/>
    </row>
    <row r="843">
      <c r="O843" s="9"/>
      <c r="P843" s="9"/>
      <c r="Q843" s="9"/>
    </row>
    <row r="844">
      <c r="O844" s="9"/>
      <c r="P844" s="9"/>
      <c r="Q844" s="9"/>
    </row>
    <row r="845">
      <c r="O845" s="9"/>
      <c r="P845" s="9"/>
      <c r="Q845" s="9"/>
    </row>
    <row r="846">
      <c r="O846" s="9"/>
      <c r="P846" s="9"/>
      <c r="Q846" s="9"/>
    </row>
    <row r="847">
      <c r="O847" s="9"/>
      <c r="P847" s="9"/>
      <c r="Q847" s="9"/>
    </row>
    <row r="848">
      <c r="O848" s="9"/>
      <c r="P848" s="9"/>
      <c r="Q848" s="9"/>
    </row>
    <row r="849">
      <c r="O849" s="9"/>
      <c r="P849" s="9"/>
      <c r="Q849" s="9"/>
    </row>
    <row r="850">
      <c r="O850" s="9"/>
      <c r="P850" s="9"/>
      <c r="Q850" s="9"/>
    </row>
    <row r="851">
      <c r="O851" s="9"/>
      <c r="P851" s="9"/>
      <c r="Q851" s="9"/>
    </row>
    <row r="852">
      <c r="O852" s="9"/>
      <c r="P852" s="9"/>
      <c r="Q852" s="9"/>
    </row>
    <row r="853">
      <c r="O853" s="9"/>
      <c r="P853" s="9"/>
      <c r="Q853" s="9"/>
    </row>
    <row r="854">
      <c r="O854" s="9"/>
      <c r="P854" s="9"/>
      <c r="Q854" s="9"/>
    </row>
    <row r="855">
      <c r="O855" s="9"/>
      <c r="P855" s="9"/>
      <c r="Q855" s="9"/>
    </row>
    <row r="856">
      <c r="O856" s="9"/>
      <c r="P856" s="9"/>
      <c r="Q856" s="9"/>
    </row>
    <row r="857">
      <c r="O857" s="9"/>
      <c r="P857" s="9"/>
      <c r="Q857" s="9"/>
    </row>
    <row r="858">
      <c r="O858" s="9"/>
      <c r="P858" s="9"/>
      <c r="Q858" s="9"/>
    </row>
    <row r="859">
      <c r="O859" s="9"/>
      <c r="P859" s="9"/>
      <c r="Q859" s="9"/>
    </row>
    <row r="860">
      <c r="O860" s="9"/>
      <c r="P860" s="9"/>
      <c r="Q860" s="9"/>
    </row>
    <row r="861">
      <c r="O861" s="9"/>
      <c r="P861" s="9"/>
      <c r="Q861" s="9"/>
    </row>
    <row r="862">
      <c r="O862" s="9"/>
      <c r="P862" s="9"/>
      <c r="Q862" s="9"/>
    </row>
    <row r="863">
      <c r="O863" s="9"/>
      <c r="P863" s="9"/>
      <c r="Q863" s="9"/>
    </row>
    <row r="864">
      <c r="O864" s="9"/>
      <c r="P864" s="9"/>
      <c r="Q864" s="9"/>
    </row>
    <row r="865">
      <c r="O865" s="9"/>
      <c r="P865" s="9"/>
      <c r="Q865" s="9"/>
    </row>
    <row r="866">
      <c r="O866" s="9"/>
      <c r="P866" s="9"/>
      <c r="Q866" s="9"/>
    </row>
    <row r="867">
      <c r="O867" s="9"/>
      <c r="P867" s="9"/>
      <c r="Q867" s="9"/>
    </row>
    <row r="868">
      <c r="O868" s="9"/>
      <c r="P868" s="9"/>
      <c r="Q868" s="9"/>
    </row>
    <row r="869">
      <c r="O869" s="9"/>
      <c r="P869" s="9"/>
      <c r="Q869" s="9"/>
    </row>
    <row r="870">
      <c r="O870" s="9"/>
      <c r="P870" s="9"/>
      <c r="Q870" s="9"/>
    </row>
    <row r="871">
      <c r="O871" s="9"/>
      <c r="P871" s="9"/>
      <c r="Q871" s="9"/>
    </row>
    <row r="872">
      <c r="O872" s="9"/>
      <c r="P872" s="9"/>
      <c r="Q872" s="9"/>
    </row>
    <row r="873">
      <c r="O873" s="9"/>
      <c r="P873" s="9"/>
      <c r="Q873" s="9"/>
    </row>
    <row r="874">
      <c r="O874" s="9"/>
      <c r="P874" s="9"/>
      <c r="Q874" s="9"/>
    </row>
    <row r="875">
      <c r="O875" s="9"/>
      <c r="P875" s="9"/>
      <c r="Q875" s="9"/>
    </row>
    <row r="876">
      <c r="O876" s="9"/>
      <c r="P876" s="9"/>
      <c r="Q876" s="9"/>
    </row>
    <row r="877">
      <c r="O877" s="9"/>
      <c r="P877" s="9"/>
      <c r="Q877" s="9"/>
    </row>
    <row r="878">
      <c r="O878" s="9"/>
      <c r="P878" s="9"/>
      <c r="Q878" s="9"/>
    </row>
    <row r="879">
      <c r="O879" s="9"/>
      <c r="P879" s="9"/>
      <c r="Q879" s="9"/>
    </row>
    <row r="880">
      <c r="O880" s="9"/>
      <c r="P880" s="9"/>
      <c r="Q880" s="9"/>
    </row>
    <row r="881">
      <c r="O881" s="9"/>
      <c r="P881" s="9"/>
      <c r="Q881" s="9"/>
    </row>
    <row r="882">
      <c r="O882" s="9"/>
      <c r="P882" s="9"/>
      <c r="Q882" s="9"/>
    </row>
    <row r="883">
      <c r="O883" s="9"/>
      <c r="P883" s="9"/>
      <c r="Q883" s="9"/>
    </row>
    <row r="884">
      <c r="O884" s="9"/>
      <c r="P884" s="9"/>
      <c r="Q884" s="9"/>
    </row>
    <row r="885">
      <c r="O885" s="9"/>
      <c r="P885" s="9"/>
      <c r="Q885" s="9"/>
    </row>
    <row r="886">
      <c r="O886" s="9"/>
      <c r="P886" s="9"/>
      <c r="Q886" s="9"/>
    </row>
    <row r="887">
      <c r="O887" s="9"/>
      <c r="P887" s="9"/>
      <c r="Q887" s="9"/>
    </row>
    <row r="888">
      <c r="O888" s="9"/>
      <c r="P888" s="9"/>
      <c r="Q888" s="9"/>
    </row>
    <row r="889">
      <c r="O889" s="9"/>
      <c r="P889" s="9"/>
      <c r="Q889" s="9"/>
    </row>
    <row r="890">
      <c r="O890" s="9"/>
      <c r="P890" s="9"/>
      <c r="Q890" s="9"/>
    </row>
    <row r="891">
      <c r="O891" s="9"/>
      <c r="P891" s="9"/>
      <c r="Q891" s="9"/>
    </row>
    <row r="892">
      <c r="O892" s="9"/>
      <c r="P892" s="9"/>
      <c r="Q892" s="9"/>
    </row>
    <row r="893">
      <c r="O893" s="9"/>
      <c r="P893" s="9"/>
      <c r="Q893" s="9"/>
    </row>
    <row r="894">
      <c r="O894" s="9"/>
      <c r="P894" s="9"/>
      <c r="Q894" s="9"/>
    </row>
    <row r="895">
      <c r="O895" s="9"/>
      <c r="P895" s="9"/>
      <c r="Q895" s="9"/>
    </row>
    <row r="896">
      <c r="O896" s="9"/>
      <c r="P896" s="9"/>
      <c r="Q896" s="9"/>
    </row>
    <row r="897">
      <c r="O897" s="9"/>
      <c r="P897" s="9"/>
      <c r="Q897" s="9"/>
    </row>
    <row r="898">
      <c r="O898" s="9"/>
      <c r="P898" s="9"/>
      <c r="Q898" s="9"/>
    </row>
    <row r="899">
      <c r="O899" s="9"/>
      <c r="P899" s="9"/>
      <c r="Q899" s="9"/>
    </row>
    <row r="900">
      <c r="O900" s="9"/>
      <c r="P900" s="9"/>
      <c r="Q900" s="9"/>
    </row>
    <row r="901">
      <c r="O901" s="9"/>
      <c r="P901" s="9"/>
      <c r="Q901" s="9"/>
    </row>
    <row r="902">
      <c r="O902" s="9"/>
      <c r="P902" s="9"/>
      <c r="Q902" s="9"/>
    </row>
    <row r="903">
      <c r="O903" s="9"/>
      <c r="P903" s="9"/>
      <c r="Q903" s="9"/>
    </row>
    <row r="904">
      <c r="O904" s="9"/>
      <c r="P904" s="9"/>
      <c r="Q904" s="9"/>
    </row>
    <row r="905">
      <c r="O905" s="9"/>
      <c r="P905" s="9"/>
      <c r="Q905" s="9"/>
    </row>
    <row r="906">
      <c r="O906" s="9"/>
      <c r="P906" s="9"/>
      <c r="Q906" s="9"/>
    </row>
    <row r="907">
      <c r="O907" s="9"/>
      <c r="P907" s="9"/>
      <c r="Q907" s="9"/>
    </row>
    <row r="908">
      <c r="O908" s="9"/>
      <c r="P908" s="9"/>
      <c r="Q908" s="9"/>
    </row>
    <row r="909">
      <c r="O909" s="9"/>
      <c r="P909" s="9"/>
      <c r="Q909" s="9"/>
    </row>
    <row r="910">
      <c r="O910" s="9"/>
      <c r="P910" s="9"/>
      <c r="Q910" s="9"/>
    </row>
    <row r="911">
      <c r="O911" s="9"/>
      <c r="P911" s="9"/>
      <c r="Q911" s="9"/>
    </row>
    <row r="912">
      <c r="O912" s="9"/>
      <c r="P912" s="9"/>
      <c r="Q912" s="9"/>
    </row>
    <row r="913">
      <c r="O913" s="9"/>
      <c r="P913" s="9"/>
      <c r="Q913" s="9"/>
    </row>
    <row r="914">
      <c r="O914" s="9"/>
      <c r="P914" s="9"/>
      <c r="Q914" s="9"/>
    </row>
    <row r="915">
      <c r="O915" s="9"/>
      <c r="P915" s="9"/>
      <c r="Q915" s="9"/>
    </row>
    <row r="916">
      <c r="O916" s="9"/>
      <c r="P916" s="9"/>
      <c r="Q916" s="9"/>
    </row>
    <row r="917">
      <c r="O917" s="9"/>
      <c r="P917" s="9"/>
      <c r="Q917" s="9"/>
    </row>
    <row r="918">
      <c r="O918" s="9"/>
      <c r="P918" s="9"/>
      <c r="Q918" s="9"/>
    </row>
    <row r="919">
      <c r="O919" s="9"/>
      <c r="P919" s="9"/>
      <c r="Q919" s="9"/>
    </row>
    <row r="920">
      <c r="O920" s="9"/>
      <c r="P920" s="9"/>
      <c r="Q920" s="9"/>
    </row>
    <row r="921">
      <c r="O921" s="9"/>
      <c r="P921" s="9"/>
      <c r="Q921" s="9"/>
    </row>
    <row r="922">
      <c r="O922" s="9"/>
      <c r="P922" s="9"/>
      <c r="Q922" s="9"/>
    </row>
    <row r="923">
      <c r="O923" s="9"/>
      <c r="P923" s="9"/>
      <c r="Q923" s="9"/>
    </row>
    <row r="924">
      <c r="O924" s="9"/>
      <c r="P924" s="9"/>
      <c r="Q924" s="9"/>
    </row>
    <row r="925">
      <c r="O925" s="9"/>
      <c r="P925" s="9"/>
      <c r="Q925" s="9"/>
    </row>
    <row r="926">
      <c r="O926" s="9"/>
      <c r="P926" s="9"/>
      <c r="Q926" s="9"/>
    </row>
    <row r="927">
      <c r="O927" s="9"/>
      <c r="P927" s="9"/>
      <c r="Q927" s="9"/>
    </row>
    <row r="928">
      <c r="O928" s="9"/>
      <c r="P928" s="9"/>
      <c r="Q928" s="9"/>
    </row>
    <row r="929">
      <c r="O929" s="9"/>
      <c r="P929" s="9"/>
      <c r="Q929" s="9"/>
    </row>
    <row r="930">
      <c r="O930" s="9"/>
      <c r="P930" s="9"/>
      <c r="Q930" s="9"/>
    </row>
    <row r="931">
      <c r="O931" s="9"/>
      <c r="P931" s="9"/>
      <c r="Q931" s="9"/>
    </row>
    <row r="932">
      <c r="O932" s="9"/>
      <c r="P932" s="9"/>
      <c r="Q932" s="9"/>
    </row>
    <row r="933">
      <c r="O933" s="9"/>
      <c r="P933" s="9"/>
      <c r="Q933" s="9"/>
    </row>
    <row r="934">
      <c r="O934" s="9"/>
      <c r="P934" s="9"/>
      <c r="Q934" s="9"/>
    </row>
    <row r="935">
      <c r="O935" s="9"/>
      <c r="P935" s="9"/>
      <c r="Q935" s="9"/>
    </row>
    <row r="936">
      <c r="O936" s="9"/>
      <c r="P936" s="9"/>
      <c r="Q936" s="9"/>
    </row>
    <row r="937">
      <c r="O937" s="9"/>
      <c r="P937" s="9"/>
      <c r="Q937" s="9"/>
    </row>
    <row r="938">
      <c r="O938" s="9"/>
      <c r="P938" s="9"/>
      <c r="Q938" s="9"/>
    </row>
    <row r="939">
      <c r="O939" s="9"/>
      <c r="P939" s="9"/>
      <c r="Q939" s="9"/>
    </row>
    <row r="940">
      <c r="O940" s="9"/>
      <c r="P940" s="9"/>
      <c r="Q940" s="9"/>
    </row>
    <row r="941">
      <c r="O941" s="9"/>
      <c r="P941" s="9"/>
      <c r="Q941" s="9"/>
    </row>
    <row r="942">
      <c r="O942" s="9"/>
      <c r="P942" s="9"/>
      <c r="Q942" s="9"/>
    </row>
    <row r="943">
      <c r="O943" s="9"/>
      <c r="P943" s="9"/>
      <c r="Q943" s="9"/>
    </row>
    <row r="944">
      <c r="O944" s="9"/>
      <c r="P944" s="9"/>
      <c r="Q944" s="9"/>
    </row>
    <row r="945">
      <c r="O945" s="9"/>
      <c r="P945" s="9"/>
      <c r="Q945" s="9"/>
    </row>
    <row r="946">
      <c r="O946" s="9"/>
      <c r="P946" s="9"/>
      <c r="Q946" s="9"/>
    </row>
    <row r="947">
      <c r="O947" s="9"/>
      <c r="P947" s="9"/>
      <c r="Q947" s="9"/>
    </row>
    <row r="948">
      <c r="O948" s="9"/>
      <c r="P948" s="9"/>
      <c r="Q948" s="9"/>
    </row>
    <row r="949">
      <c r="O949" s="9"/>
      <c r="P949" s="9"/>
      <c r="Q949" s="9"/>
    </row>
    <row r="950">
      <c r="O950" s="9"/>
      <c r="P950" s="9"/>
      <c r="Q950" s="9"/>
    </row>
    <row r="951">
      <c r="O951" s="9"/>
      <c r="P951" s="9"/>
      <c r="Q951" s="9"/>
    </row>
    <row r="952">
      <c r="O952" s="9"/>
      <c r="P952" s="9"/>
      <c r="Q952" s="9"/>
    </row>
    <row r="953">
      <c r="O953" s="9"/>
      <c r="P953" s="9"/>
      <c r="Q953" s="9"/>
    </row>
    <row r="954">
      <c r="O954" s="9"/>
      <c r="P954" s="9"/>
      <c r="Q954" s="9"/>
    </row>
    <row r="955">
      <c r="O955" s="9"/>
      <c r="P955" s="9"/>
      <c r="Q955" s="9"/>
    </row>
    <row r="956">
      <c r="O956" s="9"/>
      <c r="P956" s="9"/>
      <c r="Q956" s="9"/>
    </row>
    <row r="957">
      <c r="O957" s="9"/>
      <c r="P957" s="9"/>
      <c r="Q957" s="9"/>
    </row>
    <row r="958">
      <c r="O958" s="9"/>
      <c r="P958" s="9"/>
      <c r="Q958" s="9"/>
    </row>
    <row r="959">
      <c r="O959" s="9"/>
      <c r="P959" s="9"/>
      <c r="Q959" s="9"/>
    </row>
    <row r="960">
      <c r="O960" s="9"/>
      <c r="P960" s="9"/>
      <c r="Q960" s="9"/>
    </row>
    <row r="961">
      <c r="O961" s="9"/>
      <c r="P961" s="9"/>
      <c r="Q961" s="9"/>
    </row>
    <row r="962">
      <c r="O962" s="9"/>
      <c r="P962" s="9"/>
      <c r="Q962" s="9"/>
    </row>
    <row r="963">
      <c r="O963" s="9"/>
      <c r="P963" s="9"/>
      <c r="Q963" s="9"/>
    </row>
    <row r="964">
      <c r="O964" s="9"/>
      <c r="P964" s="9"/>
      <c r="Q964" s="9"/>
    </row>
    <row r="965">
      <c r="O965" s="9"/>
      <c r="P965" s="9"/>
      <c r="Q965" s="9"/>
    </row>
    <row r="966">
      <c r="O966" s="9"/>
      <c r="P966" s="9"/>
      <c r="Q966" s="9"/>
    </row>
    <row r="967">
      <c r="O967" s="9"/>
      <c r="P967" s="9"/>
      <c r="Q967" s="9"/>
    </row>
    <row r="968">
      <c r="O968" s="9"/>
      <c r="P968" s="9"/>
      <c r="Q968" s="9"/>
    </row>
    <row r="969">
      <c r="O969" s="9"/>
      <c r="P969" s="9"/>
      <c r="Q969" s="9"/>
    </row>
    <row r="970">
      <c r="O970" s="9"/>
      <c r="P970" s="9"/>
      <c r="Q970" s="9"/>
    </row>
    <row r="971">
      <c r="O971" s="9"/>
      <c r="P971" s="9"/>
      <c r="Q971" s="9"/>
    </row>
    <row r="972">
      <c r="O972" s="9"/>
      <c r="P972" s="9"/>
      <c r="Q972" s="9"/>
    </row>
    <row r="973">
      <c r="O973" s="9"/>
      <c r="P973" s="9"/>
      <c r="Q973" s="9"/>
    </row>
    <row r="974">
      <c r="O974" s="9"/>
      <c r="P974" s="9"/>
      <c r="Q974" s="9"/>
    </row>
    <row r="975">
      <c r="O975" s="9"/>
      <c r="P975" s="9"/>
      <c r="Q975" s="9"/>
    </row>
    <row r="976">
      <c r="O976" s="9"/>
      <c r="P976" s="9"/>
      <c r="Q976" s="9"/>
    </row>
    <row r="977">
      <c r="O977" s="9"/>
      <c r="P977" s="9"/>
      <c r="Q977" s="9"/>
    </row>
    <row r="978">
      <c r="O978" s="9"/>
      <c r="P978" s="9"/>
      <c r="Q978" s="9"/>
    </row>
    <row r="979">
      <c r="O979" s="9"/>
      <c r="P979" s="9"/>
      <c r="Q979" s="9"/>
    </row>
    <row r="980">
      <c r="O980" s="9"/>
      <c r="P980" s="9"/>
      <c r="Q980" s="9"/>
    </row>
    <row r="981">
      <c r="O981" s="9"/>
      <c r="P981" s="9"/>
      <c r="Q981" s="9"/>
    </row>
    <row r="982">
      <c r="O982" s="9"/>
      <c r="P982" s="9"/>
      <c r="Q982" s="9"/>
    </row>
    <row r="983">
      <c r="O983" s="9"/>
      <c r="P983" s="9"/>
      <c r="Q983" s="9"/>
    </row>
    <row r="984">
      <c r="O984" s="9"/>
      <c r="P984" s="9"/>
      <c r="Q984" s="9"/>
    </row>
    <row r="985">
      <c r="O985" s="9"/>
      <c r="P985" s="9"/>
      <c r="Q985" s="9"/>
    </row>
    <row r="986">
      <c r="O986" s="9"/>
      <c r="P986" s="9"/>
      <c r="Q986" s="9"/>
    </row>
    <row r="987">
      <c r="O987" s="9"/>
      <c r="P987" s="9"/>
      <c r="Q987" s="9"/>
    </row>
    <row r="988">
      <c r="O988" s="9"/>
      <c r="P988" s="9"/>
      <c r="Q988" s="9"/>
    </row>
    <row r="989">
      <c r="O989" s="9"/>
      <c r="P989" s="9"/>
      <c r="Q989" s="9"/>
    </row>
    <row r="990">
      <c r="O990" s="9"/>
      <c r="P990" s="9"/>
      <c r="Q990" s="9"/>
    </row>
    <row r="991">
      <c r="O991" s="9"/>
      <c r="P991" s="9"/>
      <c r="Q991" s="9"/>
    </row>
    <row r="992">
      <c r="O992" s="9"/>
      <c r="P992" s="9"/>
      <c r="Q992" s="9"/>
    </row>
    <row r="993">
      <c r="O993" s="9"/>
      <c r="P993" s="9"/>
      <c r="Q993" s="9"/>
    </row>
    <row r="994">
      <c r="O994" s="9"/>
      <c r="P994" s="9"/>
      <c r="Q994" s="9"/>
    </row>
    <row r="995">
      <c r="O995" s="9"/>
      <c r="P995" s="9"/>
      <c r="Q995" s="9"/>
    </row>
    <row r="996">
      <c r="O996" s="9"/>
      <c r="P996" s="9"/>
      <c r="Q996" s="9"/>
    </row>
    <row r="997">
      <c r="O997" s="9"/>
      <c r="P997" s="9"/>
      <c r="Q997" s="9"/>
    </row>
    <row r="998">
      <c r="O998" s="9"/>
      <c r="P998" s="9"/>
      <c r="Q998" s="9"/>
    </row>
    <row r="999">
      <c r="O999" s="9"/>
      <c r="P999" s="9"/>
      <c r="Q999" s="9"/>
    </row>
  </sheetData>
  <autoFilter ref="$A$2:$M$32">
    <sortState ref="A2:M32">
      <sortCondition ref="A2:A32"/>
    </sortState>
  </autoFilter>
  <mergeCells count="6">
    <mergeCell ref="B1:C1"/>
    <mergeCell ref="D1:E1"/>
    <mergeCell ref="F1:G1"/>
    <mergeCell ref="H1:I1"/>
    <mergeCell ref="J1:K1"/>
    <mergeCell ref="L1:M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row>
    <row r="2">
      <c r="A2" s="16" t="s">
        <v>151</v>
      </c>
      <c r="B2" s="16" t="s">
        <v>3</v>
      </c>
      <c r="C2" s="16" t="s">
        <v>152</v>
      </c>
      <c r="D2" s="16" t="s">
        <v>3</v>
      </c>
      <c r="E2" s="16" t="s">
        <v>152</v>
      </c>
      <c r="F2" s="16" t="s">
        <v>3</v>
      </c>
      <c r="G2" s="31" t="s">
        <v>152</v>
      </c>
      <c r="H2" s="16" t="s">
        <v>3</v>
      </c>
      <c r="I2" s="16" t="s">
        <v>152</v>
      </c>
      <c r="J2" s="16" t="s">
        <v>3</v>
      </c>
      <c r="K2" s="16" t="s">
        <v>152</v>
      </c>
      <c r="L2" s="16" t="s">
        <v>3</v>
      </c>
      <c r="M2" s="16" t="s">
        <v>152</v>
      </c>
    </row>
    <row r="3">
      <c r="A3" s="18" t="s">
        <v>140</v>
      </c>
      <c r="B3" s="32">
        <v>55000.0</v>
      </c>
      <c r="C3" s="33">
        <v>46343.0</v>
      </c>
      <c r="D3" s="34">
        <v>55000.0</v>
      </c>
      <c r="E3" s="35">
        <v>45468.0</v>
      </c>
      <c r="F3" s="34">
        <v>55000.0</v>
      </c>
      <c r="G3" s="32">
        <v>53548.0</v>
      </c>
      <c r="H3" s="18"/>
      <c r="I3" s="18"/>
      <c r="J3" s="18"/>
      <c r="K3" s="18"/>
      <c r="L3" s="18"/>
      <c r="M3" s="18"/>
    </row>
    <row r="4">
      <c r="A4" s="18" t="s">
        <v>131</v>
      </c>
      <c r="B4" s="32">
        <v>55000.0</v>
      </c>
      <c r="C4" s="33">
        <v>56309.0</v>
      </c>
      <c r="D4" s="34">
        <v>55000.0</v>
      </c>
      <c r="E4" s="35">
        <v>55084.0</v>
      </c>
      <c r="F4" s="34">
        <v>55000.0</v>
      </c>
      <c r="G4" s="32">
        <v>68072.0</v>
      </c>
      <c r="H4" s="18"/>
      <c r="I4" s="18"/>
      <c r="J4" s="18"/>
      <c r="K4" s="18"/>
      <c r="L4" s="18"/>
      <c r="M4" s="18"/>
    </row>
    <row r="5">
      <c r="A5" s="18" t="s">
        <v>136</v>
      </c>
      <c r="B5" s="32">
        <v>55000.0</v>
      </c>
      <c r="C5" s="33">
        <v>54478.0</v>
      </c>
      <c r="D5" s="34">
        <v>55000.0</v>
      </c>
      <c r="E5" s="35">
        <v>55568.0</v>
      </c>
      <c r="F5" s="34">
        <v>55000.0</v>
      </c>
      <c r="G5" s="32">
        <v>70534.0</v>
      </c>
      <c r="H5" s="18"/>
      <c r="I5" s="18"/>
      <c r="J5" s="18"/>
      <c r="K5" s="18"/>
      <c r="L5" s="18"/>
      <c r="M5" s="18"/>
    </row>
    <row r="6">
      <c r="A6" s="18" t="s">
        <v>135</v>
      </c>
      <c r="B6" s="32">
        <v>55000.0</v>
      </c>
      <c r="C6" s="33">
        <v>52227.0</v>
      </c>
      <c r="D6" s="34">
        <v>55000.0</v>
      </c>
      <c r="E6" s="35">
        <v>53257.0</v>
      </c>
      <c r="F6" s="34">
        <v>55000.0</v>
      </c>
      <c r="G6" s="32">
        <v>57276.0</v>
      </c>
      <c r="H6" s="18"/>
      <c r="I6" s="18"/>
      <c r="J6" s="18"/>
      <c r="K6" s="18"/>
      <c r="L6" s="18"/>
      <c r="M6" s="18"/>
    </row>
    <row r="7">
      <c r="A7" s="18" t="s">
        <v>122</v>
      </c>
      <c r="B7" s="32">
        <v>55000.0</v>
      </c>
      <c r="C7" s="33">
        <v>59917.0</v>
      </c>
      <c r="D7" s="34">
        <v>55000.0</v>
      </c>
      <c r="E7" s="35">
        <v>60893.0</v>
      </c>
      <c r="F7" s="34">
        <v>55000.0</v>
      </c>
      <c r="G7" s="32">
        <v>69682.0</v>
      </c>
      <c r="H7" s="18"/>
      <c r="I7" s="18"/>
      <c r="J7" s="18"/>
      <c r="K7" s="18"/>
      <c r="L7" s="18"/>
      <c r="M7" s="18"/>
    </row>
    <row r="8">
      <c r="A8" s="18" t="s">
        <v>116</v>
      </c>
      <c r="B8" s="32">
        <v>55000.0</v>
      </c>
      <c r="C8" s="33">
        <v>55492.0</v>
      </c>
      <c r="D8" s="34">
        <v>55000.0</v>
      </c>
      <c r="E8" s="35">
        <v>56434.0</v>
      </c>
      <c r="F8" s="34">
        <v>55000.0</v>
      </c>
      <c r="G8" s="32">
        <v>63277.0</v>
      </c>
      <c r="H8" s="18"/>
      <c r="I8" s="18"/>
      <c r="J8" s="18"/>
      <c r="K8" s="18"/>
      <c r="L8" s="18"/>
      <c r="M8" s="18"/>
    </row>
    <row r="9">
      <c r="A9" s="18" t="s">
        <v>133</v>
      </c>
      <c r="B9" s="32">
        <v>55000.0</v>
      </c>
      <c r="C9" s="33">
        <v>51947.0</v>
      </c>
      <c r="D9" s="34">
        <v>55000.0</v>
      </c>
      <c r="E9" s="35">
        <v>49734.0</v>
      </c>
      <c r="F9" s="34">
        <v>55000.0</v>
      </c>
      <c r="G9" s="32">
        <v>62243.0</v>
      </c>
      <c r="H9" s="18"/>
      <c r="I9" s="18"/>
      <c r="J9" s="18"/>
      <c r="K9" s="18"/>
      <c r="L9" s="18"/>
      <c r="M9" s="18"/>
    </row>
    <row r="10">
      <c r="A10" s="18" t="s">
        <v>138</v>
      </c>
      <c r="B10" s="32">
        <v>55000.0</v>
      </c>
      <c r="C10" s="33">
        <v>49082.0</v>
      </c>
      <c r="D10" s="34">
        <v>55000.0</v>
      </c>
      <c r="E10" s="35">
        <v>50511.0</v>
      </c>
      <c r="F10" s="34">
        <v>55000.0</v>
      </c>
      <c r="G10" s="32">
        <v>56402.0</v>
      </c>
      <c r="H10" s="18"/>
      <c r="I10" s="18"/>
      <c r="J10" s="18"/>
      <c r="K10" s="18"/>
      <c r="L10" s="18"/>
      <c r="M10" s="18"/>
    </row>
    <row r="11">
      <c r="A11" s="18" t="s">
        <v>143</v>
      </c>
      <c r="B11" s="32">
        <v>55000.0</v>
      </c>
      <c r="C11" s="33">
        <v>47420.0</v>
      </c>
      <c r="D11" s="34">
        <v>55000.0</v>
      </c>
      <c r="E11" s="35">
        <v>48516.0</v>
      </c>
      <c r="F11" s="34">
        <v>55000.0</v>
      </c>
      <c r="G11" s="32">
        <v>54313.0</v>
      </c>
      <c r="H11" s="18"/>
      <c r="I11" s="18"/>
      <c r="J11" s="18"/>
      <c r="K11" s="18"/>
      <c r="L11" s="18"/>
      <c r="M11" s="18"/>
    </row>
    <row r="12">
      <c r="A12" s="18" t="s">
        <v>137</v>
      </c>
      <c r="B12" s="32">
        <v>55000.0</v>
      </c>
      <c r="C12" s="33">
        <v>46999.0</v>
      </c>
      <c r="D12" s="34">
        <v>55000.0</v>
      </c>
      <c r="E12" s="35">
        <v>48706.0</v>
      </c>
      <c r="F12" s="34">
        <v>55000.0</v>
      </c>
      <c r="G12" s="32">
        <v>53686.0</v>
      </c>
      <c r="H12" s="18"/>
      <c r="I12" s="18"/>
      <c r="J12" s="18"/>
      <c r="K12" s="18"/>
      <c r="L12" s="18"/>
      <c r="M12" s="18"/>
    </row>
    <row r="13">
      <c r="A13" s="18" t="s">
        <v>128</v>
      </c>
      <c r="B13" s="32">
        <v>55000.0</v>
      </c>
      <c r="C13" s="33">
        <v>59053.0</v>
      </c>
      <c r="D13" s="34">
        <v>55000.0</v>
      </c>
      <c r="E13" s="35">
        <v>60004.0</v>
      </c>
      <c r="F13" s="34">
        <v>55000.0</v>
      </c>
      <c r="G13" s="32">
        <v>78648.0</v>
      </c>
      <c r="H13" s="18"/>
      <c r="I13" s="18"/>
      <c r="J13" s="18"/>
      <c r="K13" s="18"/>
      <c r="L13" s="18"/>
      <c r="M13" s="18"/>
    </row>
    <row r="14">
      <c r="A14" s="18" t="s">
        <v>121</v>
      </c>
      <c r="B14" s="32">
        <v>55000.0</v>
      </c>
      <c r="C14" s="33">
        <v>56785.0</v>
      </c>
      <c r="D14" s="34">
        <v>55000.0</v>
      </c>
      <c r="E14" s="35">
        <v>59203.0</v>
      </c>
      <c r="F14" s="34">
        <v>55000.0</v>
      </c>
      <c r="G14" s="32">
        <v>71544.0</v>
      </c>
      <c r="H14" s="18"/>
      <c r="I14" s="18"/>
      <c r="J14" s="18"/>
      <c r="K14" s="18"/>
      <c r="L14" s="18"/>
      <c r="M14" s="18"/>
    </row>
    <row r="15">
      <c r="A15" s="18" t="s">
        <v>139</v>
      </c>
      <c r="B15" s="32">
        <v>55000.0</v>
      </c>
      <c r="C15" s="33">
        <v>57047.0</v>
      </c>
      <c r="D15" s="34">
        <v>55000.0</v>
      </c>
      <c r="E15" s="35">
        <v>54731.0</v>
      </c>
      <c r="F15" s="34">
        <v>55000.0</v>
      </c>
      <c r="G15" s="32">
        <v>68649.0</v>
      </c>
      <c r="H15" s="18"/>
      <c r="I15" s="18"/>
      <c r="J15" s="18"/>
      <c r="K15" s="18"/>
      <c r="L15" s="18"/>
      <c r="M15" s="18"/>
    </row>
    <row r="16">
      <c r="A16" s="18" t="s">
        <v>142</v>
      </c>
      <c r="B16" s="32">
        <v>55000.0</v>
      </c>
      <c r="C16" s="33">
        <v>47902.0</v>
      </c>
      <c r="D16" s="34">
        <v>55000.0</v>
      </c>
      <c r="E16" s="35">
        <v>47936.0</v>
      </c>
      <c r="F16" s="34">
        <v>55000.0</v>
      </c>
      <c r="G16" s="32">
        <v>55832.0</v>
      </c>
      <c r="H16" s="18"/>
      <c r="I16" s="18"/>
      <c r="J16" s="18"/>
      <c r="K16" s="18"/>
      <c r="L16" s="18"/>
      <c r="M16" s="18"/>
    </row>
    <row r="17">
      <c r="A17" s="18" t="s">
        <v>132</v>
      </c>
      <c r="B17" s="32">
        <v>55000.0</v>
      </c>
      <c r="C17" s="33">
        <v>56608.0</v>
      </c>
      <c r="D17" s="34">
        <v>55000.0</v>
      </c>
      <c r="E17" s="35">
        <v>58673.0</v>
      </c>
      <c r="F17" s="34">
        <v>55000.0</v>
      </c>
      <c r="G17" s="32">
        <v>66134.0</v>
      </c>
      <c r="H17" s="18"/>
      <c r="I17" s="18"/>
      <c r="J17" s="18"/>
      <c r="K17" s="18"/>
      <c r="L17" s="18"/>
      <c r="M17" s="18"/>
    </row>
    <row r="18">
      <c r="A18" s="18" t="s">
        <v>114</v>
      </c>
      <c r="B18" s="32">
        <v>55000.0</v>
      </c>
      <c r="C18" s="33">
        <v>53889.0</v>
      </c>
      <c r="D18" s="34">
        <v>55000.0</v>
      </c>
      <c r="E18" s="35">
        <v>53698.0</v>
      </c>
      <c r="F18" s="34">
        <v>55000.0</v>
      </c>
      <c r="G18" s="32">
        <v>63896.0</v>
      </c>
      <c r="H18" s="18"/>
      <c r="I18" s="18"/>
      <c r="J18" s="18"/>
      <c r="K18" s="18"/>
      <c r="L18" s="18"/>
      <c r="M18" s="18"/>
    </row>
    <row r="19">
      <c r="A19" s="18" t="s">
        <v>111</v>
      </c>
      <c r="B19" s="32">
        <v>55000.0</v>
      </c>
      <c r="C19" s="33">
        <v>57273.0</v>
      </c>
      <c r="D19" s="34">
        <v>55000.0</v>
      </c>
      <c r="E19" s="35">
        <v>59802.0</v>
      </c>
      <c r="F19" s="34">
        <v>55000.0</v>
      </c>
      <c r="G19" s="32">
        <v>69722.0</v>
      </c>
      <c r="H19" s="18"/>
      <c r="I19" s="18"/>
      <c r="J19" s="18"/>
      <c r="K19" s="18"/>
      <c r="L19" s="18"/>
      <c r="M19" s="18"/>
    </row>
    <row r="20">
      <c r="A20" s="18" t="s">
        <v>109</v>
      </c>
      <c r="B20" s="32">
        <v>55000.0</v>
      </c>
      <c r="C20" s="33">
        <v>58267.0</v>
      </c>
      <c r="D20" s="34">
        <v>55000.0</v>
      </c>
      <c r="E20" s="35">
        <v>58580.0</v>
      </c>
      <c r="F20" s="34">
        <v>55000.0</v>
      </c>
      <c r="G20" s="32">
        <v>65981.0</v>
      </c>
      <c r="H20" s="18"/>
      <c r="I20" s="18"/>
      <c r="J20" s="18"/>
      <c r="K20" s="18"/>
      <c r="L20" s="18"/>
      <c r="M20" s="18"/>
    </row>
    <row r="21">
      <c r="A21" s="18" t="s">
        <v>124</v>
      </c>
      <c r="B21" s="32">
        <v>55000.0</v>
      </c>
      <c r="C21" s="33">
        <v>51389.0</v>
      </c>
      <c r="D21" s="34">
        <v>55000.0</v>
      </c>
      <c r="E21" s="35">
        <v>51171.0</v>
      </c>
      <c r="F21" s="34">
        <v>55000.0</v>
      </c>
      <c r="G21" s="32">
        <v>57175.0</v>
      </c>
      <c r="H21" s="18"/>
      <c r="I21" s="18"/>
      <c r="J21" s="18"/>
      <c r="K21" s="18"/>
      <c r="L21" s="18"/>
      <c r="M21" s="18"/>
    </row>
    <row r="22">
      <c r="A22" s="18" t="s">
        <v>127</v>
      </c>
      <c r="B22" s="32">
        <v>55000.0</v>
      </c>
      <c r="C22" s="33">
        <v>49645.0</v>
      </c>
      <c r="D22" s="34">
        <v>55000.0</v>
      </c>
      <c r="E22" s="35">
        <v>53139.0</v>
      </c>
      <c r="F22" s="34">
        <v>55000.0</v>
      </c>
      <c r="G22" s="32">
        <v>60637.0</v>
      </c>
      <c r="H22" s="18"/>
      <c r="I22" s="18"/>
      <c r="J22" s="18"/>
      <c r="K22" s="18"/>
      <c r="L22" s="18"/>
      <c r="M22" s="18"/>
    </row>
    <row r="23">
      <c r="A23" s="18" t="s">
        <v>130</v>
      </c>
      <c r="B23" s="32">
        <v>55000.0</v>
      </c>
      <c r="C23" s="33">
        <v>51996.0</v>
      </c>
      <c r="D23" s="34">
        <v>55000.0</v>
      </c>
      <c r="E23" s="35">
        <v>54191.0</v>
      </c>
      <c r="F23" s="34">
        <v>55000.0</v>
      </c>
      <c r="G23" s="32">
        <v>64201.0</v>
      </c>
      <c r="H23" s="18"/>
      <c r="I23" s="18"/>
      <c r="J23" s="18"/>
      <c r="K23" s="18"/>
      <c r="L23" s="18"/>
      <c r="M23" s="18"/>
    </row>
    <row r="24">
      <c r="A24" s="18" t="s">
        <v>141</v>
      </c>
      <c r="B24" s="32">
        <v>55000.0</v>
      </c>
      <c r="C24" s="33">
        <v>43504.0</v>
      </c>
      <c r="D24" s="34">
        <v>55000.0</v>
      </c>
      <c r="E24" s="35">
        <v>47393.0</v>
      </c>
      <c r="F24" s="34">
        <v>55000.0</v>
      </c>
      <c r="G24" s="32">
        <v>52583.0</v>
      </c>
      <c r="H24" s="18"/>
      <c r="I24" s="18"/>
      <c r="J24" s="18"/>
      <c r="K24" s="18"/>
      <c r="L24" s="18"/>
      <c r="M24" s="18"/>
    </row>
    <row r="25">
      <c r="A25" s="18" t="s">
        <v>123</v>
      </c>
      <c r="B25" s="32">
        <v>55000.0</v>
      </c>
      <c r="C25" s="33">
        <v>47310.0</v>
      </c>
      <c r="D25" s="34">
        <v>55000.0</v>
      </c>
      <c r="E25" s="35">
        <v>48155.0</v>
      </c>
      <c r="F25" s="34">
        <v>55000.0</v>
      </c>
      <c r="G25" s="32">
        <v>52014.0</v>
      </c>
      <c r="H25" s="18"/>
      <c r="I25" s="18"/>
      <c r="J25" s="18"/>
      <c r="K25" s="18"/>
      <c r="L25" s="18"/>
      <c r="M25" s="18"/>
    </row>
    <row r="26">
      <c r="A26" s="18" t="s">
        <v>112</v>
      </c>
      <c r="B26" s="32">
        <v>55000.0</v>
      </c>
      <c r="C26" s="33">
        <v>53858.0</v>
      </c>
      <c r="D26" s="34">
        <v>55000.0</v>
      </c>
      <c r="E26" s="35">
        <v>49826.0</v>
      </c>
      <c r="F26" s="34">
        <v>55000.0</v>
      </c>
      <c r="G26" s="32">
        <v>58998.0</v>
      </c>
      <c r="H26" s="18"/>
      <c r="I26" s="18"/>
      <c r="J26" s="18"/>
      <c r="K26" s="18"/>
      <c r="L26" s="18"/>
      <c r="M26" s="18"/>
    </row>
    <row r="27">
      <c r="A27" s="18" t="s">
        <v>134</v>
      </c>
      <c r="B27" s="32">
        <v>55000.0</v>
      </c>
      <c r="C27" s="33">
        <v>59427.0</v>
      </c>
      <c r="D27" s="34">
        <v>55000.0</v>
      </c>
      <c r="E27" s="35">
        <v>59076.0</v>
      </c>
      <c r="F27" s="34">
        <v>55000.0</v>
      </c>
      <c r="G27" s="32">
        <v>70185.0</v>
      </c>
      <c r="H27" s="18"/>
      <c r="I27" s="18"/>
      <c r="J27" s="18"/>
      <c r="K27" s="18"/>
      <c r="L27" s="18"/>
      <c r="M27" s="18"/>
    </row>
    <row r="28">
      <c r="A28" s="18" t="s">
        <v>125</v>
      </c>
      <c r="B28" s="32">
        <v>55000.0</v>
      </c>
      <c r="C28" s="33">
        <v>63171.0</v>
      </c>
      <c r="D28" s="34">
        <v>55000.0</v>
      </c>
      <c r="E28" s="35">
        <v>64025.0</v>
      </c>
      <c r="F28" s="34">
        <v>55000.0</v>
      </c>
      <c r="G28" s="32">
        <v>71725.0</v>
      </c>
      <c r="H28" s="18"/>
      <c r="I28" s="18"/>
      <c r="J28" s="18"/>
      <c r="K28" s="18"/>
      <c r="L28" s="18"/>
      <c r="M28" s="18"/>
    </row>
    <row r="29">
      <c r="A29" s="18" t="s">
        <v>129</v>
      </c>
      <c r="B29" s="32">
        <v>55000.0</v>
      </c>
      <c r="C29" s="33">
        <v>57795.0</v>
      </c>
      <c r="D29" s="34">
        <v>55000.0</v>
      </c>
      <c r="E29" s="35">
        <v>59516.0</v>
      </c>
      <c r="F29" s="34">
        <v>55000.0</v>
      </c>
      <c r="G29" s="32">
        <v>66715.0</v>
      </c>
      <c r="H29" s="18"/>
      <c r="I29" s="18"/>
      <c r="J29" s="18"/>
      <c r="K29" s="18"/>
      <c r="L29" s="18"/>
      <c r="M29" s="18"/>
    </row>
    <row r="30">
      <c r="A30" s="18" t="s">
        <v>120</v>
      </c>
      <c r="B30" s="32">
        <v>55000.0</v>
      </c>
      <c r="C30" s="33">
        <v>54625.0</v>
      </c>
      <c r="D30" s="34">
        <v>55000.0</v>
      </c>
      <c r="E30" s="35">
        <v>55164.0</v>
      </c>
      <c r="F30" s="34">
        <v>55000.0</v>
      </c>
      <c r="G30" s="32">
        <v>65731.0</v>
      </c>
      <c r="H30" s="18"/>
      <c r="I30" s="18"/>
      <c r="J30" s="18"/>
      <c r="K30" s="18"/>
      <c r="L30" s="18"/>
      <c r="M30" s="18"/>
    </row>
    <row r="31">
      <c r="A31" s="18" t="s">
        <v>126</v>
      </c>
      <c r="B31" s="32">
        <v>55000.0</v>
      </c>
      <c r="C31" s="33">
        <v>54838.0</v>
      </c>
      <c r="D31" s="34">
        <v>55000.0</v>
      </c>
      <c r="E31" s="35">
        <v>57725.0</v>
      </c>
      <c r="F31" s="34">
        <v>55000.0</v>
      </c>
      <c r="G31" s="32">
        <v>64774.0</v>
      </c>
      <c r="H31" s="18"/>
      <c r="I31" s="18"/>
      <c r="J31" s="18"/>
      <c r="K31" s="18"/>
      <c r="L31" s="18"/>
      <c r="M31" s="18"/>
    </row>
    <row r="32">
      <c r="A32" s="18" t="s">
        <v>118</v>
      </c>
      <c r="B32" s="32">
        <v>55000.0</v>
      </c>
      <c r="C32" s="33">
        <v>56102.0</v>
      </c>
      <c r="D32" s="34">
        <v>55000.0</v>
      </c>
      <c r="E32" s="35">
        <v>57083.0</v>
      </c>
      <c r="F32" s="34">
        <v>55000.0</v>
      </c>
      <c r="G32" s="32">
        <v>65958.0</v>
      </c>
      <c r="H32" s="18"/>
      <c r="I32" s="18"/>
      <c r="J32" s="18"/>
      <c r="K32" s="18"/>
      <c r="L32" s="18"/>
      <c r="M32" s="18"/>
    </row>
    <row r="33">
      <c r="G33" s="36"/>
    </row>
    <row r="34">
      <c r="G34" s="36"/>
    </row>
    <row r="35">
      <c r="G35" s="36"/>
    </row>
    <row r="36">
      <c r="G36" s="36"/>
    </row>
    <row r="37">
      <c r="G37" s="36"/>
    </row>
    <row r="38">
      <c r="G38" s="36"/>
    </row>
    <row r="39">
      <c r="G39" s="36"/>
    </row>
    <row r="40">
      <c r="G40" s="36"/>
    </row>
    <row r="41">
      <c r="G41" s="36"/>
    </row>
    <row r="42">
      <c r="G42" s="36"/>
    </row>
    <row r="43">
      <c r="G43" s="36"/>
    </row>
    <row r="44">
      <c r="G44" s="36"/>
    </row>
    <row r="45">
      <c r="G45" s="36"/>
    </row>
    <row r="46">
      <c r="G46" s="36"/>
    </row>
    <row r="47">
      <c r="G47" s="36"/>
    </row>
    <row r="48">
      <c r="G48" s="36"/>
    </row>
    <row r="49">
      <c r="G49" s="36"/>
    </row>
    <row r="50">
      <c r="G50" s="36"/>
    </row>
    <row r="51">
      <c r="G51" s="36"/>
    </row>
    <row r="52">
      <c r="G52" s="36"/>
    </row>
    <row r="53">
      <c r="G53" s="36"/>
    </row>
    <row r="54">
      <c r="G54" s="36"/>
    </row>
    <row r="55">
      <c r="G55" s="36"/>
    </row>
    <row r="56">
      <c r="G56" s="36"/>
    </row>
    <row r="57">
      <c r="G57" s="36"/>
    </row>
    <row r="58">
      <c r="G58" s="36"/>
    </row>
    <row r="59">
      <c r="G59" s="36"/>
    </row>
    <row r="60">
      <c r="G60" s="36"/>
    </row>
    <row r="61">
      <c r="G61" s="36"/>
    </row>
    <row r="62">
      <c r="G62" s="36"/>
    </row>
    <row r="63">
      <c r="G63" s="36"/>
    </row>
    <row r="64">
      <c r="G64" s="36"/>
    </row>
    <row r="65">
      <c r="G65" s="36"/>
    </row>
    <row r="66">
      <c r="G66" s="36"/>
    </row>
    <row r="67">
      <c r="G67" s="36"/>
    </row>
    <row r="68">
      <c r="G68" s="36"/>
    </row>
    <row r="69">
      <c r="G69" s="36"/>
    </row>
    <row r="70">
      <c r="G70" s="36"/>
    </row>
    <row r="71">
      <c r="G71" s="36"/>
    </row>
    <row r="72">
      <c r="G72" s="36"/>
    </row>
    <row r="73">
      <c r="G73" s="36"/>
    </row>
    <row r="74">
      <c r="G74" s="36"/>
    </row>
    <row r="75">
      <c r="G75" s="36"/>
    </row>
    <row r="76">
      <c r="G76" s="36"/>
    </row>
    <row r="77">
      <c r="G77" s="36"/>
    </row>
    <row r="78">
      <c r="G78" s="36"/>
    </row>
    <row r="79">
      <c r="G79" s="36"/>
    </row>
    <row r="80">
      <c r="G80" s="36"/>
    </row>
    <row r="81">
      <c r="G81" s="36"/>
    </row>
    <row r="82">
      <c r="G82" s="36"/>
    </row>
    <row r="83">
      <c r="G83" s="36"/>
    </row>
    <row r="84">
      <c r="G84" s="36"/>
    </row>
    <row r="85">
      <c r="G85" s="36"/>
    </row>
    <row r="86">
      <c r="G86" s="36"/>
    </row>
    <row r="87">
      <c r="G87" s="36"/>
    </row>
    <row r="88">
      <c r="G88" s="36"/>
    </row>
    <row r="89">
      <c r="G89" s="36"/>
    </row>
    <row r="90">
      <c r="G90" s="36"/>
    </row>
    <row r="91">
      <c r="G91" s="36"/>
    </row>
    <row r="92">
      <c r="G92" s="36"/>
    </row>
    <row r="93">
      <c r="G93" s="36"/>
    </row>
    <row r="94">
      <c r="G94" s="36"/>
    </row>
    <row r="95">
      <c r="G95" s="36"/>
    </row>
    <row r="96">
      <c r="G96" s="36"/>
    </row>
    <row r="97">
      <c r="G97" s="36"/>
    </row>
    <row r="98">
      <c r="G98" s="36"/>
    </row>
    <row r="99">
      <c r="G99" s="36"/>
    </row>
    <row r="100">
      <c r="G100" s="36"/>
    </row>
    <row r="101">
      <c r="G101" s="36"/>
    </row>
    <row r="102">
      <c r="G102" s="36"/>
    </row>
    <row r="103">
      <c r="G103" s="36"/>
    </row>
    <row r="104">
      <c r="G104" s="36"/>
    </row>
    <row r="105">
      <c r="G105" s="36"/>
    </row>
    <row r="106">
      <c r="G106" s="36"/>
    </row>
    <row r="107">
      <c r="G107" s="36"/>
    </row>
    <row r="108">
      <c r="G108" s="36"/>
    </row>
    <row r="109">
      <c r="G109" s="36"/>
    </row>
    <row r="110">
      <c r="G110" s="36"/>
    </row>
    <row r="111">
      <c r="G111" s="36"/>
    </row>
    <row r="112">
      <c r="G112" s="36"/>
    </row>
    <row r="113">
      <c r="G113" s="36"/>
    </row>
    <row r="114">
      <c r="G114" s="36"/>
    </row>
    <row r="115">
      <c r="G115" s="36"/>
    </row>
    <row r="116">
      <c r="G116" s="36"/>
    </row>
    <row r="117">
      <c r="G117" s="36"/>
    </row>
    <row r="118">
      <c r="G118" s="36"/>
    </row>
    <row r="119">
      <c r="G119" s="36"/>
    </row>
    <row r="120">
      <c r="G120" s="36"/>
    </row>
    <row r="121">
      <c r="G121" s="36"/>
    </row>
    <row r="122">
      <c r="G122" s="36"/>
    </row>
    <row r="123">
      <c r="G123" s="36"/>
    </row>
    <row r="124">
      <c r="G124" s="36"/>
    </row>
    <row r="125">
      <c r="G125" s="36"/>
    </row>
    <row r="126">
      <c r="G126" s="36"/>
    </row>
    <row r="127">
      <c r="G127" s="36"/>
    </row>
    <row r="128">
      <c r="G128" s="36"/>
    </row>
    <row r="129">
      <c r="G129" s="36"/>
    </row>
    <row r="130">
      <c r="G130" s="36"/>
    </row>
    <row r="131">
      <c r="G131" s="36"/>
    </row>
    <row r="132">
      <c r="G132" s="36"/>
    </row>
    <row r="133">
      <c r="G133" s="36"/>
    </row>
    <row r="134">
      <c r="G134" s="36"/>
    </row>
    <row r="135">
      <c r="G135" s="36"/>
    </row>
    <row r="136">
      <c r="G136" s="36"/>
    </row>
    <row r="137">
      <c r="G137" s="36"/>
    </row>
    <row r="138">
      <c r="G138" s="36"/>
    </row>
    <row r="139">
      <c r="G139" s="36"/>
    </row>
    <row r="140">
      <c r="G140" s="36"/>
    </row>
    <row r="141">
      <c r="G141" s="36"/>
    </row>
    <row r="142">
      <c r="G142" s="36"/>
    </row>
    <row r="143">
      <c r="G143" s="36"/>
    </row>
    <row r="144">
      <c r="G144" s="36"/>
    </row>
    <row r="145">
      <c r="G145" s="36"/>
    </row>
    <row r="146">
      <c r="G146" s="36"/>
    </row>
    <row r="147">
      <c r="G147" s="36"/>
    </row>
    <row r="148">
      <c r="G148" s="36"/>
    </row>
    <row r="149">
      <c r="G149" s="36"/>
    </row>
    <row r="150">
      <c r="G150" s="36"/>
    </row>
    <row r="151">
      <c r="G151" s="36"/>
    </row>
    <row r="152">
      <c r="G152" s="36"/>
    </row>
    <row r="153">
      <c r="G153" s="36"/>
    </row>
    <row r="154">
      <c r="G154" s="36"/>
    </row>
    <row r="155">
      <c r="G155" s="36"/>
    </row>
    <row r="156">
      <c r="G156" s="36"/>
    </row>
    <row r="157">
      <c r="G157" s="36"/>
    </row>
    <row r="158">
      <c r="G158" s="36"/>
    </row>
    <row r="159">
      <c r="G159" s="36"/>
    </row>
    <row r="160">
      <c r="G160" s="36"/>
    </row>
    <row r="161">
      <c r="G161" s="36"/>
    </row>
    <row r="162">
      <c r="G162" s="36"/>
    </row>
    <row r="163">
      <c r="G163" s="36"/>
    </row>
    <row r="164">
      <c r="G164" s="36"/>
    </row>
    <row r="165">
      <c r="G165" s="36"/>
    </row>
    <row r="166">
      <c r="G166" s="36"/>
    </row>
    <row r="167">
      <c r="G167" s="36"/>
    </row>
    <row r="168">
      <c r="G168" s="36"/>
    </row>
    <row r="169">
      <c r="G169" s="36"/>
    </row>
    <row r="170">
      <c r="G170" s="36"/>
    </row>
    <row r="171">
      <c r="G171" s="36"/>
    </row>
    <row r="172">
      <c r="G172" s="36"/>
    </row>
    <row r="173">
      <c r="G173" s="36"/>
    </row>
    <row r="174">
      <c r="G174" s="36"/>
    </row>
    <row r="175">
      <c r="G175" s="36"/>
    </row>
    <row r="176">
      <c r="G176" s="36"/>
    </row>
    <row r="177">
      <c r="G177" s="36"/>
    </row>
    <row r="178">
      <c r="G178" s="36"/>
    </row>
    <row r="179">
      <c r="G179" s="36"/>
    </row>
    <row r="180">
      <c r="G180" s="36"/>
    </row>
    <row r="181">
      <c r="G181" s="36"/>
    </row>
    <row r="182">
      <c r="G182" s="36"/>
    </row>
    <row r="183">
      <c r="G183" s="36"/>
    </row>
    <row r="184">
      <c r="G184" s="36"/>
    </row>
    <row r="185">
      <c r="G185" s="36"/>
    </row>
    <row r="186">
      <c r="G186" s="36"/>
    </row>
    <row r="187">
      <c r="G187" s="36"/>
    </row>
    <row r="188">
      <c r="G188" s="36"/>
    </row>
    <row r="189">
      <c r="G189" s="36"/>
    </row>
    <row r="190">
      <c r="G190" s="36"/>
    </row>
    <row r="191">
      <c r="G191" s="36"/>
    </row>
    <row r="192">
      <c r="G192" s="36"/>
    </row>
    <row r="193">
      <c r="G193" s="36"/>
    </row>
    <row r="194">
      <c r="G194" s="36"/>
    </row>
    <row r="195">
      <c r="G195" s="36"/>
    </row>
    <row r="196">
      <c r="G196" s="36"/>
    </row>
    <row r="197">
      <c r="G197" s="36"/>
    </row>
    <row r="198">
      <c r="G198" s="36"/>
    </row>
    <row r="199">
      <c r="G199" s="36"/>
    </row>
    <row r="200">
      <c r="G200" s="36"/>
    </row>
    <row r="201">
      <c r="G201" s="36"/>
    </row>
    <row r="202">
      <c r="G202" s="36"/>
    </row>
    <row r="203">
      <c r="G203" s="36"/>
    </row>
    <row r="204">
      <c r="G204" s="36"/>
    </row>
    <row r="205">
      <c r="G205" s="36"/>
    </row>
    <row r="206">
      <c r="G206" s="36"/>
    </row>
    <row r="207">
      <c r="G207" s="36"/>
    </row>
    <row r="208">
      <c r="G208" s="36"/>
    </row>
    <row r="209">
      <c r="G209" s="36"/>
    </row>
    <row r="210">
      <c r="G210" s="36"/>
    </row>
    <row r="211">
      <c r="G211" s="36"/>
    </row>
    <row r="212">
      <c r="G212" s="36"/>
    </row>
    <row r="213">
      <c r="G213" s="36"/>
    </row>
    <row r="214">
      <c r="G214" s="36"/>
    </row>
    <row r="215">
      <c r="G215" s="36"/>
    </row>
    <row r="216">
      <c r="G216" s="36"/>
    </row>
    <row r="217">
      <c r="G217" s="36"/>
    </row>
    <row r="218">
      <c r="G218" s="36"/>
    </row>
    <row r="219">
      <c r="G219" s="36"/>
    </row>
    <row r="220">
      <c r="G220" s="36"/>
    </row>
    <row r="221">
      <c r="G221" s="36"/>
    </row>
    <row r="222">
      <c r="G222" s="36"/>
    </row>
    <row r="223">
      <c r="G223" s="36"/>
    </row>
    <row r="224">
      <c r="G224" s="36"/>
    </row>
    <row r="225">
      <c r="G225" s="36"/>
    </row>
    <row r="226">
      <c r="G226" s="36"/>
    </row>
    <row r="227">
      <c r="G227" s="36"/>
    </row>
    <row r="228">
      <c r="G228" s="36"/>
    </row>
    <row r="229">
      <c r="G229" s="36"/>
    </row>
    <row r="230">
      <c r="G230" s="36"/>
    </row>
    <row r="231">
      <c r="G231" s="36"/>
    </row>
    <row r="232">
      <c r="G232" s="36"/>
    </row>
    <row r="233">
      <c r="G233" s="36"/>
    </row>
    <row r="234">
      <c r="G234" s="36"/>
    </row>
    <row r="235">
      <c r="G235" s="36"/>
    </row>
    <row r="236">
      <c r="G236" s="36"/>
    </row>
    <row r="237">
      <c r="G237" s="36"/>
    </row>
    <row r="238">
      <c r="G238" s="36"/>
    </row>
    <row r="239">
      <c r="G239" s="36"/>
    </row>
    <row r="240">
      <c r="G240" s="36"/>
    </row>
    <row r="241">
      <c r="G241" s="36"/>
    </row>
    <row r="242">
      <c r="G242" s="36"/>
    </row>
    <row r="243">
      <c r="G243" s="36"/>
    </row>
    <row r="244">
      <c r="G244" s="36"/>
    </row>
    <row r="245">
      <c r="G245" s="36"/>
    </row>
    <row r="246">
      <c r="G246" s="36"/>
    </row>
    <row r="247">
      <c r="G247" s="36"/>
    </row>
    <row r="248">
      <c r="G248" s="36"/>
    </row>
    <row r="249">
      <c r="G249" s="36"/>
    </row>
    <row r="250">
      <c r="G250" s="36"/>
    </row>
    <row r="251">
      <c r="G251" s="36"/>
    </row>
    <row r="252">
      <c r="G252" s="36"/>
    </row>
    <row r="253">
      <c r="G253" s="36"/>
    </row>
    <row r="254">
      <c r="G254" s="36"/>
    </row>
    <row r="255">
      <c r="G255" s="36"/>
    </row>
    <row r="256">
      <c r="G256" s="36"/>
    </row>
    <row r="257">
      <c r="G257" s="36"/>
    </row>
    <row r="258">
      <c r="G258" s="36"/>
    </row>
    <row r="259">
      <c r="G259" s="36"/>
    </row>
    <row r="260">
      <c r="G260" s="36"/>
    </row>
    <row r="261">
      <c r="G261" s="36"/>
    </row>
    <row r="262">
      <c r="G262" s="36"/>
    </row>
    <row r="263">
      <c r="G263" s="36"/>
    </row>
    <row r="264">
      <c r="G264" s="36"/>
    </row>
    <row r="265">
      <c r="G265" s="36"/>
    </row>
    <row r="266">
      <c r="G266" s="36"/>
    </row>
    <row r="267">
      <c r="G267" s="36"/>
    </row>
    <row r="268">
      <c r="G268" s="36"/>
    </row>
    <row r="269">
      <c r="G269" s="36"/>
    </row>
    <row r="270">
      <c r="G270" s="36"/>
    </row>
    <row r="271">
      <c r="G271" s="36"/>
    </row>
    <row r="272">
      <c r="G272" s="36"/>
    </row>
    <row r="273">
      <c r="G273" s="36"/>
    </row>
    <row r="274">
      <c r="G274" s="36"/>
    </row>
    <row r="275">
      <c r="G275" s="36"/>
    </row>
    <row r="276">
      <c r="G276" s="36"/>
    </row>
    <row r="277">
      <c r="G277" s="36"/>
    </row>
    <row r="278">
      <c r="G278" s="36"/>
    </row>
    <row r="279">
      <c r="G279" s="36"/>
    </row>
    <row r="280">
      <c r="G280" s="36"/>
    </row>
    <row r="281">
      <c r="G281" s="36"/>
    </row>
    <row r="282">
      <c r="G282" s="36"/>
    </row>
    <row r="283">
      <c r="G283" s="36"/>
    </row>
    <row r="284">
      <c r="G284" s="36"/>
    </row>
    <row r="285">
      <c r="G285" s="36"/>
    </row>
    <row r="286">
      <c r="G286" s="36"/>
    </row>
    <row r="287">
      <c r="G287" s="36"/>
    </row>
    <row r="288">
      <c r="G288" s="36"/>
    </row>
    <row r="289">
      <c r="G289" s="36"/>
    </row>
    <row r="290">
      <c r="G290" s="36"/>
    </row>
    <row r="291">
      <c r="G291" s="36"/>
    </row>
    <row r="292">
      <c r="G292" s="36"/>
    </row>
    <row r="293">
      <c r="G293" s="36"/>
    </row>
    <row r="294">
      <c r="G294" s="36"/>
    </row>
    <row r="295">
      <c r="G295" s="36"/>
    </row>
    <row r="296">
      <c r="G296" s="36"/>
    </row>
    <row r="297">
      <c r="G297" s="36"/>
    </row>
    <row r="298">
      <c r="G298" s="36"/>
    </row>
    <row r="299">
      <c r="G299" s="36"/>
    </row>
    <row r="300">
      <c r="G300" s="36"/>
    </row>
    <row r="301">
      <c r="G301" s="36"/>
    </row>
    <row r="302">
      <c r="G302" s="36"/>
    </row>
    <row r="303">
      <c r="G303" s="36"/>
    </row>
    <row r="304">
      <c r="G304" s="36"/>
    </row>
    <row r="305">
      <c r="G305" s="36"/>
    </row>
    <row r="306">
      <c r="G306" s="36"/>
    </row>
    <row r="307">
      <c r="G307" s="36"/>
    </row>
    <row r="308">
      <c r="G308" s="36"/>
    </row>
    <row r="309">
      <c r="G309" s="36"/>
    </row>
    <row r="310">
      <c r="G310" s="36"/>
    </row>
    <row r="311">
      <c r="G311" s="36"/>
    </row>
    <row r="312">
      <c r="G312" s="36"/>
    </row>
    <row r="313">
      <c r="G313" s="36"/>
    </row>
    <row r="314">
      <c r="G314" s="36"/>
    </row>
    <row r="315">
      <c r="G315" s="36"/>
    </row>
    <row r="316">
      <c r="G316" s="36"/>
    </row>
    <row r="317">
      <c r="G317" s="36"/>
    </row>
    <row r="318">
      <c r="G318" s="36"/>
    </row>
    <row r="319">
      <c r="G319" s="36"/>
    </row>
    <row r="320">
      <c r="G320" s="36"/>
    </row>
    <row r="321">
      <c r="G321" s="36"/>
    </row>
    <row r="322">
      <c r="G322" s="36"/>
    </row>
    <row r="323">
      <c r="G323" s="36"/>
    </row>
    <row r="324">
      <c r="G324" s="36"/>
    </row>
    <row r="325">
      <c r="G325" s="36"/>
    </row>
    <row r="326">
      <c r="G326" s="36"/>
    </row>
    <row r="327">
      <c r="G327" s="36"/>
    </row>
    <row r="328">
      <c r="G328" s="36"/>
    </row>
    <row r="329">
      <c r="G329" s="36"/>
    </row>
    <row r="330">
      <c r="G330" s="36"/>
    </row>
    <row r="331">
      <c r="G331" s="36"/>
    </row>
    <row r="332">
      <c r="G332" s="36"/>
    </row>
    <row r="333">
      <c r="G333" s="36"/>
    </row>
    <row r="334">
      <c r="G334" s="36"/>
    </row>
    <row r="335">
      <c r="G335" s="36"/>
    </row>
    <row r="336">
      <c r="G336" s="36"/>
    </row>
    <row r="337">
      <c r="G337" s="36"/>
    </row>
    <row r="338">
      <c r="G338" s="36"/>
    </row>
    <row r="339">
      <c r="G339" s="36"/>
    </row>
    <row r="340">
      <c r="G340" s="36"/>
    </row>
    <row r="341">
      <c r="G341" s="36"/>
    </row>
    <row r="342">
      <c r="G342" s="36"/>
    </row>
    <row r="343">
      <c r="G343" s="36"/>
    </row>
    <row r="344">
      <c r="G344" s="36"/>
    </row>
    <row r="345">
      <c r="G345" s="36"/>
    </row>
    <row r="346">
      <c r="G346" s="36"/>
    </row>
    <row r="347">
      <c r="G347" s="36"/>
    </row>
    <row r="348">
      <c r="G348" s="36"/>
    </row>
    <row r="349">
      <c r="G349" s="36"/>
    </row>
    <row r="350">
      <c r="G350" s="36"/>
    </row>
    <row r="351">
      <c r="G351" s="36"/>
    </row>
    <row r="352">
      <c r="G352" s="36"/>
    </row>
    <row r="353">
      <c r="G353" s="36"/>
    </row>
    <row r="354">
      <c r="G354" s="36"/>
    </row>
    <row r="355">
      <c r="G355" s="36"/>
    </row>
    <row r="356">
      <c r="G356" s="36"/>
    </row>
    <row r="357">
      <c r="G357" s="36"/>
    </row>
    <row r="358">
      <c r="G358" s="36"/>
    </row>
    <row r="359">
      <c r="G359" s="36"/>
    </row>
    <row r="360">
      <c r="G360" s="36"/>
    </row>
    <row r="361">
      <c r="G361" s="36"/>
    </row>
    <row r="362">
      <c r="G362" s="36"/>
    </row>
    <row r="363">
      <c r="G363" s="36"/>
    </row>
    <row r="364">
      <c r="G364" s="36"/>
    </row>
    <row r="365">
      <c r="G365" s="36"/>
    </row>
    <row r="366">
      <c r="G366" s="36"/>
    </row>
    <row r="367">
      <c r="G367" s="36"/>
    </row>
    <row r="368">
      <c r="G368" s="36"/>
    </row>
    <row r="369">
      <c r="G369" s="36"/>
    </row>
    <row r="370">
      <c r="G370" s="36"/>
    </row>
    <row r="371">
      <c r="G371" s="36"/>
    </row>
    <row r="372">
      <c r="G372" s="36"/>
    </row>
    <row r="373">
      <c r="G373" s="36"/>
    </row>
    <row r="374">
      <c r="G374" s="36"/>
    </row>
    <row r="375">
      <c r="G375" s="36"/>
    </row>
    <row r="376">
      <c r="G376" s="36"/>
    </row>
    <row r="377">
      <c r="G377" s="36"/>
    </row>
    <row r="378">
      <c r="G378" s="36"/>
    </row>
    <row r="379">
      <c r="G379" s="36"/>
    </row>
    <row r="380">
      <c r="G380" s="36"/>
    </row>
    <row r="381">
      <c r="G381" s="36"/>
    </row>
    <row r="382">
      <c r="G382" s="36"/>
    </row>
    <row r="383">
      <c r="G383" s="36"/>
    </row>
    <row r="384">
      <c r="G384" s="36"/>
    </row>
    <row r="385">
      <c r="G385" s="36"/>
    </row>
    <row r="386">
      <c r="G386" s="36"/>
    </row>
    <row r="387">
      <c r="G387" s="36"/>
    </row>
    <row r="388">
      <c r="G388" s="36"/>
    </row>
    <row r="389">
      <c r="G389" s="36"/>
    </row>
    <row r="390">
      <c r="G390" s="36"/>
    </row>
    <row r="391">
      <c r="G391" s="36"/>
    </row>
    <row r="392">
      <c r="G392" s="36"/>
    </row>
    <row r="393">
      <c r="G393" s="36"/>
    </row>
    <row r="394">
      <c r="G394" s="36"/>
    </row>
    <row r="395">
      <c r="G395" s="36"/>
    </row>
    <row r="396">
      <c r="G396" s="36"/>
    </row>
    <row r="397">
      <c r="G397" s="36"/>
    </row>
    <row r="398">
      <c r="G398" s="36"/>
    </row>
    <row r="399">
      <c r="G399" s="36"/>
    </row>
    <row r="400">
      <c r="G400" s="36"/>
    </row>
    <row r="401">
      <c r="G401" s="36"/>
    </row>
    <row r="402">
      <c r="G402" s="36"/>
    </row>
    <row r="403">
      <c r="G403" s="36"/>
    </row>
    <row r="404">
      <c r="G404" s="36"/>
    </row>
    <row r="405">
      <c r="G405" s="36"/>
    </row>
    <row r="406">
      <c r="G406" s="36"/>
    </row>
    <row r="407">
      <c r="G407" s="36"/>
    </row>
    <row r="408">
      <c r="G408" s="36"/>
    </row>
    <row r="409">
      <c r="G409" s="36"/>
    </row>
    <row r="410">
      <c r="G410" s="36"/>
    </row>
    <row r="411">
      <c r="G411" s="36"/>
    </row>
    <row r="412">
      <c r="G412" s="36"/>
    </row>
    <row r="413">
      <c r="G413" s="36"/>
    </row>
    <row r="414">
      <c r="G414" s="36"/>
    </row>
    <row r="415">
      <c r="G415" s="36"/>
    </row>
    <row r="416">
      <c r="G416" s="36"/>
    </row>
    <row r="417">
      <c r="G417" s="36"/>
    </row>
    <row r="418">
      <c r="G418" s="36"/>
    </row>
    <row r="419">
      <c r="G419" s="36"/>
    </row>
    <row r="420">
      <c r="G420" s="36"/>
    </row>
    <row r="421">
      <c r="G421" s="36"/>
    </row>
    <row r="422">
      <c r="G422" s="36"/>
    </row>
    <row r="423">
      <c r="G423" s="36"/>
    </row>
    <row r="424">
      <c r="G424" s="36"/>
    </row>
    <row r="425">
      <c r="G425" s="36"/>
    </row>
    <row r="426">
      <c r="G426" s="36"/>
    </row>
    <row r="427">
      <c r="G427" s="36"/>
    </row>
    <row r="428">
      <c r="G428" s="36"/>
    </row>
    <row r="429">
      <c r="G429" s="36"/>
    </row>
    <row r="430">
      <c r="G430" s="36"/>
    </row>
    <row r="431">
      <c r="G431" s="36"/>
    </row>
    <row r="432">
      <c r="G432" s="36"/>
    </row>
    <row r="433">
      <c r="G433" s="36"/>
    </row>
    <row r="434">
      <c r="G434" s="36"/>
    </row>
    <row r="435">
      <c r="G435" s="36"/>
    </row>
    <row r="436">
      <c r="G436" s="36"/>
    </row>
    <row r="437">
      <c r="G437" s="36"/>
    </row>
    <row r="438">
      <c r="G438" s="36"/>
    </row>
    <row r="439">
      <c r="G439" s="36"/>
    </row>
    <row r="440">
      <c r="G440" s="36"/>
    </row>
    <row r="441">
      <c r="G441" s="36"/>
    </row>
    <row r="442">
      <c r="G442" s="36"/>
    </row>
    <row r="443">
      <c r="G443" s="36"/>
    </row>
    <row r="444">
      <c r="G444" s="36"/>
    </row>
    <row r="445">
      <c r="G445" s="36"/>
    </row>
    <row r="446">
      <c r="G446" s="36"/>
    </row>
    <row r="447">
      <c r="G447" s="36"/>
    </row>
    <row r="448">
      <c r="G448" s="36"/>
    </row>
    <row r="449">
      <c r="G449" s="36"/>
    </row>
    <row r="450">
      <c r="G450" s="36"/>
    </row>
    <row r="451">
      <c r="G451" s="36"/>
    </row>
    <row r="452">
      <c r="G452" s="36"/>
    </row>
    <row r="453">
      <c r="G453" s="36"/>
    </row>
    <row r="454">
      <c r="G454" s="36"/>
    </row>
    <row r="455">
      <c r="G455" s="36"/>
    </row>
    <row r="456">
      <c r="G456" s="36"/>
    </row>
    <row r="457">
      <c r="G457" s="36"/>
    </row>
    <row r="458">
      <c r="G458" s="36"/>
    </row>
    <row r="459">
      <c r="G459" s="36"/>
    </row>
    <row r="460">
      <c r="G460" s="36"/>
    </row>
    <row r="461">
      <c r="G461" s="36"/>
    </row>
    <row r="462">
      <c r="G462" s="36"/>
    </row>
    <row r="463">
      <c r="G463" s="36"/>
    </row>
    <row r="464">
      <c r="G464" s="36"/>
    </row>
    <row r="465">
      <c r="G465" s="36"/>
    </row>
    <row r="466">
      <c r="G466" s="36"/>
    </row>
    <row r="467">
      <c r="G467" s="36"/>
    </row>
    <row r="468">
      <c r="G468" s="36"/>
    </row>
    <row r="469">
      <c r="G469" s="36"/>
    </row>
    <row r="470">
      <c r="G470" s="36"/>
    </row>
    <row r="471">
      <c r="G471" s="36"/>
    </row>
    <row r="472">
      <c r="G472" s="36"/>
    </row>
    <row r="473">
      <c r="G473" s="36"/>
    </row>
    <row r="474">
      <c r="G474" s="36"/>
    </row>
    <row r="475">
      <c r="G475" s="36"/>
    </row>
    <row r="476">
      <c r="G476" s="36"/>
    </row>
    <row r="477">
      <c r="G477" s="36"/>
    </row>
    <row r="478">
      <c r="G478" s="36"/>
    </row>
    <row r="479">
      <c r="G479" s="36"/>
    </row>
    <row r="480">
      <c r="G480" s="36"/>
    </row>
    <row r="481">
      <c r="G481" s="36"/>
    </row>
    <row r="482">
      <c r="G482" s="36"/>
    </row>
    <row r="483">
      <c r="G483" s="36"/>
    </row>
    <row r="484">
      <c r="G484" s="36"/>
    </row>
    <row r="485">
      <c r="G485" s="36"/>
    </row>
    <row r="486">
      <c r="G486" s="36"/>
    </row>
    <row r="487">
      <c r="G487" s="36"/>
    </row>
    <row r="488">
      <c r="G488" s="36"/>
    </row>
    <row r="489">
      <c r="G489" s="36"/>
    </row>
    <row r="490">
      <c r="G490" s="36"/>
    </row>
    <row r="491">
      <c r="G491" s="36"/>
    </row>
    <row r="492">
      <c r="G492" s="36"/>
    </row>
    <row r="493">
      <c r="G493" s="36"/>
    </row>
    <row r="494">
      <c r="G494" s="36"/>
    </row>
    <row r="495">
      <c r="G495" s="36"/>
    </row>
    <row r="496">
      <c r="G496" s="36"/>
    </row>
    <row r="497">
      <c r="G497" s="36"/>
    </row>
    <row r="498">
      <c r="G498" s="36"/>
    </row>
    <row r="499">
      <c r="G499" s="36"/>
    </row>
    <row r="500">
      <c r="G500" s="36"/>
    </row>
    <row r="501">
      <c r="G501" s="36"/>
    </row>
    <row r="502">
      <c r="G502" s="36"/>
    </row>
    <row r="503">
      <c r="G503" s="36"/>
    </row>
    <row r="504">
      <c r="G504" s="36"/>
    </row>
    <row r="505">
      <c r="G505" s="36"/>
    </row>
    <row r="506">
      <c r="G506" s="36"/>
    </row>
    <row r="507">
      <c r="G507" s="36"/>
    </row>
    <row r="508">
      <c r="G508" s="36"/>
    </row>
    <row r="509">
      <c r="G509" s="36"/>
    </row>
    <row r="510">
      <c r="G510" s="36"/>
    </row>
    <row r="511">
      <c r="G511" s="36"/>
    </row>
    <row r="512">
      <c r="G512" s="36"/>
    </row>
    <row r="513">
      <c r="G513" s="36"/>
    </row>
    <row r="514">
      <c r="G514" s="36"/>
    </row>
    <row r="515">
      <c r="G515" s="36"/>
    </row>
    <row r="516">
      <c r="G516" s="36"/>
    </row>
    <row r="517">
      <c r="G517" s="36"/>
    </row>
    <row r="518">
      <c r="G518" s="36"/>
    </row>
    <row r="519">
      <c r="G519" s="36"/>
    </row>
    <row r="520">
      <c r="G520" s="36"/>
    </row>
    <row r="521">
      <c r="G521" s="36"/>
    </row>
    <row r="522">
      <c r="G522" s="36"/>
    </row>
    <row r="523">
      <c r="G523" s="36"/>
    </row>
    <row r="524">
      <c r="G524" s="36"/>
    </row>
    <row r="525">
      <c r="G525" s="36"/>
    </row>
    <row r="526">
      <c r="G526" s="36"/>
    </row>
    <row r="527">
      <c r="G527" s="36"/>
    </row>
    <row r="528">
      <c r="G528" s="36"/>
    </row>
    <row r="529">
      <c r="G529" s="36"/>
    </row>
    <row r="530">
      <c r="G530" s="36"/>
    </row>
    <row r="531">
      <c r="G531" s="36"/>
    </row>
    <row r="532">
      <c r="G532" s="36"/>
    </row>
    <row r="533">
      <c r="G533" s="36"/>
    </row>
    <row r="534">
      <c r="G534" s="36"/>
    </row>
    <row r="535">
      <c r="G535" s="36"/>
    </row>
    <row r="536">
      <c r="G536" s="36"/>
    </row>
    <row r="537">
      <c r="G537" s="36"/>
    </row>
    <row r="538">
      <c r="G538" s="36"/>
    </row>
    <row r="539">
      <c r="G539" s="36"/>
    </row>
    <row r="540">
      <c r="G540" s="36"/>
    </row>
    <row r="541">
      <c r="G541" s="36"/>
    </row>
    <row r="542">
      <c r="G542" s="36"/>
    </row>
    <row r="543">
      <c r="G543" s="36"/>
    </row>
    <row r="544">
      <c r="G544" s="36"/>
    </row>
    <row r="545">
      <c r="G545" s="36"/>
    </row>
    <row r="546">
      <c r="G546" s="36"/>
    </row>
    <row r="547">
      <c r="G547" s="36"/>
    </row>
    <row r="548">
      <c r="G548" s="36"/>
    </row>
    <row r="549">
      <c r="G549" s="36"/>
    </row>
    <row r="550">
      <c r="G550" s="36"/>
    </row>
    <row r="551">
      <c r="G551" s="36"/>
    </row>
    <row r="552">
      <c r="G552" s="36"/>
    </row>
    <row r="553">
      <c r="G553" s="36"/>
    </row>
    <row r="554">
      <c r="G554" s="36"/>
    </row>
    <row r="555">
      <c r="G555" s="36"/>
    </row>
    <row r="556">
      <c r="G556" s="36"/>
    </row>
    <row r="557">
      <c r="G557" s="36"/>
    </row>
    <row r="558">
      <c r="G558" s="36"/>
    </row>
    <row r="559">
      <c r="G559" s="36"/>
    </row>
    <row r="560">
      <c r="G560" s="36"/>
    </row>
    <row r="561">
      <c r="G561" s="36"/>
    </row>
    <row r="562">
      <c r="G562" s="36"/>
    </row>
    <row r="563">
      <c r="G563" s="36"/>
    </row>
    <row r="564">
      <c r="G564" s="36"/>
    </row>
    <row r="565">
      <c r="G565" s="36"/>
    </row>
    <row r="566">
      <c r="G566" s="36"/>
    </row>
    <row r="567">
      <c r="G567" s="36"/>
    </row>
    <row r="568">
      <c r="G568" s="36"/>
    </row>
    <row r="569">
      <c r="G569" s="36"/>
    </row>
    <row r="570">
      <c r="G570" s="36"/>
    </row>
    <row r="571">
      <c r="G571" s="36"/>
    </row>
    <row r="572">
      <c r="G572" s="36"/>
    </row>
    <row r="573">
      <c r="G573" s="36"/>
    </row>
    <row r="574">
      <c r="G574" s="36"/>
    </row>
    <row r="575">
      <c r="G575" s="36"/>
    </row>
    <row r="576">
      <c r="G576" s="36"/>
    </row>
    <row r="577">
      <c r="G577" s="36"/>
    </row>
    <row r="578">
      <c r="G578" s="36"/>
    </row>
    <row r="579">
      <c r="G579" s="36"/>
    </row>
    <row r="580">
      <c r="G580" s="36"/>
    </row>
    <row r="581">
      <c r="G581" s="36"/>
    </row>
    <row r="582">
      <c r="G582" s="36"/>
    </row>
    <row r="583">
      <c r="G583" s="36"/>
    </row>
    <row r="584">
      <c r="G584" s="36"/>
    </row>
    <row r="585">
      <c r="G585" s="36"/>
    </row>
    <row r="586">
      <c r="G586" s="36"/>
    </row>
    <row r="587">
      <c r="G587" s="36"/>
    </row>
    <row r="588">
      <c r="G588" s="36"/>
    </row>
    <row r="589">
      <c r="G589" s="36"/>
    </row>
    <row r="590">
      <c r="G590" s="36"/>
    </row>
    <row r="591">
      <c r="G591" s="36"/>
    </row>
    <row r="592">
      <c r="G592" s="36"/>
    </row>
    <row r="593">
      <c r="G593" s="36"/>
    </row>
    <row r="594">
      <c r="G594" s="36"/>
    </row>
    <row r="595">
      <c r="G595" s="36"/>
    </row>
    <row r="596">
      <c r="G596" s="36"/>
    </row>
    <row r="597">
      <c r="G597" s="36"/>
    </row>
    <row r="598">
      <c r="G598" s="36"/>
    </row>
    <row r="599">
      <c r="G599" s="36"/>
    </row>
    <row r="600">
      <c r="G600" s="36"/>
    </row>
    <row r="601">
      <c r="G601" s="36"/>
    </row>
    <row r="602">
      <c r="G602" s="36"/>
    </row>
    <row r="603">
      <c r="G603" s="36"/>
    </row>
    <row r="604">
      <c r="G604" s="36"/>
    </row>
    <row r="605">
      <c r="G605" s="36"/>
    </row>
    <row r="606">
      <c r="G606" s="36"/>
    </row>
    <row r="607">
      <c r="G607" s="36"/>
    </row>
    <row r="608">
      <c r="G608" s="36"/>
    </row>
    <row r="609">
      <c r="G609" s="36"/>
    </row>
    <row r="610">
      <c r="G610" s="36"/>
    </row>
    <row r="611">
      <c r="G611" s="36"/>
    </row>
    <row r="612">
      <c r="G612" s="36"/>
    </row>
    <row r="613">
      <c r="G613" s="36"/>
    </row>
    <row r="614">
      <c r="G614" s="36"/>
    </row>
    <row r="615">
      <c r="G615" s="36"/>
    </row>
    <row r="616">
      <c r="G616" s="36"/>
    </row>
    <row r="617">
      <c r="G617" s="36"/>
    </row>
    <row r="618">
      <c r="G618" s="36"/>
    </row>
    <row r="619">
      <c r="G619" s="36"/>
    </row>
    <row r="620">
      <c r="G620" s="36"/>
    </row>
    <row r="621">
      <c r="G621" s="36"/>
    </row>
    <row r="622">
      <c r="G622" s="36"/>
    </row>
    <row r="623">
      <c r="G623" s="36"/>
    </row>
    <row r="624">
      <c r="G624" s="36"/>
    </row>
    <row r="625">
      <c r="G625" s="36"/>
    </row>
    <row r="626">
      <c r="G626" s="36"/>
    </row>
    <row r="627">
      <c r="G627" s="36"/>
    </row>
    <row r="628">
      <c r="G628" s="36"/>
    </row>
    <row r="629">
      <c r="G629" s="36"/>
    </row>
    <row r="630">
      <c r="G630" s="36"/>
    </row>
    <row r="631">
      <c r="G631" s="36"/>
    </row>
    <row r="632">
      <c r="G632" s="36"/>
    </row>
    <row r="633">
      <c r="G633" s="36"/>
    </row>
    <row r="634">
      <c r="G634" s="36"/>
    </row>
    <row r="635">
      <c r="G635" s="36"/>
    </row>
    <row r="636">
      <c r="G636" s="36"/>
    </row>
    <row r="637">
      <c r="G637" s="36"/>
    </row>
    <row r="638">
      <c r="G638" s="36"/>
    </row>
    <row r="639">
      <c r="G639" s="36"/>
    </row>
    <row r="640">
      <c r="G640" s="36"/>
    </row>
    <row r="641">
      <c r="G641" s="36"/>
    </row>
    <row r="642">
      <c r="G642" s="36"/>
    </row>
    <row r="643">
      <c r="G643" s="36"/>
    </row>
    <row r="644">
      <c r="G644" s="36"/>
    </row>
    <row r="645">
      <c r="G645" s="36"/>
    </row>
    <row r="646">
      <c r="G646" s="36"/>
    </row>
    <row r="647">
      <c r="G647" s="36"/>
    </row>
    <row r="648">
      <c r="G648" s="36"/>
    </row>
    <row r="649">
      <c r="G649" s="36"/>
    </row>
    <row r="650">
      <c r="G650" s="36"/>
    </row>
    <row r="651">
      <c r="G651" s="36"/>
    </row>
    <row r="652">
      <c r="G652" s="36"/>
    </row>
    <row r="653">
      <c r="G653" s="36"/>
    </row>
    <row r="654">
      <c r="G654" s="36"/>
    </row>
    <row r="655">
      <c r="G655" s="36"/>
    </row>
    <row r="656">
      <c r="G656" s="36"/>
    </row>
    <row r="657">
      <c r="G657" s="36"/>
    </row>
    <row r="658">
      <c r="G658" s="36"/>
    </row>
    <row r="659">
      <c r="G659" s="36"/>
    </row>
    <row r="660">
      <c r="G660" s="36"/>
    </row>
    <row r="661">
      <c r="G661" s="36"/>
    </row>
    <row r="662">
      <c r="G662" s="36"/>
    </row>
    <row r="663">
      <c r="G663" s="36"/>
    </row>
    <row r="664">
      <c r="G664" s="36"/>
    </row>
    <row r="665">
      <c r="G665" s="36"/>
    </row>
    <row r="666">
      <c r="G666" s="36"/>
    </row>
    <row r="667">
      <c r="G667" s="36"/>
    </row>
    <row r="668">
      <c r="G668" s="36"/>
    </row>
    <row r="669">
      <c r="G669" s="36"/>
    </row>
    <row r="670">
      <c r="G670" s="36"/>
    </row>
    <row r="671">
      <c r="G671" s="36"/>
    </row>
    <row r="672">
      <c r="G672" s="36"/>
    </row>
    <row r="673">
      <c r="G673" s="36"/>
    </row>
    <row r="674">
      <c r="G674" s="36"/>
    </row>
    <row r="675">
      <c r="G675" s="36"/>
    </row>
    <row r="676">
      <c r="G676" s="36"/>
    </row>
    <row r="677">
      <c r="G677" s="36"/>
    </row>
    <row r="678">
      <c r="G678" s="36"/>
    </row>
    <row r="679">
      <c r="G679" s="36"/>
    </row>
    <row r="680">
      <c r="G680" s="36"/>
    </row>
    <row r="681">
      <c r="G681" s="36"/>
    </row>
    <row r="682">
      <c r="G682" s="36"/>
    </row>
    <row r="683">
      <c r="G683" s="36"/>
    </row>
    <row r="684">
      <c r="G684" s="36"/>
    </row>
    <row r="685">
      <c r="G685" s="36"/>
    </row>
    <row r="686">
      <c r="G686" s="36"/>
    </row>
    <row r="687">
      <c r="G687" s="36"/>
    </row>
    <row r="688">
      <c r="G688" s="36"/>
    </row>
    <row r="689">
      <c r="G689" s="36"/>
    </row>
    <row r="690">
      <c r="G690" s="36"/>
    </row>
    <row r="691">
      <c r="G691" s="36"/>
    </row>
    <row r="692">
      <c r="G692" s="36"/>
    </row>
    <row r="693">
      <c r="G693" s="36"/>
    </row>
    <row r="694">
      <c r="G694" s="36"/>
    </row>
    <row r="695">
      <c r="G695" s="36"/>
    </row>
    <row r="696">
      <c r="G696" s="36"/>
    </row>
    <row r="697">
      <c r="G697" s="36"/>
    </row>
    <row r="698">
      <c r="G698" s="36"/>
    </row>
    <row r="699">
      <c r="G699" s="36"/>
    </row>
    <row r="700">
      <c r="G700" s="36"/>
    </row>
    <row r="701">
      <c r="G701" s="36"/>
    </row>
    <row r="702">
      <c r="G702" s="36"/>
    </row>
    <row r="703">
      <c r="G703" s="36"/>
    </row>
    <row r="704">
      <c r="G704" s="36"/>
    </row>
    <row r="705">
      <c r="G705" s="36"/>
    </row>
    <row r="706">
      <c r="G706" s="36"/>
    </row>
    <row r="707">
      <c r="G707" s="36"/>
    </row>
    <row r="708">
      <c r="G708" s="36"/>
    </row>
    <row r="709">
      <c r="G709" s="36"/>
    </row>
    <row r="710">
      <c r="G710" s="36"/>
    </row>
    <row r="711">
      <c r="G711" s="36"/>
    </row>
    <row r="712">
      <c r="G712" s="36"/>
    </row>
    <row r="713">
      <c r="G713" s="36"/>
    </row>
    <row r="714">
      <c r="G714" s="36"/>
    </row>
    <row r="715">
      <c r="G715" s="36"/>
    </row>
    <row r="716">
      <c r="G716" s="36"/>
    </row>
    <row r="717">
      <c r="G717" s="36"/>
    </row>
    <row r="718">
      <c r="G718" s="36"/>
    </row>
    <row r="719">
      <c r="G719" s="36"/>
    </row>
    <row r="720">
      <c r="G720" s="36"/>
    </row>
    <row r="721">
      <c r="G721" s="36"/>
    </row>
    <row r="722">
      <c r="G722" s="36"/>
    </row>
    <row r="723">
      <c r="G723" s="36"/>
    </row>
    <row r="724">
      <c r="G724" s="36"/>
    </row>
    <row r="725">
      <c r="G725" s="36"/>
    </row>
    <row r="726">
      <c r="G726" s="36"/>
    </row>
    <row r="727">
      <c r="G727" s="36"/>
    </row>
    <row r="728">
      <c r="G728" s="36"/>
    </row>
    <row r="729">
      <c r="G729" s="36"/>
    </row>
    <row r="730">
      <c r="G730" s="36"/>
    </row>
    <row r="731">
      <c r="G731" s="36"/>
    </row>
    <row r="732">
      <c r="G732" s="36"/>
    </row>
    <row r="733">
      <c r="G733" s="36"/>
    </row>
    <row r="734">
      <c r="G734" s="36"/>
    </row>
    <row r="735">
      <c r="G735" s="36"/>
    </row>
    <row r="736">
      <c r="G736" s="36"/>
    </row>
    <row r="737">
      <c r="G737" s="36"/>
    </row>
    <row r="738">
      <c r="G738" s="36"/>
    </row>
    <row r="739">
      <c r="G739" s="36"/>
    </row>
    <row r="740">
      <c r="G740" s="36"/>
    </row>
    <row r="741">
      <c r="G741" s="36"/>
    </row>
    <row r="742">
      <c r="G742" s="36"/>
    </row>
    <row r="743">
      <c r="G743" s="36"/>
    </row>
    <row r="744">
      <c r="G744" s="36"/>
    </row>
    <row r="745">
      <c r="G745" s="36"/>
    </row>
    <row r="746">
      <c r="G746" s="36"/>
    </row>
    <row r="747">
      <c r="G747" s="36"/>
    </row>
    <row r="748">
      <c r="G748" s="36"/>
    </row>
    <row r="749">
      <c r="G749" s="36"/>
    </row>
    <row r="750">
      <c r="G750" s="36"/>
    </row>
    <row r="751">
      <c r="G751" s="36"/>
    </row>
    <row r="752">
      <c r="G752" s="36"/>
    </row>
    <row r="753">
      <c r="G753" s="36"/>
    </row>
    <row r="754">
      <c r="G754" s="36"/>
    </row>
    <row r="755">
      <c r="G755" s="36"/>
    </row>
    <row r="756">
      <c r="G756" s="36"/>
    </row>
    <row r="757">
      <c r="G757" s="36"/>
    </row>
    <row r="758">
      <c r="G758" s="36"/>
    </row>
    <row r="759">
      <c r="G759" s="36"/>
    </row>
    <row r="760">
      <c r="G760" s="36"/>
    </row>
    <row r="761">
      <c r="G761" s="36"/>
    </row>
    <row r="762">
      <c r="G762" s="36"/>
    </row>
    <row r="763">
      <c r="G763" s="36"/>
    </row>
    <row r="764">
      <c r="G764" s="36"/>
    </row>
    <row r="765">
      <c r="G765" s="36"/>
    </row>
    <row r="766">
      <c r="G766" s="36"/>
    </row>
    <row r="767">
      <c r="G767" s="36"/>
    </row>
    <row r="768">
      <c r="G768" s="36"/>
    </row>
    <row r="769">
      <c r="G769" s="36"/>
    </row>
    <row r="770">
      <c r="G770" s="36"/>
    </row>
    <row r="771">
      <c r="G771" s="36"/>
    </row>
    <row r="772">
      <c r="G772" s="36"/>
    </row>
    <row r="773">
      <c r="G773" s="36"/>
    </row>
    <row r="774">
      <c r="G774" s="36"/>
    </row>
    <row r="775">
      <c r="G775" s="36"/>
    </row>
    <row r="776">
      <c r="G776" s="36"/>
    </row>
    <row r="777">
      <c r="G777" s="36"/>
    </row>
    <row r="778">
      <c r="G778" s="36"/>
    </row>
    <row r="779">
      <c r="G779" s="36"/>
    </row>
    <row r="780">
      <c r="G780" s="36"/>
    </row>
    <row r="781">
      <c r="G781" s="36"/>
    </row>
    <row r="782">
      <c r="G782" s="36"/>
    </row>
    <row r="783">
      <c r="G783" s="36"/>
    </row>
    <row r="784">
      <c r="G784" s="36"/>
    </row>
    <row r="785">
      <c r="G785" s="36"/>
    </row>
    <row r="786">
      <c r="G786" s="36"/>
    </row>
    <row r="787">
      <c r="G787" s="36"/>
    </row>
    <row r="788">
      <c r="G788" s="36"/>
    </row>
    <row r="789">
      <c r="G789" s="36"/>
    </row>
    <row r="790">
      <c r="G790" s="36"/>
    </row>
    <row r="791">
      <c r="G791" s="36"/>
    </row>
    <row r="792">
      <c r="G792" s="36"/>
    </row>
    <row r="793">
      <c r="G793" s="36"/>
    </row>
    <row r="794">
      <c r="G794" s="36"/>
    </row>
    <row r="795">
      <c r="G795" s="36"/>
    </row>
    <row r="796">
      <c r="G796" s="36"/>
    </row>
    <row r="797">
      <c r="G797" s="36"/>
    </row>
    <row r="798">
      <c r="G798" s="36"/>
    </row>
    <row r="799">
      <c r="G799" s="36"/>
    </row>
    <row r="800">
      <c r="G800" s="36"/>
    </row>
    <row r="801">
      <c r="G801" s="36"/>
    </row>
    <row r="802">
      <c r="G802" s="36"/>
    </row>
    <row r="803">
      <c r="G803" s="36"/>
    </row>
    <row r="804">
      <c r="G804" s="36"/>
    </row>
    <row r="805">
      <c r="G805" s="36"/>
    </row>
    <row r="806">
      <c r="G806" s="36"/>
    </row>
    <row r="807">
      <c r="G807" s="36"/>
    </row>
    <row r="808">
      <c r="G808" s="36"/>
    </row>
    <row r="809">
      <c r="G809" s="36"/>
    </row>
    <row r="810">
      <c r="G810" s="36"/>
    </row>
    <row r="811">
      <c r="G811" s="36"/>
    </row>
    <row r="812">
      <c r="G812" s="36"/>
    </row>
    <row r="813">
      <c r="G813" s="36"/>
    </row>
    <row r="814">
      <c r="G814" s="36"/>
    </row>
    <row r="815">
      <c r="G815" s="36"/>
    </row>
    <row r="816">
      <c r="G816" s="36"/>
    </row>
    <row r="817">
      <c r="G817" s="36"/>
    </row>
    <row r="818">
      <c r="G818" s="36"/>
    </row>
    <row r="819">
      <c r="G819" s="36"/>
    </row>
    <row r="820">
      <c r="G820" s="36"/>
    </row>
    <row r="821">
      <c r="G821" s="36"/>
    </row>
    <row r="822">
      <c r="G822" s="36"/>
    </row>
    <row r="823">
      <c r="G823" s="36"/>
    </row>
    <row r="824">
      <c r="G824" s="36"/>
    </row>
    <row r="825">
      <c r="G825" s="36"/>
    </row>
    <row r="826">
      <c r="G826" s="36"/>
    </row>
    <row r="827">
      <c r="G827" s="36"/>
    </row>
    <row r="828">
      <c r="G828" s="36"/>
    </row>
    <row r="829">
      <c r="G829" s="36"/>
    </row>
    <row r="830">
      <c r="G830" s="36"/>
    </row>
    <row r="831">
      <c r="G831" s="36"/>
    </row>
    <row r="832">
      <c r="G832" s="36"/>
    </row>
    <row r="833">
      <c r="G833" s="36"/>
    </row>
    <row r="834">
      <c r="G834" s="36"/>
    </row>
    <row r="835">
      <c r="G835" s="36"/>
    </row>
    <row r="836">
      <c r="G836" s="36"/>
    </row>
    <row r="837">
      <c r="G837" s="36"/>
    </row>
    <row r="838">
      <c r="G838" s="36"/>
    </row>
    <row r="839">
      <c r="G839" s="36"/>
    </row>
    <row r="840">
      <c r="G840" s="36"/>
    </row>
    <row r="841">
      <c r="G841" s="36"/>
    </row>
    <row r="842">
      <c r="G842" s="36"/>
    </row>
    <row r="843">
      <c r="G843" s="36"/>
    </row>
    <row r="844">
      <c r="G844" s="36"/>
    </row>
    <row r="845">
      <c r="G845" s="36"/>
    </row>
    <row r="846">
      <c r="G846" s="36"/>
    </row>
    <row r="847">
      <c r="G847" s="36"/>
    </row>
    <row r="848">
      <c r="G848" s="36"/>
    </row>
    <row r="849">
      <c r="G849" s="36"/>
    </row>
    <row r="850">
      <c r="G850" s="36"/>
    </row>
    <row r="851">
      <c r="G851" s="36"/>
    </row>
    <row r="852">
      <c r="G852" s="36"/>
    </row>
    <row r="853">
      <c r="G853" s="36"/>
    </row>
    <row r="854">
      <c r="G854" s="36"/>
    </row>
    <row r="855">
      <c r="G855" s="36"/>
    </row>
    <row r="856">
      <c r="G856" s="36"/>
    </row>
    <row r="857">
      <c r="G857" s="36"/>
    </row>
    <row r="858">
      <c r="G858" s="36"/>
    </row>
    <row r="859">
      <c r="G859" s="36"/>
    </row>
    <row r="860">
      <c r="G860" s="36"/>
    </row>
    <row r="861">
      <c r="G861" s="36"/>
    </row>
    <row r="862">
      <c r="G862" s="36"/>
    </row>
    <row r="863">
      <c r="G863" s="36"/>
    </row>
    <row r="864">
      <c r="G864" s="36"/>
    </row>
    <row r="865">
      <c r="G865" s="36"/>
    </row>
    <row r="866">
      <c r="G866" s="36"/>
    </row>
    <row r="867">
      <c r="G867" s="36"/>
    </row>
    <row r="868">
      <c r="G868" s="36"/>
    </row>
    <row r="869">
      <c r="G869" s="36"/>
    </row>
    <row r="870">
      <c r="G870" s="36"/>
    </row>
    <row r="871">
      <c r="G871" s="36"/>
    </row>
    <row r="872">
      <c r="G872" s="36"/>
    </row>
    <row r="873">
      <c r="G873" s="36"/>
    </row>
    <row r="874">
      <c r="G874" s="36"/>
    </row>
    <row r="875">
      <c r="G875" s="36"/>
    </row>
    <row r="876">
      <c r="G876" s="36"/>
    </row>
    <row r="877">
      <c r="G877" s="36"/>
    </row>
    <row r="878">
      <c r="G878" s="36"/>
    </row>
    <row r="879">
      <c r="G879" s="36"/>
    </row>
    <row r="880">
      <c r="G880" s="36"/>
    </row>
    <row r="881">
      <c r="G881" s="36"/>
    </row>
    <row r="882">
      <c r="G882" s="36"/>
    </row>
    <row r="883">
      <c r="G883" s="36"/>
    </row>
    <row r="884">
      <c r="G884" s="36"/>
    </row>
    <row r="885">
      <c r="G885" s="36"/>
    </row>
    <row r="886">
      <c r="G886" s="36"/>
    </row>
    <row r="887">
      <c r="G887" s="36"/>
    </row>
    <row r="888">
      <c r="G888" s="36"/>
    </row>
    <row r="889">
      <c r="G889" s="36"/>
    </row>
    <row r="890">
      <c r="G890" s="36"/>
    </row>
    <row r="891">
      <c r="G891" s="36"/>
    </row>
    <row r="892">
      <c r="G892" s="36"/>
    </row>
    <row r="893">
      <c r="G893" s="36"/>
    </row>
    <row r="894">
      <c r="G894" s="36"/>
    </row>
    <row r="895">
      <c r="G895" s="36"/>
    </row>
    <row r="896">
      <c r="G896" s="36"/>
    </row>
    <row r="897">
      <c r="G897" s="36"/>
    </row>
    <row r="898">
      <c r="G898" s="36"/>
    </row>
    <row r="899">
      <c r="G899" s="36"/>
    </row>
    <row r="900">
      <c r="G900" s="36"/>
    </row>
    <row r="901">
      <c r="G901" s="36"/>
    </row>
    <row r="902">
      <c r="G902" s="36"/>
    </row>
    <row r="903">
      <c r="G903" s="36"/>
    </row>
    <row r="904">
      <c r="G904" s="36"/>
    </row>
    <row r="905">
      <c r="G905" s="36"/>
    </row>
    <row r="906">
      <c r="G906" s="36"/>
    </row>
    <row r="907">
      <c r="G907" s="36"/>
    </row>
    <row r="908">
      <c r="G908" s="36"/>
    </row>
    <row r="909">
      <c r="G909" s="36"/>
    </row>
    <row r="910">
      <c r="G910" s="36"/>
    </row>
    <row r="911">
      <c r="G911" s="36"/>
    </row>
    <row r="912">
      <c r="G912" s="36"/>
    </row>
    <row r="913">
      <c r="G913" s="36"/>
    </row>
    <row r="914">
      <c r="G914" s="36"/>
    </row>
    <row r="915">
      <c r="G915" s="36"/>
    </row>
    <row r="916">
      <c r="G916" s="36"/>
    </row>
    <row r="917">
      <c r="G917" s="36"/>
    </row>
    <row r="918">
      <c r="G918" s="36"/>
    </row>
    <row r="919">
      <c r="G919" s="36"/>
    </row>
    <row r="920">
      <c r="G920" s="36"/>
    </row>
    <row r="921">
      <c r="G921" s="36"/>
    </row>
    <row r="922">
      <c r="G922" s="36"/>
    </row>
    <row r="923">
      <c r="G923" s="36"/>
    </row>
    <row r="924">
      <c r="G924" s="36"/>
    </row>
    <row r="925">
      <c r="G925" s="36"/>
    </row>
    <row r="926">
      <c r="G926" s="36"/>
    </row>
    <row r="927">
      <c r="G927" s="36"/>
    </row>
    <row r="928">
      <c r="G928" s="36"/>
    </row>
    <row r="929">
      <c r="G929" s="36"/>
    </row>
    <row r="930">
      <c r="G930" s="36"/>
    </row>
    <row r="931">
      <c r="G931" s="36"/>
    </row>
    <row r="932">
      <c r="G932" s="36"/>
    </row>
    <row r="933">
      <c r="G933" s="36"/>
    </row>
    <row r="934">
      <c r="G934" s="36"/>
    </row>
    <row r="935">
      <c r="G935" s="36"/>
    </row>
    <row r="936">
      <c r="G936" s="36"/>
    </row>
    <row r="937">
      <c r="G937" s="36"/>
    </row>
    <row r="938">
      <c r="G938" s="36"/>
    </row>
    <row r="939">
      <c r="G939" s="36"/>
    </row>
    <row r="940">
      <c r="G940" s="36"/>
    </row>
    <row r="941">
      <c r="G941" s="36"/>
    </row>
    <row r="942">
      <c r="G942" s="36"/>
    </row>
    <row r="943">
      <c r="G943" s="36"/>
    </row>
    <row r="944">
      <c r="G944" s="36"/>
    </row>
    <row r="945">
      <c r="G945" s="36"/>
    </row>
    <row r="946">
      <c r="G946" s="36"/>
    </row>
    <row r="947">
      <c r="G947" s="36"/>
    </row>
    <row r="948">
      <c r="G948" s="36"/>
    </row>
    <row r="949">
      <c r="G949" s="36"/>
    </row>
    <row r="950">
      <c r="G950" s="36"/>
    </row>
    <row r="951">
      <c r="G951" s="36"/>
    </row>
    <row r="952">
      <c r="G952" s="36"/>
    </row>
    <row r="953">
      <c r="G953" s="36"/>
    </row>
    <row r="954">
      <c r="G954" s="36"/>
    </row>
    <row r="955">
      <c r="G955" s="36"/>
    </row>
    <row r="956">
      <c r="G956" s="36"/>
    </row>
    <row r="957">
      <c r="G957" s="36"/>
    </row>
    <row r="958">
      <c r="G958" s="36"/>
    </row>
    <row r="959">
      <c r="G959" s="36"/>
    </row>
    <row r="960">
      <c r="G960" s="36"/>
    </row>
    <row r="961">
      <c r="G961" s="36"/>
    </row>
    <row r="962">
      <c r="G962" s="36"/>
    </row>
    <row r="963">
      <c r="G963" s="36"/>
    </row>
    <row r="964">
      <c r="G964" s="36"/>
    </row>
    <row r="965">
      <c r="G965" s="36"/>
    </row>
    <row r="966">
      <c r="G966" s="36"/>
    </row>
    <row r="967">
      <c r="G967" s="36"/>
    </row>
    <row r="968">
      <c r="G968" s="36"/>
    </row>
    <row r="969">
      <c r="G969" s="36"/>
    </row>
    <row r="970">
      <c r="G970" s="36"/>
    </row>
    <row r="971">
      <c r="G971" s="36"/>
    </row>
    <row r="972">
      <c r="G972" s="36"/>
    </row>
    <row r="973">
      <c r="G973" s="36"/>
    </row>
    <row r="974">
      <c r="G974" s="36"/>
    </row>
    <row r="975">
      <c r="G975" s="36"/>
    </row>
    <row r="976">
      <c r="G976" s="36"/>
    </row>
    <row r="977">
      <c r="G977" s="36"/>
    </row>
    <row r="978">
      <c r="G978" s="36"/>
    </row>
    <row r="979">
      <c r="G979" s="36"/>
    </row>
    <row r="980">
      <c r="G980" s="36"/>
    </row>
    <row r="981">
      <c r="G981" s="36"/>
    </row>
    <row r="982">
      <c r="G982" s="36"/>
    </row>
    <row r="983">
      <c r="G983" s="36"/>
    </row>
    <row r="984">
      <c r="G984" s="36"/>
    </row>
    <row r="985">
      <c r="G985" s="36"/>
    </row>
    <row r="986">
      <c r="G986" s="36"/>
    </row>
    <row r="987">
      <c r="G987" s="36"/>
    </row>
    <row r="988">
      <c r="G988" s="36"/>
    </row>
    <row r="989">
      <c r="G989" s="36"/>
    </row>
    <row r="990">
      <c r="G990" s="36"/>
    </row>
    <row r="991">
      <c r="G991" s="36"/>
    </row>
    <row r="992">
      <c r="G992" s="36"/>
    </row>
    <row r="993">
      <c r="G993" s="36"/>
    </row>
    <row r="994">
      <c r="G994" s="36"/>
    </row>
    <row r="995">
      <c r="G995" s="36"/>
    </row>
    <row r="996">
      <c r="G996" s="36"/>
    </row>
    <row r="997">
      <c r="G997" s="36"/>
    </row>
    <row r="998">
      <c r="G998" s="36"/>
    </row>
    <row r="999">
      <c r="G999" s="36"/>
    </row>
    <row r="1000">
      <c r="G1000" s="36"/>
    </row>
  </sheetData>
  <mergeCells count="6">
    <mergeCell ref="B1:C1"/>
    <mergeCell ref="D1:E1"/>
    <mergeCell ref="F1:G1"/>
    <mergeCell ref="H1:I1"/>
    <mergeCell ref="J1:K1"/>
    <mergeCell ref="L1:M1"/>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c r="Q1" s="37" t="s">
        <v>98</v>
      </c>
      <c r="R1" s="38">
        <v>45992.0</v>
      </c>
      <c r="S1" s="38">
        <v>46023.0</v>
      </c>
      <c r="U1" s="39"/>
    </row>
    <row r="2">
      <c r="A2" s="16" t="s">
        <v>151</v>
      </c>
      <c r="B2" s="16" t="s">
        <v>153</v>
      </c>
      <c r="C2" s="16" t="s">
        <v>154</v>
      </c>
      <c r="D2" s="16" t="s">
        <v>153</v>
      </c>
      <c r="E2" s="16" t="s">
        <v>154</v>
      </c>
      <c r="F2" s="16" t="s">
        <v>153</v>
      </c>
      <c r="G2" s="16" t="s">
        <v>154</v>
      </c>
      <c r="H2" s="16" t="s">
        <v>153</v>
      </c>
      <c r="I2" s="16" t="s">
        <v>154</v>
      </c>
      <c r="J2" s="16" t="s">
        <v>153</v>
      </c>
      <c r="K2" s="16" t="s">
        <v>154</v>
      </c>
      <c r="L2" s="16" t="s">
        <v>153</v>
      </c>
      <c r="M2" s="16" t="s">
        <v>154</v>
      </c>
      <c r="P2" s="20" t="s">
        <v>155</v>
      </c>
      <c r="Q2" s="37" t="s">
        <v>131</v>
      </c>
      <c r="R2" s="38">
        <v>4269.0</v>
      </c>
      <c r="S2" s="38">
        <v>4107.0</v>
      </c>
      <c r="V2" s="40"/>
      <c r="W2" s="41"/>
    </row>
    <row r="3">
      <c r="A3" s="18" t="s">
        <v>140</v>
      </c>
      <c r="B3" s="42">
        <f t="shared" ref="B3:B32" si="1">IFERROR(XLOOKUP(A:A,Q:Q,S:S),0)</f>
        <v>1601</v>
      </c>
      <c r="C3" s="42">
        <v>1039.0</v>
      </c>
      <c r="D3" s="28">
        <v>1141.0</v>
      </c>
      <c r="E3" s="18">
        <v>826.0</v>
      </c>
      <c r="F3" s="28">
        <v>1417.0</v>
      </c>
      <c r="G3" s="28">
        <v>1125.0</v>
      </c>
      <c r="H3" s="28"/>
      <c r="I3" s="18"/>
      <c r="J3" s="18"/>
      <c r="K3" s="18"/>
      <c r="L3" s="18"/>
      <c r="M3" s="18"/>
      <c r="N3" s="43">
        <f t="shared" ref="N3:N32" si="2">C3/ sum(B3:C3)</f>
        <v>0.3935606061</v>
      </c>
      <c r="O3" s="39"/>
      <c r="P3" s="44" t="s">
        <v>156</v>
      </c>
      <c r="Q3" s="37" t="s">
        <v>116</v>
      </c>
      <c r="R3" s="38">
        <v>4879.0</v>
      </c>
      <c r="S3" s="38">
        <v>4030.0</v>
      </c>
      <c r="U3" s="9"/>
      <c r="V3" s="24"/>
      <c r="W3" s="24"/>
    </row>
    <row r="4">
      <c r="A4" s="18" t="s">
        <v>131</v>
      </c>
      <c r="B4" s="42">
        <f t="shared" si="1"/>
        <v>4107</v>
      </c>
      <c r="C4" s="42">
        <v>2848.0</v>
      </c>
      <c r="D4" s="28">
        <v>3412.0</v>
      </c>
      <c r="E4" s="28">
        <v>2477.0</v>
      </c>
      <c r="F4" s="28">
        <v>4776.0</v>
      </c>
      <c r="G4" s="28">
        <v>3426.0</v>
      </c>
      <c r="H4" s="28"/>
      <c r="I4" s="18"/>
      <c r="J4" s="18"/>
      <c r="K4" s="18"/>
      <c r="L4" s="18"/>
      <c r="M4" s="18"/>
      <c r="N4" s="43">
        <f t="shared" si="2"/>
        <v>0.4094895758</v>
      </c>
      <c r="O4" s="9"/>
      <c r="P4" s="45" t="s">
        <v>156</v>
      </c>
      <c r="Q4" s="46" t="s">
        <v>143</v>
      </c>
      <c r="R4" s="38">
        <v>3742.0</v>
      </c>
      <c r="S4" s="38">
        <v>3240.0</v>
      </c>
      <c r="U4" s="9"/>
      <c r="V4" s="24"/>
      <c r="W4" s="24"/>
    </row>
    <row r="5">
      <c r="A5" s="18" t="s">
        <v>136</v>
      </c>
      <c r="B5" s="42">
        <f t="shared" si="1"/>
        <v>2915</v>
      </c>
      <c r="C5" s="42">
        <v>2244.0</v>
      </c>
      <c r="D5" s="28">
        <v>2297.0</v>
      </c>
      <c r="E5" s="28">
        <v>1477.0</v>
      </c>
      <c r="F5" s="28">
        <v>2973.0</v>
      </c>
      <c r="G5" s="28">
        <v>2515.0</v>
      </c>
      <c r="H5" s="28"/>
      <c r="I5" s="18"/>
      <c r="J5" s="18"/>
      <c r="K5" s="18"/>
      <c r="L5" s="18"/>
      <c r="M5" s="18"/>
      <c r="N5" s="43">
        <f t="shared" si="2"/>
        <v>0.4349680171</v>
      </c>
      <c r="O5" s="9"/>
      <c r="P5" s="45" t="s">
        <v>156</v>
      </c>
      <c r="Q5" s="46" t="s">
        <v>137</v>
      </c>
      <c r="R5" s="38">
        <v>3279.0</v>
      </c>
      <c r="S5" s="38">
        <v>2780.0</v>
      </c>
      <c r="U5" s="9"/>
      <c r="V5" s="24"/>
      <c r="W5" s="24"/>
      <c r="X5" s="47"/>
      <c r="Y5" s="48"/>
      <c r="Z5" s="48"/>
    </row>
    <row r="6">
      <c r="A6" s="18" t="s">
        <v>135</v>
      </c>
      <c r="B6" s="42">
        <f t="shared" si="1"/>
        <v>858</v>
      </c>
      <c r="C6" s="42">
        <v>872.0</v>
      </c>
      <c r="D6" s="28">
        <v>529.0</v>
      </c>
      <c r="E6" s="18">
        <v>849.0</v>
      </c>
      <c r="F6" s="28">
        <v>941.0</v>
      </c>
      <c r="G6" s="28">
        <v>903.0</v>
      </c>
      <c r="H6" s="28"/>
      <c r="I6" s="18"/>
      <c r="J6" s="18"/>
      <c r="K6" s="18"/>
      <c r="L6" s="18"/>
      <c r="M6" s="18"/>
      <c r="N6" s="43">
        <f t="shared" si="2"/>
        <v>0.5040462428</v>
      </c>
      <c r="P6" s="45" t="s">
        <v>156</v>
      </c>
      <c r="Q6" s="46" t="s">
        <v>128</v>
      </c>
      <c r="R6" s="38">
        <v>2060.0</v>
      </c>
      <c r="S6" s="38">
        <v>1708.0</v>
      </c>
      <c r="U6" s="9"/>
      <c r="V6" s="24"/>
      <c r="W6" s="24"/>
      <c r="X6" s="47"/>
      <c r="Y6" s="48"/>
      <c r="Z6" s="48"/>
    </row>
    <row r="7">
      <c r="A7" s="18" t="s">
        <v>122</v>
      </c>
      <c r="B7" s="42">
        <f t="shared" si="1"/>
        <v>4081</v>
      </c>
      <c r="C7" s="42">
        <v>3320.0</v>
      </c>
      <c r="D7" s="28">
        <v>3339.0</v>
      </c>
      <c r="E7" s="28">
        <v>2496.0</v>
      </c>
      <c r="F7" s="28">
        <v>4704.0</v>
      </c>
      <c r="G7" s="28">
        <v>3730.0</v>
      </c>
      <c r="H7" s="28"/>
      <c r="I7" s="18"/>
      <c r="J7" s="18"/>
      <c r="K7" s="18"/>
      <c r="L7" s="18"/>
      <c r="M7" s="18"/>
      <c r="N7" s="43">
        <f t="shared" si="2"/>
        <v>0.4485880286</v>
      </c>
      <c r="O7" s="9"/>
      <c r="P7" s="45" t="s">
        <v>156</v>
      </c>
      <c r="Q7" s="46" t="s">
        <v>114</v>
      </c>
      <c r="R7" s="38">
        <v>2868.0</v>
      </c>
      <c r="S7" s="38">
        <v>2864.0</v>
      </c>
      <c r="U7" s="9"/>
      <c r="V7" s="24"/>
      <c r="W7" s="24"/>
      <c r="Y7" s="48"/>
      <c r="Z7" s="48"/>
    </row>
    <row r="8">
      <c r="A8" s="18" t="s">
        <v>116</v>
      </c>
      <c r="B8" s="42">
        <f t="shared" si="1"/>
        <v>4030</v>
      </c>
      <c r="C8" s="42">
        <v>2801.0</v>
      </c>
      <c r="D8" s="28">
        <v>3543.0</v>
      </c>
      <c r="E8" s="28">
        <v>2364.0</v>
      </c>
      <c r="F8" s="28">
        <v>5981.0</v>
      </c>
      <c r="G8" s="28">
        <v>3862.0</v>
      </c>
      <c r="H8" s="28"/>
      <c r="I8" s="18"/>
      <c r="J8" s="18"/>
      <c r="K8" s="18"/>
      <c r="L8" s="18"/>
      <c r="M8" s="18"/>
      <c r="N8" s="43">
        <f t="shared" si="2"/>
        <v>0.4100424535</v>
      </c>
      <c r="O8" s="9"/>
      <c r="P8" s="45" t="s">
        <v>156</v>
      </c>
      <c r="Q8" s="46" t="s">
        <v>141</v>
      </c>
      <c r="R8" s="38">
        <v>1288.0</v>
      </c>
      <c r="S8" s="38">
        <v>1087.0</v>
      </c>
      <c r="U8" s="9"/>
      <c r="V8" s="24"/>
      <c r="W8" s="24"/>
      <c r="X8" s="47"/>
      <c r="Y8" s="48"/>
      <c r="Z8" s="48"/>
    </row>
    <row r="9">
      <c r="A9" s="18" t="s">
        <v>133</v>
      </c>
      <c r="B9" s="42">
        <f t="shared" si="1"/>
        <v>2584</v>
      </c>
      <c r="C9" s="42">
        <v>1514.0</v>
      </c>
      <c r="D9" s="28">
        <v>2097.0</v>
      </c>
      <c r="E9" s="28">
        <v>1331.0</v>
      </c>
      <c r="F9" s="28">
        <v>3333.0</v>
      </c>
      <c r="G9" s="28">
        <v>2103.0</v>
      </c>
      <c r="H9" s="28"/>
      <c r="I9" s="18"/>
      <c r="J9" s="18"/>
      <c r="K9" s="18"/>
      <c r="L9" s="18"/>
      <c r="M9" s="18"/>
      <c r="N9" s="43">
        <f t="shared" si="2"/>
        <v>0.3694485115</v>
      </c>
      <c r="O9" s="9"/>
      <c r="P9" s="45" t="s">
        <v>156</v>
      </c>
      <c r="Q9" s="46" t="s">
        <v>123</v>
      </c>
      <c r="R9" s="38">
        <v>1939.0</v>
      </c>
      <c r="S9" s="38">
        <v>1756.0</v>
      </c>
      <c r="U9" s="9"/>
      <c r="V9" s="24"/>
      <c r="W9" s="24"/>
      <c r="X9" s="47"/>
      <c r="Y9" s="48"/>
      <c r="Z9" s="48"/>
    </row>
    <row r="10">
      <c r="A10" s="18" t="s">
        <v>138</v>
      </c>
      <c r="B10" s="42">
        <f t="shared" si="1"/>
        <v>1817</v>
      </c>
      <c r="C10" s="42">
        <v>1493.0</v>
      </c>
      <c r="D10" s="28">
        <v>1364.0</v>
      </c>
      <c r="E10" s="28">
        <v>1467.0</v>
      </c>
      <c r="F10" s="28">
        <v>1604.0</v>
      </c>
      <c r="G10" s="28">
        <v>1600.0</v>
      </c>
      <c r="H10" s="28"/>
      <c r="I10" s="18"/>
      <c r="J10" s="18"/>
      <c r="K10" s="18"/>
      <c r="L10" s="18"/>
      <c r="M10" s="18"/>
      <c r="N10" s="43">
        <f t="shared" si="2"/>
        <v>0.4510574018</v>
      </c>
      <c r="P10" s="45" t="s">
        <v>156</v>
      </c>
      <c r="Q10" s="46" t="s">
        <v>112</v>
      </c>
      <c r="R10" s="38">
        <v>1649.0</v>
      </c>
      <c r="S10" s="38">
        <v>1612.0</v>
      </c>
      <c r="U10" s="9"/>
      <c r="V10" s="24"/>
      <c r="W10" s="24"/>
      <c r="Y10" s="48"/>
      <c r="Z10" s="48"/>
    </row>
    <row r="11">
      <c r="A11" s="18" t="s">
        <v>143</v>
      </c>
      <c r="B11" s="42">
        <f t="shared" si="1"/>
        <v>3240</v>
      </c>
      <c r="C11" s="42">
        <v>2117.0</v>
      </c>
      <c r="D11" s="28">
        <v>2521.0</v>
      </c>
      <c r="E11" s="28">
        <v>1819.0</v>
      </c>
      <c r="F11" s="28">
        <v>2565.0</v>
      </c>
      <c r="G11" s="28">
        <v>2935.0</v>
      </c>
      <c r="H11" s="28"/>
      <c r="I11" s="18"/>
      <c r="J11" s="18"/>
      <c r="K11" s="18"/>
      <c r="L11" s="18"/>
      <c r="M11" s="18"/>
      <c r="N11" s="43">
        <f t="shared" si="2"/>
        <v>0.3951838716</v>
      </c>
      <c r="O11" s="9"/>
      <c r="P11" s="45" t="s">
        <v>156</v>
      </c>
      <c r="Q11" s="46" t="s">
        <v>120</v>
      </c>
      <c r="R11" s="38">
        <v>4279.0</v>
      </c>
      <c r="S11" s="38">
        <v>3750.0</v>
      </c>
      <c r="U11" s="9"/>
      <c r="V11" s="24"/>
      <c r="W11" s="24"/>
      <c r="X11" s="47"/>
      <c r="Y11" s="48"/>
      <c r="Z11" s="48"/>
    </row>
    <row r="12">
      <c r="A12" s="18" t="s">
        <v>137</v>
      </c>
      <c r="B12" s="42">
        <f t="shared" si="1"/>
        <v>2780</v>
      </c>
      <c r="C12" s="42">
        <v>2449.0</v>
      </c>
      <c r="D12" s="28">
        <v>2258.0</v>
      </c>
      <c r="E12" s="28">
        <v>1950.0</v>
      </c>
      <c r="F12" s="28">
        <v>4210.0</v>
      </c>
      <c r="G12" s="28">
        <v>2561.0</v>
      </c>
      <c r="H12" s="28"/>
      <c r="I12" s="18"/>
      <c r="J12" s="18"/>
      <c r="K12" s="18"/>
      <c r="L12" s="18"/>
      <c r="M12" s="18"/>
      <c r="N12" s="43">
        <f t="shared" si="2"/>
        <v>0.4683495888</v>
      </c>
      <c r="O12" s="9"/>
      <c r="P12" s="45" t="s">
        <v>157</v>
      </c>
      <c r="Q12" s="46" t="s">
        <v>118</v>
      </c>
      <c r="R12" s="38">
        <v>3496.0</v>
      </c>
      <c r="S12" s="38">
        <v>3024.0</v>
      </c>
      <c r="U12" s="9"/>
      <c r="V12" s="24"/>
      <c r="W12" s="24"/>
      <c r="X12" s="47"/>
      <c r="Y12" s="48"/>
      <c r="Z12" s="48"/>
    </row>
    <row r="13">
      <c r="A13" s="18" t="s">
        <v>128</v>
      </c>
      <c r="B13" s="42">
        <f t="shared" si="1"/>
        <v>1708</v>
      </c>
      <c r="C13" s="42">
        <v>1332.0</v>
      </c>
      <c r="D13" s="28">
        <v>1740.0</v>
      </c>
      <c r="E13" s="28">
        <v>1194.0</v>
      </c>
      <c r="F13" s="28">
        <v>2578.0</v>
      </c>
      <c r="G13" s="28">
        <v>2615.0</v>
      </c>
      <c r="H13" s="28"/>
      <c r="I13" s="18"/>
      <c r="J13" s="18"/>
      <c r="K13" s="18"/>
      <c r="L13" s="18"/>
      <c r="M13" s="18"/>
      <c r="N13" s="43">
        <f t="shared" si="2"/>
        <v>0.4381578947</v>
      </c>
      <c r="O13" s="9"/>
      <c r="P13" s="45" t="s">
        <v>157</v>
      </c>
      <c r="Q13" s="46" t="s">
        <v>140</v>
      </c>
      <c r="R13" s="38">
        <v>1709.0</v>
      </c>
      <c r="S13" s="38">
        <v>1601.0</v>
      </c>
      <c r="U13" s="9"/>
      <c r="V13" s="24"/>
      <c r="W13" s="24"/>
      <c r="X13" s="47"/>
      <c r="Y13" s="48"/>
      <c r="Z13" s="48"/>
    </row>
    <row r="14">
      <c r="A14" s="18" t="s">
        <v>121</v>
      </c>
      <c r="B14" s="42">
        <f t="shared" si="1"/>
        <v>5474</v>
      </c>
      <c r="C14" s="42">
        <v>4312.0</v>
      </c>
      <c r="D14" s="28">
        <v>3808.0</v>
      </c>
      <c r="E14" s="28">
        <v>3311.0</v>
      </c>
      <c r="F14" s="28">
        <v>5374.0</v>
      </c>
      <c r="G14" s="28">
        <v>4490.0</v>
      </c>
      <c r="H14" s="28"/>
      <c r="I14" s="18"/>
      <c r="J14" s="18"/>
      <c r="K14" s="18"/>
      <c r="L14" s="18"/>
      <c r="M14" s="18"/>
      <c r="N14" s="43">
        <f t="shared" si="2"/>
        <v>0.4406294707</v>
      </c>
      <c r="O14" s="9"/>
      <c r="P14" s="45" t="s">
        <v>157</v>
      </c>
      <c r="Q14" s="46" t="s">
        <v>136</v>
      </c>
      <c r="R14" s="38">
        <v>3301.0</v>
      </c>
      <c r="S14" s="38">
        <v>2915.0</v>
      </c>
      <c r="U14" s="9"/>
      <c r="V14" s="24"/>
      <c r="W14" s="24"/>
      <c r="X14" s="47"/>
      <c r="Y14" s="48"/>
      <c r="Z14" s="48"/>
    </row>
    <row r="15">
      <c r="A15" s="18" t="s">
        <v>139</v>
      </c>
      <c r="B15" s="42">
        <f t="shared" si="1"/>
        <v>2236</v>
      </c>
      <c r="C15" s="42">
        <v>1419.0</v>
      </c>
      <c r="D15" s="28">
        <v>1892.0</v>
      </c>
      <c r="E15" s="28">
        <v>1243.0</v>
      </c>
      <c r="F15" s="28">
        <v>2165.0</v>
      </c>
      <c r="G15" s="28">
        <v>1637.0</v>
      </c>
      <c r="H15" s="28"/>
      <c r="I15" s="18"/>
      <c r="J15" s="18"/>
      <c r="K15" s="18"/>
      <c r="L15" s="18"/>
      <c r="M15" s="18"/>
      <c r="N15" s="43">
        <f t="shared" si="2"/>
        <v>0.3882352941</v>
      </c>
      <c r="O15" s="9"/>
      <c r="P15" s="45" t="s">
        <v>157</v>
      </c>
      <c r="Q15" s="46" t="s">
        <v>135</v>
      </c>
      <c r="R15" s="38">
        <v>805.0</v>
      </c>
      <c r="S15" s="38">
        <v>858.0</v>
      </c>
      <c r="U15" s="9"/>
      <c r="V15" s="24"/>
      <c r="W15" s="24"/>
      <c r="X15" s="47"/>
      <c r="Y15" s="48"/>
      <c r="Z15" s="48"/>
    </row>
    <row r="16">
      <c r="A16" s="18" t="s">
        <v>142</v>
      </c>
      <c r="B16" s="42">
        <f t="shared" si="1"/>
        <v>1999</v>
      </c>
      <c r="C16" s="42">
        <v>1596.0</v>
      </c>
      <c r="D16" s="28">
        <v>1678.0</v>
      </c>
      <c r="E16" s="28">
        <v>1235.0</v>
      </c>
      <c r="F16" s="28">
        <v>1915.0</v>
      </c>
      <c r="G16" s="28">
        <v>1521.0</v>
      </c>
      <c r="H16" s="28"/>
      <c r="I16" s="18"/>
      <c r="J16" s="18"/>
      <c r="K16" s="18"/>
      <c r="L16" s="18"/>
      <c r="M16" s="18"/>
      <c r="N16" s="43">
        <f t="shared" si="2"/>
        <v>0.4439499305</v>
      </c>
      <c r="O16" s="9"/>
      <c r="P16" s="45" t="s">
        <v>157</v>
      </c>
      <c r="Q16" s="46" t="s">
        <v>122</v>
      </c>
      <c r="R16" s="38">
        <v>4060.0</v>
      </c>
      <c r="S16" s="38">
        <v>4081.0</v>
      </c>
      <c r="U16" s="9"/>
      <c r="V16" s="24"/>
      <c r="W16" s="24"/>
      <c r="X16" s="47"/>
      <c r="Y16" s="48"/>
      <c r="Z16" s="48"/>
    </row>
    <row r="17">
      <c r="A17" s="18" t="s">
        <v>132</v>
      </c>
      <c r="B17" s="42">
        <f t="shared" si="1"/>
        <v>4320</v>
      </c>
      <c r="C17" s="42">
        <v>3531.0</v>
      </c>
      <c r="D17" s="28">
        <v>3613.0</v>
      </c>
      <c r="E17" s="28">
        <v>2874.0</v>
      </c>
      <c r="F17" s="28">
        <v>4799.0</v>
      </c>
      <c r="G17" s="28">
        <v>3762.0</v>
      </c>
      <c r="H17" s="28"/>
      <c r="I17" s="18"/>
      <c r="J17" s="18"/>
      <c r="K17" s="18"/>
      <c r="L17" s="18"/>
      <c r="M17" s="18"/>
      <c r="N17" s="43">
        <f t="shared" si="2"/>
        <v>0.449751624</v>
      </c>
      <c r="O17" s="9"/>
      <c r="P17" s="45" t="s">
        <v>157</v>
      </c>
      <c r="Q17" s="46" t="s">
        <v>133</v>
      </c>
      <c r="R17" s="38">
        <v>2856.0</v>
      </c>
      <c r="S17" s="38">
        <v>2584.0</v>
      </c>
      <c r="U17" s="9"/>
      <c r="V17" s="24"/>
      <c r="W17" s="24"/>
      <c r="X17" s="47"/>
      <c r="Y17" s="48"/>
      <c r="Z17" s="48"/>
    </row>
    <row r="18">
      <c r="A18" s="18" t="s">
        <v>114</v>
      </c>
      <c r="B18" s="42">
        <f t="shared" si="1"/>
        <v>2864</v>
      </c>
      <c r="C18" s="42">
        <v>1957.0</v>
      </c>
      <c r="D18" s="28">
        <v>2202.0</v>
      </c>
      <c r="E18" s="28">
        <v>1474.0</v>
      </c>
      <c r="F18" s="28">
        <v>4282.0</v>
      </c>
      <c r="G18" s="28">
        <v>2821.0</v>
      </c>
      <c r="H18" s="28"/>
      <c r="I18" s="18"/>
      <c r="J18" s="18"/>
      <c r="K18" s="18"/>
      <c r="L18" s="18"/>
      <c r="M18" s="18"/>
      <c r="N18" s="43">
        <f t="shared" si="2"/>
        <v>0.4059323792</v>
      </c>
      <c r="O18" s="9"/>
      <c r="P18" s="45" t="s">
        <v>157</v>
      </c>
      <c r="Q18" s="46" t="s">
        <v>138</v>
      </c>
      <c r="R18" s="38">
        <v>2539.0</v>
      </c>
      <c r="S18" s="38">
        <v>1817.0</v>
      </c>
      <c r="U18" s="9"/>
      <c r="V18" s="24"/>
      <c r="W18" s="24"/>
      <c r="X18" s="47"/>
      <c r="Y18" s="48"/>
      <c r="Z18" s="48"/>
    </row>
    <row r="19">
      <c r="A19" s="18" t="s">
        <v>111</v>
      </c>
      <c r="B19" s="42">
        <f t="shared" si="1"/>
        <v>1236</v>
      </c>
      <c r="C19" s="42">
        <v>3022.0</v>
      </c>
      <c r="D19" s="28">
        <v>1107.0</v>
      </c>
      <c r="E19" s="28">
        <v>2287.0</v>
      </c>
      <c r="F19" s="28">
        <v>1493.0</v>
      </c>
      <c r="G19" s="28">
        <v>3289.0</v>
      </c>
      <c r="H19" s="28"/>
      <c r="I19" s="18"/>
      <c r="J19" s="18"/>
      <c r="K19" s="18"/>
      <c r="L19" s="18"/>
      <c r="M19" s="18"/>
      <c r="N19" s="43">
        <f t="shared" si="2"/>
        <v>0.7097228746</v>
      </c>
      <c r="O19" s="9"/>
      <c r="P19" s="45" t="s">
        <v>157</v>
      </c>
      <c r="Q19" s="46" t="s">
        <v>121</v>
      </c>
      <c r="R19" s="38">
        <v>5791.0</v>
      </c>
      <c r="S19" s="38">
        <v>5474.0</v>
      </c>
      <c r="U19" s="9"/>
      <c r="V19" s="24"/>
      <c r="W19" s="24"/>
      <c r="X19" s="47"/>
      <c r="Y19" s="48"/>
      <c r="Z19" s="48"/>
    </row>
    <row r="20">
      <c r="A20" s="18" t="s">
        <v>109</v>
      </c>
      <c r="B20" s="42">
        <f t="shared" si="1"/>
        <v>2622</v>
      </c>
      <c r="C20" s="42">
        <v>3817.0</v>
      </c>
      <c r="D20" s="28">
        <v>1229.0</v>
      </c>
      <c r="E20" s="28">
        <v>4130.0</v>
      </c>
      <c r="F20" s="28">
        <v>2099.0</v>
      </c>
      <c r="G20" s="28">
        <v>6196.0</v>
      </c>
      <c r="H20" s="28"/>
      <c r="I20" s="18"/>
      <c r="J20" s="18"/>
      <c r="K20" s="18"/>
      <c r="L20" s="18"/>
      <c r="M20" s="18"/>
      <c r="N20" s="43">
        <f t="shared" si="2"/>
        <v>0.5927939121</v>
      </c>
      <c r="O20" s="9"/>
      <c r="P20" s="45" t="s">
        <v>157</v>
      </c>
      <c r="Q20" s="46" t="s">
        <v>139</v>
      </c>
      <c r="R20" s="38">
        <v>2502.0</v>
      </c>
      <c r="S20" s="38">
        <v>2236.0</v>
      </c>
      <c r="U20" s="9"/>
      <c r="V20" s="24"/>
      <c r="W20" s="24"/>
      <c r="X20" s="47"/>
      <c r="Y20" s="48"/>
      <c r="Z20" s="48"/>
    </row>
    <row r="21">
      <c r="A21" s="18" t="s">
        <v>124</v>
      </c>
      <c r="B21" s="42">
        <f t="shared" si="1"/>
        <v>802</v>
      </c>
      <c r="C21" s="42">
        <v>722.0</v>
      </c>
      <c r="D21" s="28">
        <v>925.0</v>
      </c>
      <c r="E21" s="18">
        <v>995.0</v>
      </c>
      <c r="F21" s="28">
        <v>2156.0</v>
      </c>
      <c r="G21" s="28">
        <v>1627.0</v>
      </c>
      <c r="H21" s="28"/>
      <c r="I21" s="18"/>
      <c r="J21" s="18"/>
      <c r="K21" s="18"/>
      <c r="L21" s="18"/>
      <c r="M21" s="18"/>
      <c r="N21" s="43">
        <f t="shared" si="2"/>
        <v>0.4737532808</v>
      </c>
      <c r="O21" s="9"/>
      <c r="P21" s="45" t="s">
        <v>157</v>
      </c>
      <c r="Q21" s="46" t="s">
        <v>142</v>
      </c>
      <c r="R21" s="38">
        <v>2066.0</v>
      </c>
      <c r="S21" s="38">
        <v>1999.0</v>
      </c>
      <c r="U21" s="9"/>
      <c r="V21" s="24"/>
      <c r="W21" s="24"/>
      <c r="X21" s="47"/>
      <c r="Y21" s="48"/>
      <c r="Z21" s="48"/>
    </row>
    <row r="22">
      <c r="A22" s="18" t="s">
        <v>127</v>
      </c>
      <c r="B22" s="42">
        <f t="shared" si="1"/>
        <v>2821</v>
      </c>
      <c r="C22" s="42">
        <v>2223.0</v>
      </c>
      <c r="D22" s="28">
        <v>1576.0</v>
      </c>
      <c r="E22" s="28">
        <v>2619.0</v>
      </c>
      <c r="F22" s="28">
        <v>2751.0</v>
      </c>
      <c r="G22" s="28">
        <v>3021.0</v>
      </c>
      <c r="H22" s="28"/>
      <c r="I22" s="18"/>
      <c r="J22" s="18"/>
      <c r="K22" s="18"/>
      <c r="L22" s="18"/>
      <c r="M22" s="18"/>
      <c r="N22" s="43">
        <f t="shared" si="2"/>
        <v>0.4407216495</v>
      </c>
      <c r="O22" s="9"/>
      <c r="P22" s="45" t="s">
        <v>157</v>
      </c>
      <c r="Q22" s="46" t="s">
        <v>132</v>
      </c>
      <c r="R22" s="38">
        <v>4526.0</v>
      </c>
      <c r="S22" s="38">
        <v>4320.0</v>
      </c>
      <c r="U22" s="9"/>
      <c r="V22" s="24"/>
      <c r="W22" s="24"/>
      <c r="X22" s="47"/>
      <c r="Y22" s="48"/>
      <c r="Z22" s="48"/>
    </row>
    <row r="23">
      <c r="A23" s="18" t="s">
        <v>130</v>
      </c>
      <c r="B23" s="42">
        <f t="shared" si="1"/>
        <v>3450</v>
      </c>
      <c r="C23" s="42">
        <v>2509.0</v>
      </c>
      <c r="D23" s="28">
        <v>3225.0</v>
      </c>
      <c r="E23" s="28">
        <v>2154.0</v>
      </c>
      <c r="F23" s="28">
        <v>4185.0</v>
      </c>
      <c r="G23" s="28">
        <v>3185.0</v>
      </c>
      <c r="H23" s="28"/>
      <c r="I23" s="18"/>
      <c r="J23" s="18"/>
      <c r="K23" s="18"/>
      <c r="L23" s="18"/>
      <c r="M23" s="18"/>
      <c r="N23" s="43">
        <f t="shared" si="2"/>
        <v>0.4210437993</v>
      </c>
      <c r="O23" s="9"/>
      <c r="P23" s="45" t="s">
        <v>157</v>
      </c>
      <c r="Q23" s="46" t="s">
        <v>111</v>
      </c>
      <c r="R23" s="38">
        <v>1190.0</v>
      </c>
      <c r="S23" s="38">
        <v>1236.0</v>
      </c>
      <c r="U23" s="9"/>
      <c r="V23" s="24"/>
      <c r="W23" s="24"/>
      <c r="X23" s="47"/>
      <c r="Y23" s="48"/>
      <c r="Z23" s="48"/>
    </row>
    <row r="24">
      <c r="A24" s="18" t="s">
        <v>141</v>
      </c>
      <c r="B24" s="42">
        <f t="shared" si="1"/>
        <v>1087</v>
      </c>
      <c r="C24" s="42">
        <v>806.0</v>
      </c>
      <c r="D24" s="28">
        <v>909.0</v>
      </c>
      <c r="E24" s="18">
        <v>586.0</v>
      </c>
      <c r="F24" s="28">
        <v>1059.0</v>
      </c>
      <c r="G24" s="28">
        <v>769.0</v>
      </c>
      <c r="H24" s="28"/>
      <c r="I24" s="18"/>
      <c r="J24" s="18"/>
      <c r="K24" s="18"/>
      <c r="L24" s="18"/>
      <c r="M24" s="18"/>
      <c r="N24" s="43">
        <f t="shared" si="2"/>
        <v>0.4257791865</v>
      </c>
      <c r="O24" s="9"/>
      <c r="P24" s="45" t="s">
        <v>157</v>
      </c>
      <c r="Q24" s="46" t="s">
        <v>109</v>
      </c>
      <c r="R24" s="38">
        <v>3535.0</v>
      </c>
      <c r="S24" s="38">
        <v>2622.0</v>
      </c>
      <c r="U24" s="9"/>
      <c r="V24" s="24"/>
      <c r="W24" s="24"/>
      <c r="X24" s="47"/>
      <c r="Y24" s="48"/>
      <c r="Z24" s="48"/>
    </row>
    <row r="25">
      <c r="A25" s="18" t="s">
        <v>123</v>
      </c>
      <c r="B25" s="42">
        <f t="shared" si="1"/>
        <v>1756</v>
      </c>
      <c r="C25" s="42">
        <v>985.0</v>
      </c>
      <c r="D25" s="28">
        <v>1457.0</v>
      </c>
      <c r="E25" s="18">
        <v>974.0</v>
      </c>
      <c r="F25" s="28">
        <v>2985.0</v>
      </c>
      <c r="G25" s="28">
        <v>2267.0</v>
      </c>
      <c r="H25" s="28"/>
      <c r="I25" s="18"/>
      <c r="J25" s="18"/>
      <c r="K25" s="18"/>
      <c r="L25" s="18"/>
      <c r="M25" s="18"/>
      <c r="N25" s="43">
        <f t="shared" si="2"/>
        <v>0.3593578986</v>
      </c>
      <c r="O25" s="9"/>
      <c r="P25" s="45" t="s">
        <v>157</v>
      </c>
      <c r="Q25" s="46" t="s">
        <v>124</v>
      </c>
      <c r="R25" s="38">
        <v>674.0</v>
      </c>
      <c r="S25" s="38">
        <v>802.0</v>
      </c>
      <c r="U25" s="9"/>
      <c r="V25" s="24"/>
      <c r="W25" s="24"/>
      <c r="X25" s="47"/>
      <c r="Y25" s="48"/>
      <c r="Z25" s="48"/>
    </row>
    <row r="26">
      <c r="A26" s="18" t="s">
        <v>112</v>
      </c>
      <c r="B26" s="42">
        <f t="shared" si="1"/>
        <v>1612</v>
      </c>
      <c r="C26" s="42">
        <v>1229.0</v>
      </c>
      <c r="D26" s="28">
        <v>1375.0</v>
      </c>
      <c r="E26" s="18">
        <v>887.0</v>
      </c>
      <c r="F26" s="28">
        <v>2736.0</v>
      </c>
      <c r="G26" s="28">
        <v>1765.0</v>
      </c>
      <c r="H26" s="28"/>
      <c r="I26" s="18"/>
      <c r="J26" s="18"/>
      <c r="K26" s="18"/>
      <c r="L26" s="18"/>
      <c r="M26" s="18"/>
      <c r="N26" s="43">
        <f t="shared" si="2"/>
        <v>0.432594157</v>
      </c>
      <c r="O26" s="9"/>
      <c r="P26" s="45" t="s">
        <v>157</v>
      </c>
      <c r="Q26" s="46" t="s">
        <v>127</v>
      </c>
      <c r="R26" s="38">
        <v>3167.0</v>
      </c>
      <c r="S26" s="38">
        <v>2821.0</v>
      </c>
      <c r="U26" s="9"/>
      <c r="V26" s="24"/>
      <c r="W26" s="24"/>
      <c r="X26" s="47"/>
      <c r="Y26" s="48"/>
      <c r="Z26" s="48"/>
    </row>
    <row r="27">
      <c r="A27" s="18" t="s">
        <v>134</v>
      </c>
      <c r="B27" s="42">
        <f t="shared" si="1"/>
        <v>2390</v>
      </c>
      <c r="C27" s="42">
        <v>1564.0</v>
      </c>
      <c r="D27" s="28">
        <v>1773.0</v>
      </c>
      <c r="E27" s="28">
        <v>1218.0</v>
      </c>
      <c r="F27" s="28">
        <v>3099.0</v>
      </c>
      <c r="G27" s="28">
        <v>2196.0</v>
      </c>
      <c r="H27" s="28"/>
      <c r="I27" s="18"/>
      <c r="J27" s="18"/>
      <c r="K27" s="18"/>
      <c r="L27" s="18"/>
      <c r="M27" s="18"/>
      <c r="N27" s="43">
        <f t="shared" si="2"/>
        <v>0.3955488113</v>
      </c>
      <c r="O27" s="9"/>
      <c r="P27" s="45" t="s">
        <v>157</v>
      </c>
      <c r="Q27" s="46" t="s">
        <v>130</v>
      </c>
      <c r="R27" s="38">
        <v>3316.0</v>
      </c>
      <c r="S27" s="38">
        <v>3450.0</v>
      </c>
      <c r="U27" s="9"/>
      <c r="V27" s="24"/>
      <c r="W27" s="24"/>
      <c r="X27" s="47"/>
      <c r="Y27" s="48"/>
      <c r="Z27" s="48"/>
    </row>
    <row r="28">
      <c r="A28" s="18" t="s">
        <v>125</v>
      </c>
      <c r="B28" s="42">
        <f t="shared" si="1"/>
        <v>2859</v>
      </c>
      <c r="C28" s="42">
        <v>2356.0</v>
      </c>
      <c r="D28" s="28">
        <v>2115.0</v>
      </c>
      <c r="E28" s="28">
        <v>1927.0</v>
      </c>
      <c r="F28" s="28">
        <v>2790.0</v>
      </c>
      <c r="G28" s="28">
        <v>3096.0</v>
      </c>
      <c r="H28" s="28"/>
      <c r="I28" s="18"/>
      <c r="J28" s="18"/>
      <c r="K28" s="18"/>
      <c r="L28" s="18"/>
      <c r="M28" s="18"/>
      <c r="N28" s="43">
        <f t="shared" si="2"/>
        <v>0.4517737296</v>
      </c>
      <c r="O28" s="9"/>
      <c r="P28" s="45" t="s">
        <v>157</v>
      </c>
      <c r="Q28" s="46" t="s">
        <v>134</v>
      </c>
      <c r="R28" s="38">
        <v>2659.0</v>
      </c>
      <c r="S28" s="38">
        <v>2390.0</v>
      </c>
      <c r="U28" s="9"/>
      <c r="V28" s="24"/>
      <c r="W28" s="24"/>
      <c r="X28" s="47"/>
      <c r="Y28" s="48"/>
      <c r="Z28" s="48"/>
    </row>
    <row r="29">
      <c r="A29" s="18" t="s">
        <v>129</v>
      </c>
      <c r="B29" s="42">
        <f t="shared" si="1"/>
        <v>2574</v>
      </c>
      <c r="C29" s="42">
        <v>2156.0</v>
      </c>
      <c r="D29" s="28">
        <v>2052.0</v>
      </c>
      <c r="E29" s="28">
        <v>1889.0</v>
      </c>
      <c r="F29" s="28">
        <v>2860.0</v>
      </c>
      <c r="G29" s="28">
        <v>3054.0</v>
      </c>
      <c r="H29" s="28"/>
      <c r="I29" s="18"/>
      <c r="J29" s="18"/>
      <c r="K29" s="18"/>
      <c r="L29" s="18"/>
      <c r="M29" s="18"/>
      <c r="N29" s="43">
        <f t="shared" si="2"/>
        <v>0.4558139535</v>
      </c>
      <c r="O29" s="9"/>
      <c r="P29" s="45" t="s">
        <v>157</v>
      </c>
      <c r="Q29" s="46" t="s">
        <v>125</v>
      </c>
      <c r="R29" s="38">
        <v>2806.0</v>
      </c>
      <c r="S29" s="38">
        <v>2859.0</v>
      </c>
      <c r="U29" s="9"/>
      <c r="V29" s="24"/>
      <c r="W29" s="24"/>
      <c r="X29" s="47"/>
      <c r="Y29" s="48"/>
      <c r="Z29" s="48"/>
    </row>
    <row r="30">
      <c r="A30" s="18" t="s">
        <v>120</v>
      </c>
      <c r="B30" s="42">
        <f t="shared" si="1"/>
        <v>3750</v>
      </c>
      <c r="C30" s="42">
        <v>2598.0</v>
      </c>
      <c r="D30" s="28">
        <v>3031.0</v>
      </c>
      <c r="E30" s="28">
        <v>2324.0</v>
      </c>
      <c r="F30" s="28">
        <v>5351.0</v>
      </c>
      <c r="G30" s="28">
        <v>3702.0</v>
      </c>
      <c r="H30" s="28"/>
      <c r="I30" s="18"/>
      <c r="J30" s="18"/>
      <c r="K30" s="18"/>
      <c r="L30" s="18"/>
      <c r="M30" s="18"/>
      <c r="N30" s="43">
        <f t="shared" si="2"/>
        <v>0.4092627599</v>
      </c>
      <c r="O30" s="9"/>
      <c r="P30" s="45" t="s">
        <v>157</v>
      </c>
      <c r="Q30" s="46" t="s">
        <v>129</v>
      </c>
      <c r="R30" s="38">
        <v>2924.0</v>
      </c>
      <c r="S30" s="38">
        <v>2574.0</v>
      </c>
      <c r="U30" s="9"/>
      <c r="V30" s="24"/>
      <c r="W30" s="24"/>
      <c r="X30" s="47"/>
      <c r="Y30" s="48"/>
      <c r="Z30" s="48"/>
    </row>
    <row r="31">
      <c r="A31" s="18" t="s">
        <v>126</v>
      </c>
      <c r="B31" s="42">
        <f t="shared" si="1"/>
        <v>2921</v>
      </c>
      <c r="C31" s="42">
        <v>2142.0</v>
      </c>
      <c r="D31" s="28">
        <v>2129.0</v>
      </c>
      <c r="E31" s="28">
        <v>1701.0</v>
      </c>
      <c r="F31" s="28">
        <v>3226.0</v>
      </c>
      <c r="G31" s="28">
        <v>2359.0</v>
      </c>
      <c r="H31" s="28"/>
      <c r="I31" s="18"/>
      <c r="J31" s="18"/>
      <c r="K31" s="18"/>
      <c r="L31" s="18"/>
      <c r="M31" s="18"/>
      <c r="N31" s="43">
        <f t="shared" si="2"/>
        <v>0.4230693265</v>
      </c>
      <c r="O31" s="9"/>
      <c r="P31" s="24"/>
      <c r="Q31" s="46" t="s">
        <v>126</v>
      </c>
      <c r="R31" s="38">
        <v>2887.0</v>
      </c>
      <c r="S31" s="38">
        <v>2921.0</v>
      </c>
      <c r="U31" s="9"/>
      <c r="V31" s="24"/>
      <c r="W31" s="24"/>
      <c r="X31" s="47"/>
      <c r="Y31" s="48"/>
      <c r="Z31" s="48"/>
    </row>
    <row r="32">
      <c r="A32" s="18" t="s">
        <v>118</v>
      </c>
      <c r="B32" s="42">
        <f t="shared" si="1"/>
        <v>3024</v>
      </c>
      <c r="C32" s="42">
        <v>2663.0</v>
      </c>
      <c r="D32" s="28">
        <v>2466.0</v>
      </c>
      <c r="E32" s="28">
        <v>2161.0</v>
      </c>
      <c r="F32" s="28">
        <v>3752.0</v>
      </c>
      <c r="G32" s="28">
        <v>3381.0</v>
      </c>
      <c r="H32" s="28"/>
      <c r="I32" s="18"/>
      <c r="J32" s="18"/>
      <c r="K32" s="18"/>
      <c r="L32" s="18"/>
      <c r="M32" s="18"/>
      <c r="N32" s="43">
        <f t="shared" si="2"/>
        <v>0.468260946</v>
      </c>
      <c r="P32" s="24"/>
      <c r="Q32" s="24"/>
      <c r="U32" s="9"/>
      <c r="V32" s="24"/>
      <c r="W32" s="24"/>
      <c r="Y32" s="48"/>
      <c r="Z32" s="48"/>
    </row>
    <row r="33">
      <c r="O33" s="9"/>
      <c r="P33" s="24"/>
      <c r="Q33" s="24"/>
      <c r="U33" s="9"/>
      <c r="X33" s="47"/>
      <c r="Y33" s="48"/>
      <c r="Z33" s="48"/>
    </row>
    <row r="34">
      <c r="U34" s="9"/>
      <c r="W34" s="47"/>
      <c r="X34" s="47"/>
      <c r="Y34" s="48"/>
      <c r="Z34" s="48"/>
    </row>
    <row r="35">
      <c r="U35" s="9"/>
    </row>
    <row r="36">
      <c r="U36" s="9"/>
    </row>
    <row r="37">
      <c r="U37" s="9"/>
    </row>
    <row r="38">
      <c r="U38" s="9"/>
    </row>
    <row r="39">
      <c r="U39" s="9"/>
    </row>
    <row r="40">
      <c r="U40" s="9"/>
    </row>
    <row r="41">
      <c r="U41" s="9"/>
    </row>
    <row r="42">
      <c r="U42" s="9"/>
    </row>
    <row r="43">
      <c r="U43" s="9"/>
    </row>
    <row r="44">
      <c r="U44" s="9"/>
    </row>
    <row r="45">
      <c r="U45" s="9"/>
    </row>
    <row r="46">
      <c r="U46" s="9"/>
    </row>
    <row r="47">
      <c r="U47" s="9"/>
    </row>
    <row r="48">
      <c r="U48" s="9"/>
    </row>
    <row r="49">
      <c r="U49" s="9"/>
    </row>
    <row r="50">
      <c r="U50" s="9"/>
    </row>
    <row r="51">
      <c r="U51" s="9"/>
    </row>
    <row r="52">
      <c r="U52" s="9"/>
    </row>
    <row r="53">
      <c r="U53" s="9"/>
    </row>
    <row r="54">
      <c r="U54" s="9"/>
    </row>
    <row r="55">
      <c r="U55" s="9"/>
    </row>
    <row r="56">
      <c r="U56" s="9"/>
    </row>
    <row r="57">
      <c r="U57" s="9"/>
    </row>
    <row r="58">
      <c r="U58" s="9"/>
    </row>
    <row r="59">
      <c r="U59" s="9"/>
    </row>
    <row r="60">
      <c r="U60" s="9"/>
    </row>
    <row r="61">
      <c r="U61" s="9"/>
    </row>
    <row r="62">
      <c r="U62" s="9"/>
    </row>
    <row r="63">
      <c r="U63" s="9"/>
    </row>
    <row r="64">
      <c r="U64" s="9"/>
    </row>
    <row r="65">
      <c r="U65" s="9"/>
    </row>
    <row r="66">
      <c r="U66" s="9"/>
    </row>
    <row r="67">
      <c r="U67" s="9"/>
    </row>
    <row r="68">
      <c r="U68" s="9"/>
    </row>
    <row r="69">
      <c r="U69" s="9"/>
    </row>
    <row r="70">
      <c r="U70" s="9"/>
    </row>
    <row r="71">
      <c r="U71" s="9"/>
    </row>
    <row r="72">
      <c r="U72" s="9"/>
    </row>
    <row r="73">
      <c r="U73" s="9"/>
    </row>
    <row r="74">
      <c r="U74" s="9"/>
    </row>
    <row r="75">
      <c r="U75" s="9"/>
    </row>
    <row r="76">
      <c r="U76" s="9"/>
    </row>
    <row r="77">
      <c r="U77" s="9"/>
    </row>
    <row r="78">
      <c r="U78" s="9"/>
    </row>
    <row r="79">
      <c r="U79" s="9"/>
    </row>
    <row r="80">
      <c r="U80" s="9"/>
    </row>
    <row r="81">
      <c r="U81" s="9"/>
    </row>
    <row r="82">
      <c r="U82" s="9"/>
    </row>
    <row r="83">
      <c r="U83" s="9"/>
    </row>
    <row r="84">
      <c r="U84" s="9"/>
    </row>
    <row r="85">
      <c r="U85" s="9"/>
    </row>
    <row r="86">
      <c r="U86" s="9"/>
    </row>
    <row r="87">
      <c r="U87" s="9"/>
    </row>
    <row r="88">
      <c r="U88" s="9"/>
    </row>
    <row r="89">
      <c r="U89" s="9"/>
    </row>
    <row r="90">
      <c r="U90" s="9"/>
    </row>
    <row r="91">
      <c r="U91" s="9"/>
    </row>
    <row r="92">
      <c r="U92" s="9"/>
    </row>
    <row r="93">
      <c r="U93" s="9"/>
    </row>
    <row r="94">
      <c r="U94" s="9"/>
    </row>
    <row r="95">
      <c r="U95" s="9"/>
    </row>
    <row r="96">
      <c r="U96" s="9"/>
    </row>
    <row r="97">
      <c r="U97" s="9"/>
    </row>
    <row r="98">
      <c r="U98" s="9"/>
    </row>
    <row r="99">
      <c r="U99" s="9"/>
    </row>
    <row r="100">
      <c r="U100" s="9"/>
    </row>
    <row r="101">
      <c r="U101" s="9"/>
    </row>
    <row r="102">
      <c r="U102" s="9"/>
    </row>
    <row r="103">
      <c r="U103" s="9"/>
    </row>
    <row r="104">
      <c r="U104" s="9"/>
    </row>
    <row r="105">
      <c r="U105" s="9"/>
    </row>
    <row r="106">
      <c r="U106" s="9"/>
    </row>
    <row r="107">
      <c r="U107" s="9"/>
    </row>
    <row r="108">
      <c r="U108" s="9"/>
    </row>
    <row r="109">
      <c r="U109" s="9"/>
    </row>
    <row r="110">
      <c r="U110" s="9"/>
    </row>
    <row r="111">
      <c r="U111" s="9"/>
    </row>
    <row r="112">
      <c r="U112" s="9"/>
    </row>
    <row r="113">
      <c r="U113" s="9"/>
    </row>
    <row r="114">
      <c r="U114" s="9"/>
    </row>
    <row r="115">
      <c r="U115" s="9"/>
    </row>
    <row r="116">
      <c r="U116" s="9"/>
    </row>
    <row r="117">
      <c r="U117" s="9"/>
    </row>
    <row r="118">
      <c r="U118" s="9"/>
    </row>
    <row r="119">
      <c r="U119" s="9"/>
    </row>
    <row r="120">
      <c r="U120" s="9"/>
    </row>
    <row r="121">
      <c r="U121" s="9"/>
    </row>
    <row r="122">
      <c r="U122" s="9"/>
    </row>
    <row r="123">
      <c r="U123" s="9"/>
    </row>
    <row r="124">
      <c r="U124" s="9"/>
    </row>
    <row r="125">
      <c r="U125" s="9"/>
    </row>
    <row r="126">
      <c r="U126" s="9"/>
    </row>
    <row r="127">
      <c r="U127" s="9"/>
    </row>
    <row r="128">
      <c r="U128" s="9"/>
    </row>
    <row r="129">
      <c r="U129" s="9"/>
    </row>
    <row r="130">
      <c r="U130" s="9"/>
    </row>
    <row r="131">
      <c r="U131" s="9"/>
    </row>
    <row r="132">
      <c r="U132" s="9"/>
    </row>
    <row r="133">
      <c r="U133" s="9"/>
    </row>
    <row r="134">
      <c r="U134" s="9"/>
    </row>
    <row r="135">
      <c r="U135" s="9"/>
    </row>
    <row r="136">
      <c r="U136" s="9"/>
    </row>
    <row r="137">
      <c r="U137" s="9"/>
    </row>
    <row r="138">
      <c r="U138" s="9"/>
    </row>
    <row r="139">
      <c r="U139" s="9"/>
    </row>
    <row r="140">
      <c r="U140" s="9"/>
    </row>
    <row r="141">
      <c r="U141" s="9"/>
    </row>
    <row r="142">
      <c r="U142" s="9"/>
    </row>
    <row r="143">
      <c r="U143" s="9"/>
    </row>
    <row r="144">
      <c r="U144" s="9"/>
    </row>
    <row r="145">
      <c r="U145" s="9"/>
    </row>
    <row r="146">
      <c r="U146" s="9"/>
    </row>
    <row r="147">
      <c r="U147" s="9"/>
    </row>
    <row r="148">
      <c r="U148" s="9"/>
    </row>
    <row r="149">
      <c r="U149" s="9"/>
    </row>
    <row r="150">
      <c r="U150" s="9"/>
    </row>
    <row r="151">
      <c r="U151" s="9"/>
    </row>
    <row r="152">
      <c r="U152" s="9"/>
    </row>
    <row r="153">
      <c r="U153" s="9"/>
    </row>
    <row r="154">
      <c r="U154" s="9"/>
    </row>
    <row r="155">
      <c r="U155" s="9"/>
    </row>
    <row r="156">
      <c r="U156" s="9"/>
    </row>
    <row r="157">
      <c r="U157" s="9"/>
    </row>
    <row r="158">
      <c r="U158" s="9"/>
    </row>
    <row r="159">
      <c r="U159" s="9"/>
    </row>
    <row r="160">
      <c r="U160" s="9"/>
    </row>
    <row r="161">
      <c r="U161" s="9"/>
    </row>
    <row r="162">
      <c r="U162" s="9"/>
    </row>
    <row r="163">
      <c r="U163" s="9"/>
    </row>
    <row r="164">
      <c r="U164" s="9"/>
    </row>
    <row r="165">
      <c r="U165" s="9"/>
    </row>
    <row r="166">
      <c r="U166" s="9"/>
    </row>
    <row r="167">
      <c r="U167" s="9"/>
    </row>
    <row r="168">
      <c r="U168" s="9"/>
    </row>
    <row r="169">
      <c r="U169" s="9"/>
    </row>
    <row r="170">
      <c r="U170" s="9"/>
    </row>
    <row r="171">
      <c r="U171" s="9"/>
    </row>
    <row r="172">
      <c r="U172" s="9"/>
    </row>
    <row r="173">
      <c r="U173" s="9"/>
    </row>
    <row r="174">
      <c r="U174" s="9"/>
    </row>
    <row r="175">
      <c r="U175" s="9"/>
    </row>
    <row r="176">
      <c r="U176" s="9"/>
    </row>
    <row r="177">
      <c r="U177" s="9"/>
    </row>
    <row r="178">
      <c r="U178" s="9"/>
    </row>
    <row r="179">
      <c r="U179" s="9"/>
    </row>
    <row r="180">
      <c r="U180" s="9"/>
    </row>
    <row r="181">
      <c r="U181" s="9"/>
    </row>
    <row r="182">
      <c r="U182" s="9"/>
    </row>
    <row r="183">
      <c r="U183" s="9"/>
    </row>
    <row r="184">
      <c r="U184" s="9"/>
    </row>
    <row r="185">
      <c r="U185" s="9"/>
    </row>
    <row r="186">
      <c r="U186" s="9"/>
    </row>
    <row r="187">
      <c r="U187" s="9"/>
    </row>
    <row r="188">
      <c r="U188" s="9"/>
    </row>
    <row r="189">
      <c r="U189" s="9"/>
    </row>
    <row r="190">
      <c r="U190" s="9"/>
    </row>
    <row r="191">
      <c r="U191" s="9"/>
    </row>
    <row r="192">
      <c r="U192" s="9"/>
    </row>
    <row r="193">
      <c r="U193" s="9"/>
    </row>
    <row r="194">
      <c r="U194" s="9"/>
    </row>
    <row r="195">
      <c r="U195" s="9"/>
    </row>
    <row r="196">
      <c r="U196" s="9"/>
    </row>
    <row r="197">
      <c r="U197" s="9"/>
    </row>
    <row r="198">
      <c r="U198" s="9"/>
    </row>
    <row r="199">
      <c r="U199" s="9"/>
    </row>
    <row r="200">
      <c r="U200" s="9"/>
    </row>
    <row r="201">
      <c r="U201" s="9"/>
    </row>
    <row r="202">
      <c r="U202" s="9"/>
    </row>
    <row r="203">
      <c r="U203" s="9"/>
    </row>
    <row r="204">
      <c r="U204" s="9"/>
    </row>
    <row r="205">
      <c r="U205" s="9"/>
    </row>
    <row r="206">
      <c r="U206" s="9"/>
    </row>
    <row r="207">
      <c r="U207" s="9"/>
    </row>
    <row r="208">
      <c r="U208" s="9"/>
    </row>
    <row r="209">
      <c r="U209" s="9"/>
    </row>
    <row r="210">
      <c r="U210" s="9"/>
    </row>
    <row r="211">
      <c r="U211" s="9"/>
    </row>
    <row r="212">
      <c r="U212" s="9"/>
    </row>
    <row r="213">
      <c r="U213" s="9"/>
    </row>
    <row r="214">
      <c r="U214" s="9"/>
    </row>
    <row r="215">
      <c r="U215" s="9"/>
    </row>
    <row r="216">
      <c r="U216" s="9"/>
    </row>
    <row r="217">
      <c r="U217" s="9"/>
    </row>
    <row r="218">
      <c r="U218" s="9"/>
    </row>
    <row r="219">
      <c r="U219" s="9"/>
    </row>
    <row r="220">
      <c r="U220" s="9"/>
    </row>
    <row r="221">
      <c r="U221" s="9"/>
    </row>
    <row r="222">
      <c r="U222" s="9"/>
    </row>
    <row r="223">
      <c r="U223" s="9"/>
    </row>
    <row r="224">
      <c r="U224" s="9"/>
    </row>
    <row r="225">
      <c r="U225" s="9"/>
    </row>
    <row r="226">
      <c r="U226" s="9"/>
    </row>
    <row r="227">
      <c r="U227" s="9"/>
    </row>
    <row r="228">
      <c r="U228" s="9"/>
    </row>
    <row r="229">
      <c r="U229" s="9"/>
    </row>
    <row r="230">
      <c r="U230" s="9"/>
    </row>
    <row r="231">
      <c r="U231" s="9"/>
    </row>
    <row r="232">
      <c r="U232" s="9"/>
    </row>
    <row r="233">
      <c r="U233" s="9"/>
    </row>
    <row r="234">
      <c r="U234" s="9"/>
    </row>
    <row r="235">
      <c r="U235" s="9"/>
    </row>
    <row r="236">
      <c r="U236" s="9"/>
    </row>
    <row r="237">
      <c r="U237" s="9"/>
    </row>
    <row r="238">
      <c r="U238" s="9"/>
    </row>
    <row r="239">
      <c r="U239" s="9"/>
    </row>
    <row r="240">
      <c r="U240" s="9"/>
    </row>
    <row r="241">
      <c r="U241" s="9"/>
    </row>
    <row r="242">
      <c r="U242" s="9"/>
    </row>
    <row r="243">
      <c r="U243" s="9"/>
    </row>
    <row r="244">
      <c r="U244" s="9"/>
    </row>
    <row r="245">
      <c r="U245" s="9"/>
    </row>
    <row r="246">
      <c r="U246" s="9"/>
    </row>
    <row r="247">
      <c r="U247" s="9"/>
    </row>
    <row r="248">
      <c r="U248" s="9"/>
    </row>
    <row r="249">
      <c r="U249" s="9"/>
    </row>
    <row r="250">
      <c r="U250" s="9"/>
    </row>
    <row r="251">
      <c r="U251" s="9"/>
    </row>
    <row r="252">
      <c r="U252" s="9"/>
    </row>
    <row r="253">
      <c r="U253" s="9"/>
    </row>
    <row r="254">
      <c r="U254" s="9"/>
    </row>
    <row r="255">
      <c r="U255" s="9"/>
    </row>
    <row r="256">
      <c r="U256" s="9"/>
    </row>
    <row r="257">
      <c r="U257" s="9"/>
    </row>
    <row r="258">
      <c r="U258" s="9"/>
    </row>
    <row r="259">
      <c r="U259" s="9"/>
    </row>
    <row r="260">
      <c r="U260" s="9"/>
    </row>
    <row r="261">
      <c r="U261" s="9"/>
    </row>
    <row r="262">
      <c r="U262" s="9"/>
    </row>
    <row r="263">
      <c r="U263" s="9"/>
    </row>
    <row r="264">
      <c r="U264" s="9"/>
    </row>
    <row r="265">
      <c r="U265" s="9"/>
    </row>
    <row r="266">
      <c r="U266" s="9"/>
    </row>
    <row r="267">
      <c r="U267" s="9"/>
    </row>
    <row r="268">
      <c r="U268" s="9"/>
    </row>
    <row r="269">
      <c r="U269" s="9"/>
    </row>
    <row r="270">
      <c r="U270" s="9"/>
    </row>
    <row r="271">
      <c r="U271" s="9"/>
    </row>
    <row r="272">
      <c r="U272" s="9"/>
    </row>
    <row r="273">
      <c r="U273" s="9"/>
    </row>
    <row r="274">
      <c r="U274" s="9"/>
    </row>
    <row r="275">
      <c r="U275" s="9"/>
    </row>
    <row r="276">
      <c r="U276" s="9"/>
    </row>
    <row r="277">
      <c r="U277" s="9"/>
    </row>
    <row r="278">
      <c r="U278" s="9"/>
    </row>
    <row r="279">
      <c r="U279" s="9"/>
    </row>
    <row r="280">
      <c r="U280" s="9"/>
    </row>
    <row r="281">
      <c r="U281" s="9"/>
    </row>
    <row r="282">
      <c r="U282" s="9"/>
    </row>
    <row r="283">
      <c r="U283" s="9"/>
    </row>
    <row r="284">
      <c r="U284" s="9"/>
    </row>
    <row r="285">
      <c r="U285" s="9"/>
    </row>
    <row r="286">
      <c r="U286" s="9"/>
    </row>
    <row r="287">
      <c r="U287" s="9"/>
    </row>
    <row r="288">
      <c r="U288" s="9"/>
    </row>
    <row r="289">
      <c r="U289" s="9"/>
    </row>
    <row r="290">
      <c r="U290" s="9"/>
    </row>
    <row r="291">
      <c r="U291" s="9"/>
    </row>
    <row r="292">
      <c r="U292" s="9"/>
    </row>
    <row r="293">
      <c r="U293" s="9"/>
    </row>
    <row r="294">
      <c r="U294" s="9"/>
    </row>
    <row r="295">
      <c r="U295" s="9"/>
    </row>
    <row r="296">
      <c r="U296" s="9"/>
    </row>
    <row r="297">
      <c r="U297" s="9"/>
    </row>
    <row r="298">
      <c r="U298" s="9"/>
    </row>
    <row r="299">
      <c r="U299" s="9"/>
    </row>
    <row r="300">
      <c r="U300" s="9"/>
    </row>
    <row r="301">
      <c r="U301" s="9"/>
    </row>
    <row r="302">
      <c r="U302" s="9"/>
    </row>
    <row r="303">
      <c r="U303" s="9"/>
    </row>
    <row r="304">
      <c r="U304" s="9"/>
    </row>
    <row r="305">
      <c r="U305" s="9"/>
    </row>
    <row r="306">
      <c r="U306" s="9"/>
    </row>
    <row r="307">
      <c r="U307" s="9"/>
    </row>
    <row r="308">
      <c r="U308" s="9"/>
    </row>
    <row r="309">
      <c r="U309" s="9"/>
    </row>
    <row r="310">
      <c r="U310" s="9"/>
    </row>
    <row r="311">
      <c r="U311" s="9"/>
    </row>
    <row r="312">
      <c r="U312" s="9"/>
    </row>
    <row r="313">
      <c r="U313" s="9"/>
    </row>
    <row r="314">
      <c r="U314" s="9"/>
    </row>
    <row r="315">
      <c r="U315" s="9"/>
    </row>
    <row r="316">
      <c r="U316" s="9"/>
    </row>
    <row r="317">
      <c r="U317" s="9"/>
    </row>
    <row r="318">
      <c r="U318" s="9"/>
    </row>
    <row r="319">
      <c r="U319" s="9"/>
    </row>
    <row r="320">
      <c r="U320" s="9"/>
    </row>
    <row r="321">
      <c r="U321" s="9"/>
    </row>
    <row r="322">
      <c r="U322" s="9"/>
    </row>
    <row r="323">
      <c r="U323" s="9"/>
    </row>
    <row r="324">
      <c r="U324" s="9"/>
    </row>
    <row r="325">
      <c r="U325" s="9"/>
    </row>
    <row r="326">
      <c r="U326" s="9"/>
    </row>
    <row r="327">
      <c r="U327" s="9"/>
    </row>
    <row r="328">
      <c r="U328" s="9"/>
    </row>
    <row r="329">
      <c r="U329" s="9"/>
    </row>
    <row r="330">
      <c r="U330" s="9"/>
    </row>
    <row r="331">
      <c r="U331" s="9"/>
    </row>
    <row r="332">
      <c r="U332" s="9"/>
    </row>
    <row r="333">
      <c r="U333" s="9"/>
    </row>
    <row r="334">
      <c r="U334" s="9"/>
    </row>
    <row r="335">
      <c r="U335" s="9"/>
    </row>
    <row r="336">
      <c r="U336" s="9"/>
    </row>
    <row r="337">
      <c r="U337" s="9"/>
    </row>
    <row r="338">
      <c r="U338" s="9"/>
    </row>
    <row r="339">
      <c r="U339" s="9"/>
    </row>
    <row r="340">
      <c r="U340" s="9"/>
    </row>
    <row r="341">
      <c r="U341" s="9"/>
    </row>
    <row r="342">
      <c r="U342" s="9"/>
    </row>
    <row r="343">
      <c r="U343" s="9"/>
    </row>
    <row r="344">
      <c r="U344" s="9"/>
    </row>
    <row r="345">
      <c r="U345" s="9"/>
    </row>
    <row r="346">
      <c r="U346" s="9"/>
    </row>
    <row r="347">
      <c r="U347" s="9"/>
    </row>
    <row r="348">
      <c r="U348" s="9"/>
    </row>
    <row r="349">
      <c r="U349" s="9"/>
    </row>
    <row r="350">
      <c r="U350" s="9"/>
    </row>
    <row r="351">
      <c r="U351" s="9"/>
    </row>
    <row r="352">
      <c r="U352" s="9"/>
    </row>
    <row r="353">
      <c r="U353" s="9"/>
    </row>
    <row r="354">
      <c r="U354" s="9"/>
    </row>
    <row r="355">
      <c r="U355" s="9"/>
    </row>
    <row r="356">
      <c r="U356" s="9"/>
    </row>
    <row r="357">
      <c r="U357" s="9"/>
    </row>
    <row r="358">
      <c r="U358" s="9"/>
    </row>
    <row r="359">
      <c r="U359" s="9"/>
    </row>
    <row r="360">
      <c r="U360" s="9"/>
    </row>
    <row r="361">
      <c r="U361" s="9"/>
    </row>
    <row r="362">
      <c r="U362" s="9"/>
    </row>
    <row r="363">
      <c r="U363" s="9"/>
    </row>
    <row r="364">
      <c r="U364" s="9"/>
    </row>
    <row r="365">
      <c r="U365" s="9"/>
    </row>
    <row r="366">
      <c r="U366" s="9"/>
    </row>
    <row r="367">
      <c r="U367" s="9"/>
    </row>
    <row r="368">
      <c r="U368" s="9"/>
    </row>
    <row r="369">
      <c r="U369" s="9"/>
    </row>
    <row r="370">
      <c r="U370" s="9"/>
    </row>
    <row r="371">
      <c r="U371" s="9"/>
    </row>
    <row r="372">
      <c r="U372" s="9"/>
    </row>
    <row r="373">
      <c r="U373" s="9"/>
    </row>
    <row r="374">
      <c r="U374" s="9"/>
    </row>
    <row r="375">
      <c r="U375" s="9"/>
    </row>
    <row r="376">
      <c r="U376" s="9"/>
    </row>
    <row r="377">
      <c r="U377" s="9"/>
    </row>
    <row r="378">
      <c r="U378" s="9"/>
    </row>
    <row r="379">
      <c r="U379" s="9"/>
    </row>
    <row r="380">
      <c r="U380" s="9"/>
    </row>
    <row r="381">
      <c r="U381" s="9"/>
    </row>
    <row r="382">
      <c r="U382" s="9"/>
    </row>
    <row r="383">
      <c r="U383" s="9"/>
    </row>
    <row r="384">
      <c r="U384" s="9"/>
    </row>
    <row r="385">
      <c r="U385" s="9"/>
    </row>
    <row r="386">
      <c r="U386" s="9"/>
    </row>
    <row r="387">
      <c r="U387" s="9"/>
    </row>
    <row r="388">
      <c r="U388" s="9"/>
    </row>
    <row r="389">
      <c r="U389" s="9"/>
    </row>
    <row r="390">
      <c r="U390" s="9"/>
    </row>
    <row r="391">
      <c r="U391" s="9"/>
    </row>
    <row r="392">
      <c r="U392" s="9"/>
    </row>
    <row r="393">
      <c r="U393" s="9"/>
    </row>
    <row r="394">
      <c r="U394" s="9"/>
    </row>
    <row r="395">
      <c r="U395" s="9"/>
    </row>
    <row r="396">
      <c r="U396" s="9"/>
    </row>
    <row r="397">
      <c r="U397" s="9"/>
    </row>
    <row r="398">
      <c r="U398" s="9"/>
    </row>
    <row r="399">
      <c r="U399" s="9"/>
    </row>
    <row r="400">
      <c r="U400" s="9"/>
    </row>
    <row r="401">
      <c r="U401" s="9"/>
    </row>
    <row r="402">
      <c r="U402" s="9"/>
    </row>
    <row r="403">
      <c r="U403" s="9"/>
    </row>
    <row r="404">
      <c r="U404" s="9"/>
    </row>
    <row r="405">
      <c r="U405" s="9"/>
    </row>
    <row r="406">
      <c r="U406" s="9"/>
    </row>
    <row r="407">
      <c r="U407" s="9"/>
    </row>
    <row r="408">
      <c r="U408" s="9"/>
    </row>
    <row r="409">
      <c r="U409" s="9"/>
    </row>
    <row r="410">
      <c r="U410" s="9"/>
    </row>
    <row r="411">
      <c r="U411" s="9"/>
    </row>
    <row r="412">
      <c r="U412" s="9"/>
    </row>
    <row r="413">
      <c r="U413" s="9"/>
    </row>
    <row r="414">
      <c r="U414" s="9"/>
    </row>
    <row r="415">
      <c r="U415" s="9"/>
    </row>
    <row r="416">
      <c r="U416" s="9"/>
    </row>
    <row r="417">
      <c r="U417" s="9"/>
    </row>
    <row r="418">
      <c r="U418" s="9"/>
    </row>
    <row r="419">
      <c r="U419" s="9"/>
    </row>
    <row r="420">
      <c r="U420" s="9"/>
    </row>
    <row r="421">
      <c r="U421" s="9"/>
    </row>
    <row r="422">
      <c r="U422" s="9"/>
    </row>
    <row r="423">
      <c r="U423" s="9"/>
    </row>
    <row r="424">
      <c r="U424" s="9"/>
    </row>
    <row r="425">
      <c r="U425" s="9"/>
    </row>
    <row r="426">
      <c r="U426" s="9"/>
    </row>
    <row r="427">
      <c r="U427" s="9"/>
    </row>
    <row r="428">
      <c r="U428" s="9"/>
    </row>
    <row r="429">
      <c r="U429" s="9"/>
    </row>
    <row r="430">
      <c r="U430" s="9"/>
    </row>
    <row r="431">
      <c r="U431" s="9"/>
    </row>
    <row r="432">
      <c r="U432" s="9"/>
    </row>
    <row r="433">
      <c r="U433" s="9"/>
    </row>
    <row r="434">
      <c r="U434" s="9"/>
    </row>
    <row r="435">
      <c r="U435" s="9"/>
    </row>
    <row r="436">
      <c r="U436" s="9"/>
    </row>
    <row r="437">
      <c r="U437" s="9"/>
    </row>
    <row r="438">
      <c r="U438" s="9"/>
    </row>
    <row r="439">
      <c r="U439" s="9"/>
    </row>
    <row r="440">
      <c r="U440" s="9"/>
    </row>
    <row r="441">
      <c r="U441" s="9"/>
    </row>
    <row r="442">
      <c r="U442" s="9"/>
    </row>
    <row r="443">
      <c r="U443" s="9"/>
    </row>
    <row r="444">
      <c r="U444" s="9"/>
    </row>
    <row r="445">
      <c r="U445" s="9"/>
    </row>
    <row r="446">
      <c r="U446" s="9"/>
    </row>
    <row r="447">
      <c r="U447" s="9"/>
    </row>
    <row r="448">
      <c r="U448" s="9"/>
    </row>
    <row r="449">
      <c r="U449" s="9"/>
    </row>
    <row r="450">
      <c r="U450" s="9"/>
    </row>
    <row r="451">
      <c r="U451" s="9"/>
    </row>
    <row r="452">
      <c r="U452" s="9"/>
    </row>
    <row r="453">
      <c r="U453" s="9"/>
    </row>
    <row r="454">
      <c r="U454" s="9"/>
    </row>
    <row r="455">
      <c r="U455" s="9"/>
    </row>
    <row r="456">
      <c r="U456" s="9"/>
    </row>
    <row r="457">
      <c r="U457" s="9"/>
    </row>
    <row r="458">
      <c r="U458" s="9"/>
    </row>
    <row r="459">
      <c r="U459" s="9"/>
    </row>
    <row r="460">
      <c r="U460" s="9"/>
    </row>
    <row r="461">
      <c r="U461" s="9"/>
    </row>
    <row r="462">
      <c r="U462" s="9"/>
    </row>
    <row r="463">
      <c r="U463" s="9"/>
    </row>
    <row r="464">
      <c r="U464" s="9"/>
    </row>
    <row r="465">
      <c r="U465" s="9"/>
    </row>
    <row r="466">
      <c r="U466" s="9"/>
    </row>
    <row r="467">
      <c r="U467" s="9"/>
    </row>
    <row r="468">
      <c r="U468" s="9"/>
    </row>
    <row r="469">
      <c r="U469" s="9"/>
    </row>
    <row r="470">
      <c r="U470" s="9"/>
    </row>
    <row r="471">
      <c r="U471" s="9"/>
    </row>
    <row r="472">
      <c r="U472" s="9"/>
    </row>
    <row r="473">
      <c r="U473" s="9"/>
    </row>
    <row r="474">
      <c r="U474" s="9"/>
    </row>
    <row r="475">
      <c r="U475" s="9"/>
    </row>
    <row r="476">
      <c r="U476" s="9"/>
    </row>
    <row r="477">
      <c r="U477" s="9"/>
    </row>
    <row r="478">
      <c r="U478" s="9"/>
    </row>
    <row r="479">
      <c r="U479" s="9"/>
    </row>
    <row r="480">
      <c r="U480" s="9"/>
    </row>
    <row r="481">
      <c r="U481" s="9"/>
    </row>
    <row r="482">
      <c r="U482" s="9"/>
    </row>
    <row r="483">
      <c r="U483" s="9"/>
    </row>
    <row r="484">
      <c r="U484" s="9"/>
    </row>
    <row r="485">
      <c r="U485" s="9"/>
    </row>
    <row r="486">
      <c r="U486" s="9"/>
    </row>
    <row r="487">
      <c r="U487" s="9"/>
    </row>
    <row r="488">
      <c r="U488" s="9"/>
    </row>
    <row r="489">
      <c r="U489" s="9"/>
    </row>
    <row r="490">
      <c r="U490" s="9"/>
    </row>
    <row r="491">
      <c r="U491" s="9"/>
    </row>
    <row r="492">
      <c r="U492" s="9"/>
    </row>
    <row r="493">
      <c r="U493" s="9"/>
    </row>
    <row r="494">
      <c r="U494" s="9"/>
    </row>
    <row r="495">
      <c r="U495" s="9"/>
    </row>
    <row r="496">
      <c r="U496" s="9"/>
    </row>
    <row r="497">
      <c r="U497" s="9"/>
    </row>
    <row r="498">
      <c r="U498" s="9"/>
    </row>
    <row r="499">
      <c r="U499" s="9"/>
    </row>
    <row r="500">
      <c r="U500" s="9"/>
    </row>
    <row r="501">
      <c r="U501" s="9"/>
    </row>
    <row r="502">
      <c r="U502" s="9"/>
    </row>
    <row r="503">
      <c r="U503" s="9"/>
    </row>
    <row r="504">
      <c r="U504" s="9"/>
    </row>
    <row r="505">
      <c r="U505" s="9"/>
    </row>
    <row r="506">
      <c r="U506" s="9"/>
    </row>
    <row r="507">
      <c r="U507" s="9"/>
    </row>
    <row r="508">
      <c r="U508" s="9"/>
    </row>
    <row r="509">
      <c r="U509" s="9"/>
    </row>
    <row r="510">
      <c r="U510" s="9"/>
    </row>
    <row r="511">
      <c r="U511" s="9"/>
    </row>
    <row r="512">
      <c r="U512" s="9"/>
    </row>
    <row r="513">
      <c r="U513" s="9"/>
    </row>
    <row r="514">
      <c r="U514" s="9"/>
    </row>
    <row r="515">
      <c r="U515" s="9"/>
    </row>
    <row r="516">
      <c r="U516" s="9"/>
    </row>
    <row r="517">
      <c r="U517" s="9"/>
    </row>
    <row r="518">
      <c r="U518" s="9"/>
    </row>
    <row r="519">
      <c r="U519" s="9"/>
    </row>
    <row r="520">
      <c r="U520" s="9"/>
    </row>
    <row r="521">
      <c r="U521" s="9"/>
    </row>
    <row r="522">
      <c r="U522" s="9"/>
    </row>
    <row r="523">
      <c r="U523" s="9"/>
    </row>
    <row r="524">
      <c r="U524" s="9"/>
    </row>
    <row r="525">
      <c r="U525" s="9"/>
    </row>
    <row r="526">
      <c r="U526" s="9"/>
    </row>
    <row r="527">
      <c r="U527" s="9"/>
    </row>
    <row r="528">
      <c r="U528" s="9"/>
    </row>
    <row r="529">
      <c r="U529" s="9"/>
    </row>
    <row r="530">
      <c r="U530" s="9"/>
    </row>
    <row r="531">
      <c r="U531" s="9"/>
    </row>
    <row r="532">
      <c r="U532" s="9"/>
    </row>
    <row r="533">
      <c r="U533" s="9"/>
    </row>
    <row r="534">
      <c r="U534" s="9"/>
    </row>
    <row r="535">
      <c r="U535" s="9"/>
    </row>
    <row r="536">
      <c r="U536" s="9"/>
    </row>
    <row r="537">
      <c r="U537" s="9"/>
    </row>
    <row r="538">
      <c r="U538" s="9"/>
    </row>
    <row r="539">
      <c r="U539" s="9"/>
    </row>
    <row r="540">
      <c r="U540" s="9"/>
    </row>
    <row r="541">
      <c r="U541" s="9"/>
    </row>
    <row r="542">
      <c r="U542" s="9"/>
    </row>
    <row r="543">
      <c r="U543" s="9"/>
    </row>
    <row r="544">
      <c r="U544" s="9"/>
    </row>
    <row r="545">
      <c r="U545" s="9"/>
    </row>
    <row r="546">
      <c r="U546" s="9"/>
    </row>
    <row r="547">
      <c r="U547" s="9"/>
    </row>
    <row r="548">
      <c r="U548" s="9"/>
    </row>
    <row r="549">
      <c r="U549" s="9"/>
    </row>
    <row r="550">
      <c r="U550" s="9"/>
    </row>
    <row r="551">
      <c r="U551" s="9"/>
    </row>
    <row r="552">
      <c r="U552" s="9"/>
    </row>
    <row r="553">
      <c r="U553" s="9"/>
    </row>
    <row r="554">
      <c r="U554" s="9"/>
    </row>
    <row r="555">
      <c r="U555" s="9"/>
    </row>
    <row r="556">
      <c r="U556" s="9"/>
    </row>
    <row r="557">
      <c r="U557" s="9"/>
    </row>
    <row r="558">
      <c r="U558" s="9"/>
    </row>
    <row r="559">
      <c r="U559" s="9"/>
    </row>
    <row r="560">
      <c r="U560" s="9"/>
    </row>
    <row r="561">
      <c r="U561" s="9"/>
    </row>
    <row r="562">
      <c r="U562" s="9"/>
    </row>
    <row r="563">
      <c r="U563" s="9"/>
    </row>
    <row r="564">
      <c r="U564" s="9"/>
    </row>
    <row r="565">
      <c r="U565" s="9"/>
    </row>
    <row r="566">
      <c r="U566" s="9"/>
    </row>
    <row r="567">
      <c r="U567" s="9"/>
    </row>
    <row r="568">
      <c r="U568" s="9"/>
    </row>
    <row r="569">
      <c r="U569" s="9"/>
    </row>
    <row r="570">
      <c r="U570" s="9"/>
    </row>
    <row r="571">
      <c r="U571" s="9"/>
    </row>
    <row r="572">
      <c r="U572" s="9"/>
    </row>
    <row r="573">
      <c r="U573" s="9"/>
    </row>
    <row r="574">
      <c r="U574" s="9"/>
    </row>
    <row r="575">
      <c r="U575" s="9"/>
    </row>
    <row r="576">
      <c r="U576" s="9"/>
    </row>
    <row r="577">
      <c r="U577" s="9"/>
    </row>
    <row r="578">
      <c r="U578" s="9"/>
    </row>
    <row r="579">
      <c r="U579" s="9"/>
    </row>
    <row r="580">
      <c r="U580" s="9"/>
    </row>
    <row r="581">
      <c r="U581" s="9"/>
    </row>
    <row r="582">
      <c r="U582" s="9"/>
    </row>
    <row r="583">
      <c r="U583" s="9"/>
    </row>
    <row r="584">
      <c r="U584" s="9"/>
    </row>
    <row r="585">
      <c r="U585" s="9"/>
    </row>
    <row r="586">
      <c r="U586" s="9"/>
    </row>
    <row r="587">
      <c r="U587" s="9"/>
    </row>
    <row r="588">
      <c r="U588" s="9"/>
    </row>
    <row r="589">
      <c r="U589" s="9"/>
    </row>
    <row r="590">
      <c r="U590" s="9"/>
    </row>
    <row r="591">
      <c r="U591" s="9"/>
    </row>
    <row r="592">
      <c r="U592" s="9"/>
    </row>
    <row r="593">
      <c r="U593" s="9"/>
    </row>
    <row r="594">
      <c r="U594" s="9"/>
    </row>
    <row r="595">
      <c r="U595" s="9"/>
    </row>
    <row r="596">
      <c r="U596" s="9"/>
    </row>
    <row r="597">
      <c r="U597" s="9"/>
    </row>
    <row r="598">
      <c r="U598" s="9"/>
    </row>
    <row r="599">
      <c r="U599" s="9"/>
    </row>
    <row r="600">
      <c r="U600" s="9"/>
    </row>
    <row r="601">
      <c r="U601" s="9"/>
    </row>
    <row r="602">
      <c r="U602" s="9"/>
    </row>
    <row r="603">
      <c r="U603" s="9"/>
    </row>
    <row r="604">
      <c r="U604" s="9"/>
    </row>
    <row r="605">
      <c r="U605" s="9"/>
    </row>
    <row r="606">
      <c r="U606" s="9"/>
    </row>
    <row r="607">
      <c r="U607" s="9"/>
    </row>
    <row r="608">
      <c r="U608" s="9"/>
    </row>
    <row r="609">
      <c r="U609" s="9"/>
    </row>
    <row r="610">
      <c r="U610" s="9"/>
    </row>
    <row r="611">
      <c r="U611" s="9"/>
    </row>
    <row r="612">
      <c r="U612" s="9"/>
    </row>
    <row r="613">
      <c r="U613" s="9"/>
    </row>
    <row r="614">
      <c r="U614" s="9"/>
    </row>
    <row r="615">
      <c r="U615" s="9"/>
    </row>
    <row r="616">
      <c r="U616" s="9"/>
    </row>
    <row r="617">
      <c r="U617" s="9"/>
    </row>
    <row r="618">
      <c r="U618" s="9"/>
    </row>
    <row r="619">
      <c r="U619" s="9"/>
    </row>
    <row r="620">
      <c r="U620" s="9"/>
    </row>
    <row r="621">
      <c r="U621" s="9"/>
    </row>
    <row r="622">
      <c r="U622" s="9"/>
    </row>
    <row r="623">
      <c r="U623" s="9"/>
    </row>
    <row r="624">
      <c r="U624" s="9"/>
    </row>
    <row r="625">
      <c r="U625" s="9"/>
    </row>
    <row r="626">
      <c r="U626" s="9"/>
    </row>
    <row r="627">
      <c r="U627" s="9"/>
    </row>
    <row r="628">
      <c r="U628" s="9"/>
    </row>
    <row r="629">
      <c r="U629" s="9"/>
    </row>
    <row r="630">
      <c r="U630" s="9"/>
    </row>
    <row r="631">
      <c r="U631" s="9"/>
    </row>
    <row r="632">
      <c r="U632" s="9"/>
    </row>
    <row r="633">
      <c r="U633" s="9"/>
    </row>
    <row r="634">
      <c r="U634" s="9"/>
    </row>
    <row r="635">
      <c r="U635" s="9"/>
    </row>
    <row r="636">
      <c r="U636" s="9"/>
    </row>
    <row r="637">
      <c r="U637" s="9"/>
    </row>
    <row r="638">
      <c r="U638" s="9"/>
    </row>
    <row r="639">
      <c r="U639" s="9"/>
    </row>
    <row r="640">
      <c r="U640" s="9"/>
    </row>
    <row r="641">
      <c r="U641" s="9"/>
    </row>
    <row r="642">
      <c r="U642" s="9"/>
    </row>
    <row r="643">
      <c r="U643" s="9"/>
    </row>
    <row r="644">
      <c r="U644" s="9"/>
    </row>
    <row r="645">
      <c r="U645" s="9"/>
    </row>
    <row r="646">
      <c r="U646" s="9"/>
    </row>
    <row r="647">
      <c r="U647" s="9"/>
    </row>
    <row r="648">
      <c r="U648" s="9"/>
    </row>
    <row r="649">
      <c r="U649" s="9"/>
    </row>
    <row r="650">
      <c r="U650" s="9"/>
    </row>
    <row r="651">
      <c r="U651" s="9"/>
    </row>
    <row r="652">
      <c r="U652" s="9"/>
    </row>
    <row r="653">
      <c r="U653" s="9"/>
    </row>
    <row r="654">
      <c r="U654" s="9"/>
    </row>
    <row r="655">
      <c r="U655" s="9"/>
    </row>
    <row r="656">
      <c r="U656" s="9"/>
    </row>
    <row r="657">
      <c r="U657" s="9"/>
    </row>
    <row r="658">
      <c r="U658" s="9"/>
    </row>
    <row r="659">
      <c r="U659" s="9"/>
    </row>
    <row r="660">
      <c r="U660" s="9"/>
    </row>
    <row r="661">
      <c r="U661" s="9"/>
    </row>
    <row r="662">
      <c r="U662" s="9"/>
    </row>
    <row r="663">
      <c r="U663" s="9"/>
    </row>
    <row r="664">
      <c r="U664" s="9"/>
    </row>
    <row r="665">
      <c r="U665" s="9"/>
    </row>
    <row r="666">
      <c r="U666" s="9"/>
    </row>
    <row r="667">
      <c r="U667" s="9"/>
    </row>
    <row r="668">
      <c r="U668" s="9"/>
    </row>
    <row r="669">
      <c r="U669" s="9"/>
    </row>
    <row r="670">
      <c r="U670" s="9"/>
    </row>
    <row r="671">
      <c r="U671" s="9"/>
    </row>
    <row r="672">
      <c r="U672" s="9"/>
    </row>
    <row r="673">
      <c r="U673" s="9"/>
    </row>
    <row r="674">
      <c r="U674" s="9"/>
    </row>
    <row r="675">
      <c r="U675" s="9"/>
    </row>
    <row r="676">
      <c r="U676" s="9"/>
    </row>
    <row r="677">
      <c r="U677" s="9"/>
    </row>
    <row r="678">
      <c r="U678" s="9"/>
    </row>
    <row r="679">
      <c r="U679" s="9"/>
    </row>
    <row r="680">
      <c r="U680" s="9"/>
    </row>
    <row r="681">
      <c r="U681" s="9"/>
    </row>
    <row r="682">
      <c r="U682" s="9"/>
    </row>
    <row r="683">
      <c r="U683" s="9"/>
    </row>
    <row r="684">
      <c r="U684" s="9"/>
    </row>
    <row r="685">
      <c r="U685" s="9"/>
    </row>
    <row r="686">
      <c r="U686" s="9"/>
    </row>
    <row r="687">
      <c r="U687" s="9"/>
    </row>
    <row r="688">
      <c r="U688" s="9"/>
    </row>
    <row r="689">
      <c r="U689" s="9"/>
    </row>
    <row r="690">
      <c r="U690" s="9"/>
    </row>
    <row r="691">
      <c r="U691" s="9"/>
    </row>
    <row r="692">
      <c r="U692" s="9"/>
    </row>
    <row r="693">
      <c r="U693" s="9"/>
    </row>
    <row r="694">
      <c r="U694" s="9"/>
    </row>
    <row r="695">
      <c r="U695" s="9"/>
    </row>
    <row r="696">
      <c r="U696" s="9"/>
    </row>
    <row r="697">
      <c r="U697" s="9"/>
    </row>
    <row r="698">
      <c r="U698" s="9"/>
    </row>
    <row r="699">
      <c r="U699" s="9"/>
    </row>
    <row r="700">
      <c r="U700" s="9"/>
    </row>
    <row r="701">
      <c r="U701" s="9"/>
    </row>
    <row r="702">
      <c r="U702" s="9"/>
    </row>
    <row r="703">
      <c r="U703" s="9"/>
    </row>
    <row r="704">
      <c r="U704" s="9"/>
    </row>
    <row r="705">
      <c r="U705" s="9"/>
    </row>
    <row r="706">
      <c r="U706" s="9"/>
    </row>
    <row r="707">
      <c r="U707" s="9"/>
    </row>
    <row r="708">
      <c r="U708" s="9"/>
    </row>
    <row r="709">
      <c r="U709" s="9"/>
    </row>
    <row r="710">
      <c r="U710" s="9"/>
    </row>
    <row r="711">
      <c r="U711" s="9"/>
    </row>
    <row r="712">
      <c r="U712" s="9"/>
    </row>
    <row r="713">
      <c r="U713" s="9"/>
    </row>
    <row r="714">
      <c r="U714" s="9"/>
    </row>
    <row r="715">
      <c r="U715" s="9"/>
    </row>
    <row r="716">
      <c r="U716" s="9"/>
    </row>
    <row r="717">
      <c r="U717" s="9"/>
    </row>
    <row r="718">
      <c r="U718" s="9"/>
    </row>
    <row r="719">
      <c r="U719" s="9"/>
    </row>
    <row r="720">
      <c r="U720" s="9"/>
    </row>
    <row r="721">
      <c r="U721" s="9"/>
    </row>
    <row r="722">
      <c r="U722" s="9"/>
    </row>
    <row r="723">
      <c r="U723" s="9"/>
    </row>
    <row r="724">
      <c r="U724" s="9"/>
    </row>
    <row r="725">
      <c r="U725" s="9"/>
    </row>
    <row r="726">
      <c r="U726" s="9"/>
    </row>
    <row r="727">
      <c r="U727" s="9"/>
    </row>
    <row r="728">
      <c r="U728" s="9"/>
    </row>
    <row r="729">
      <c r="U729" s="9"/>
    </row>
    <row r="730">
      <c r="U730" s="9"/>
    </row>
    <row r="731">
      <c r="U731" s="9"/>
    </row>
    <row r="732">
      <c r="U732" s="9"/>
    </row>
    <row r="733">
      <c r="U733" s="9"/>
    </row>
    <row r="734">
      <c r="U734" s="9"/>
    </row>
    <row r="735">
      <c r="U735" s="9"/>
    </row>
    <row r="736">
      <c r="U736" s="9"/>
    </row>
    <row r="737">
      <c r="U737" s="9"/>
    </row>
    <row r="738">
      <c r="U738" s="9"/>
    </row>
    <row r="739">
      <c r="U739" s="9"/>
    </row>
    <row r="740">
      <c r="U740" s="9"/>
    </row>
    <row r="741">
      <c r="U741" s="9"/>
    </row>
    <row r="742">
      <c r="U742" s="9"/>
    </row>
    <row r="743">
      <c r="U743" s="9"/>
    </row>
    <row r="744">
      <c r="U744" s="9"/>
    </row>
    <row r="745">
      <c r="U745" s="9"/>
    </row>
    <row r="746">
      <c r="U746" s="9"/>
    </row>
    <row r="747">
      <c r="U747" s="9"/>
    </row>
    <row r="748">
      <c r="U748" s="9"/>
    </row>
    <row r="749">
      <c r="U749" s="9"/>
    </row>
    <row r="750">
      <c r="U750" s="9"/>
    </row>
    <row r="751">
      <c r="U751" s="9"/>
    </row>
    <row r="752">
      <c r="U752" s="9"/>
    </row>
    <row r="753">
      <c r="U753" s="9"/>
    </row>
    <row r="754">
      <c r="U754" s="9"/>
    </row>
    <row r="755">
      <c r="U755" s="9"/>
    </row>
    <row r="756">
      <c r="U756" s="9"/>
    </row>
    <row r="757">
      <c r="U757" s="9"/>
    </row>
    <row r="758">
      <c r="U758" s="9"/>
    </row>
    <row r="759">
      <c r="U759" s="9"/>
    </row>
    <row r="760">
      <c r="U760" s="9"/>
    </row>
    <row r="761">
      <c r="U761" s="9"/>
    </row>
    <row r="762">
      <c r="U762" s="9"/>
    </row>
    <row r="763">
      <c r="U763" s="9"/>
    </row>
    <row r="764">
      <c r="U764" s="9"/>
    </row>
    <row r="765">
      <c r="U765" s="9"/>
    </row>
    <row r="766">
      <c r="U766" s="9"/>
    </row>
    <row r="767">
      <c r="U767" s="9"/>
    </row>
    <row r="768">
      <c r="U768" s="9"/>
    </row>
    <row r="769">
      <c r="U769" s="9"/>
    </row>
    <row r="770">
      <c r="U770" s="9"/>
    </row>
    <row r="771">
      <c r="U771" s="9"/>
    </row>
    <row r="772">
      <c r="U772" s="9"/>
    </row>
    <row r="773">
      <c r="U773" s="9"/>
    </row>
    <row r="774">
      <c r="U774" s="9"/>
    </row>
    <row r="775">
      <c r="U775" s="9"/>
    </row>
    <row r="776">
      <c r="U776" s="9"/>
    </row>
    <row r="777">
      <c r="U777" s="9"/>
    </row>
    <row r="778">
      <c r="U778" s="9"/>
    </row>
    <row r="779">
      <c r="U779" s="9"/>
    </row>
    <row r="780">
      <c r="U780" s="9"/>
    </row>
    <row r="781">
      <c r="U781" s="9"/>
    </row>
    <row r="782">
      <c r="U782" s="9"/>
    </row>
    <row r="783">
      <c r="U783" s="9"/>
    </row>
    <row r="784">
      <c r="U784" s="9"/>
    </row>
    <row r="785">
      <c r="U785" s="9"/>
    </row>
    <row r="786">
      <c r="U786" s="9"/>
    </row>
    <row r="787">
      <c r="U787" s="9"/>
    </row>
    <row r="788">
      <c r="U788" s="9"/>
    </row>
    <row r="789">
      <c r="U789" s="9"/>
    </row>
    <row r="790">
      <c r="U790" s="9"/>
    </row>
    <row r="791">
      <c r="U791" s="9"/>
    </row>
    <row r="792">
      <c r="U792" s="9"/>
    </row>
    <row r="793">
      <c r="U793" s="9"/>
    </row>
    <row r="794">
      <c r="U794" s="9"/>
    </row>
    <row r="795">
      <c r="U795" s="9"/>
    </row>
    <row r="796">
      <c r="U796" s="9"/>
    </row>
    <row r="797">
      <c r="U797" s="9"/>
    </row>
    <row r="798">
      <c r="U798" s="9"/>
    </row>
    <row r="799">
      <c r="U799" s="9"/>
    </row>
    <row r="800">
      <c r="U800" s="9"/>
    </row>
    <row r="801">
      <c r="U801" s="9"/>
    </row>
    <row r="802">
      <c r="U802" s="9"/>
    </row>
    <row r="803">
      <c r="U803" s="9"/>
    </row>
    <row r="804">
      <c r="U804" s="9"/>
    </row>
    <row r="805">
      <c r="U805" s="9"/>
    </row>
    <row r="806">
      <c r="U806" s="9"/>
    </row>
    <row r="807">
      <c r="U807" s="9"/>
    </row>
    <row r="808">
      <c r="U808" s="9"/>
    </row>
    <row r="809">
      <c r="U809" s="9"/>
    </row>
    <row r="810">
      <c r="U810" s="9"/>
    </row>
    <row r="811">
      <c r="U811" s="9"/>
    </row>
    <row r="812">
      <c r="U812" s="9"/>
    </row>
    <row r="813">
      <c r="U813" s="9"/>
    </row>
    <row r="814">
      <c r="U814" s="9"/>
    </row>
    <row r="815">
      <c r="U815" s="9"/>
    </row>
    <row r="816">
      <c r="U816" s="9"/>
    </row>
    <row r="817">
      <c r="U817" s="9"/>
    </row>
    <row r="818">
      <c r="U818" s="9"/>
    </row>
    <row r="819">
      <c r="U819" s="9"/>
    </row>
    <row r="820">
      <c r="U820" s="9"/>
    </row>
    <row r="821">
      <c r="U821" s="9"/>
    </row>
    <row r="822">
      <c r="U822" s="9"/>
    </row>
    <row r="823">
      <c r="U823" s="9"/>
    </row>
    <row r="824">
      <c r="U824" s="9"/>
    </row>
    <row r="825">
      <c r="U825" s="9"/>
    </row>
    <row r="826">
      <c r="U826" s="9"/>
    </row>
    <row r="827">
      <c r="U827" s="9"/>
    </row>
    <row r="828">
      <c r="U828" s="9"/>
    </row>
    <row r="829">
      <c r="U829" s="9"/>
    </row>
    <row r="830">
      <c r="U830" s="9"/>
    </row>
    <row r="831">
      <c r="U831" s="9"/>
    </row>
    <row r="832">
      <c r="U832" s="9"/>
    </row>
    <row r="833">
      <c r="U833" s="9"/>
    </row>
    <row r="834">
      <c r="U834" s="9"/>
    </row>
    <row r="835">
      <c r="U835" s="9"/>
    </row>
    <row r="836">
      <c r="U836" s="9"/>
    </row>
    <row r="837">
      <c r="U837" s="9"/>
    </row>
    <row r="838">
      <c r="U838" s="9"/>
    </row>
    <row r="839">
      <c r="U839" s="9"/>
    </row>
    <row r="840">
      <c r="U840" s="9"/>
    </row>
    <row r="841">
      <c r="U841" s="9"/>
    </row>
    <row r="842">
      <c r="U842" s="9"/>
    </row>
    <row r="843">
      <c r="U843" s="9"/>
    </row>
    <row r="844">
      <c r="U844" s="9"/>
    </row>
    <row r="845">
      <c r="U845" s="9"/>
    </row>
    <row r="846">
      <c r="U846" s="9"/>
    </row>
    <row r="847">
      <c r="U847" s="9"/>
    </row>
    <row r="848">
      <c r="U848" s="9"/>
    </row>
    <row r="849">
      <c r="U849" s="9"/>
    </row>
    <row r="850">
      <c r="U850" s="9"/>
    </row>
    <row r="851">
      <c r="U851" s="9"/>
    </row>
    <row r="852">
      <c r="U852" s="9"/>
    </row>
    <row r="853">
      <c r="U853" s="9"/>
    </row>
    <row r="854">
      <c r="U854" s="9"/>
    </row>
    <row r="855">
      <c r="U855" s="9"/>
    </row>
    <row r="856">
      <c r="U856" s="9"/>
    </row>
    <row r="857">
      <c r="U857" s="9"/>
    </row>
    <row r="858">
      <c r="U858" s="9"/>
    </row>
    <row r="859">
      <c r="U859" s="9"/>
    </row>
    <row r="860">
      <c r="U860" s="9"/>
    </row>
    <row r="861">
      <c r="U861" s="9"/>
    </row>
    <row r="862">
      <c r="U862" s="9"/>
    </row>
    <row r="863">
      <c r="U863" s="9"/>
    </row>
    <row r="864">
      <c r="U864" s="9"/>
    </row>
    <row r="865">
      <c r="U865" s="9"/>
    </row>
    <row r="866">
      <c r="U866" s="9"/>
    </row>
    <row r="867">
      <c r="U867" s="9"/>
    </row>
    <row r="868">
      <c r="U868" s="9"/>
    </row>
    <row r="869">
      <c r="U869" s="9"/>
    </row>
    <row r="870">
      <c r="U870" s="9"/>
    </row>
    <row r="871">
      <c r="U871" s="9"/>
    </row>
    <row r="872">
      <c r="U872" s="9"/>
    </row>
    <row r="873">
      <c r="U873" s="9"/>
    </row>
    <row r="874">
      <c r="U874" s="9"/>
    </row>
    <row r="875">
      <c r="U875" s="9"/>
    </row>
    <row r="876">
      <c r="U876" s="9"/>
    </row>
    <row r="877">
      <c r="U877" s="9"/>
    </row>
    <row r="878">
      <c r="U878" s="9"/>
    </row>
    <row r="879">
      <c r="U879" s="9"/>
    </row>
    <row r="880">
      <c r="U880" s="9"/>
    </row>
    <row r="881">
      <c r="U881" s="9"/>
    </row>
    <row r="882">
      <c r="U882" s="9"/>
    </row>
    <row r="883">
      <c r="U883" s="9"/>
    </row>
    <row r="884">
      <c r="U884" s="9"/>
    </row>
    <row r="885">
      <c r="U885" s="9"/>
    </row>
    <row r="886">
      <c r="U886" s="9"/>
    </row>
    <row r="887">
      <c r="U887" s="9"/>
    </row>
    <row r="888">
      <c r="U888" s="9"/>
    </row>
    <row r="889">
      <c r="U889" s="9"/>
    </row>
    <row r="890">
      <c r="U890" s="9"/>
    </row>
    <row r="891">
      <c r="U891" s="9"/>
    </row>
    <row r="892">
      <c r="U892" s="9"/>
    </row>
    <row r="893">
      <c r="U893" s="9"/>
    </row>
    <row r="894">
      <c r="U894" s="9"/>
    </row>
    <row r="895">
      <c r="U895" s="9"/>
    </row>
    <row r="896">
      <c r="U896" s="9"/>
    </row>
    <row r="897">
      <c r="U897" s="9"/>
    </row>
    <row r="898">
      <c r="U898" s="9"/>
    </row>
    <row r="899">
      <c r="U899" s="9"/>
    </row>
    <row r="900">
      <c r="U900" s="9"/>
    </row>
    <row r="901">
      <c r="U901" s="9"/>
    </row>
    <row r="902">
      <c r="U902" s="9"/>
    </row>
    <row r="903">
      <c r="U903" s="9"/>
    </row>
    <row r="904">
      <c r="U904" s="9"/>
    </row>
    <row r="905">
      <c r="U905" s="9"/>
    </row>
    <row r="906">
      <c r="U906" s="9"/>
    </row>
    <row r="907">
      <c r="U907" s="9"/>
    </row>
    <row r="908">
      <c r="U908" s="9"/>
    </row>
    <row r="909">
      <c r="U909" s="9"/>
    </row>
    <row r="910">
      <c r="U910" s="9"/>
    </row>
    <row r="911">
      <c r="U911" s="9"/>
    </row>
    <row r="912">
      <c r="U912" s="9"/>
    </row>
    <row r="913">
      <c r="U913" s="9"/>
    </row>
    <row r="914">
      <c r="U914" s="9"/>
    </row>
    <row r="915">
      <c r="U915" s="9"/>
    </row>
    <row r="916">
      <c r="U916" s="9"/>
    </row>
    <row r="917">
      <c r="U917" s="9"/>
    </row>
    <row r="918">
      <c r="U918" s="9"/>
    </row>
    <row r="919">
      <c r="U919" s="9"/>
    </row>
    <row r="920">
      <c r="U920" s="9"/>
    </row>
    <row r="921">
      <c r="U921" s="9"/>
    </row>
    <row r="922">
      <c r="U922" s="9"/>
    </row>
    <row r="923">
      <c r="U923" s="9"/>
    </row>
    <row r="924">
      <c r="U924" s="9"/>
    </row>
    <row r="925">
      <c r="U925" s="9"/>
    </row>
    <row r="926">
      <c r="U926" s="9"/>
    </row>
    <row r="927">
      <c r="U927" s="9"/>
    </row>
    <row r="928">
      <c r="U928" s="9"/>
    </row>
    <row r="929">
      <c r="U929" s="9"/>
    </row>
    <row r="930">
      <c r="U930" s="9"/>
    </row>
    <row r="931">
      <c r="U931" s="9"/>
    </row>
    <row r="932">
      <c r="U932" s="9"/>
    </row>
    <row r="933">
      <c r="U933" s="9"/>
    </row>
    <row r="934">
      <c r="U934" s="9"/>
    </row>
    <row r="935">
      <c r="U935" s="9"/>
    </row>
    <row r="936">
      <c r="U936" s="9"/>
    </row>
    <row r="937">
      <c r="U937" s="9"/>
    </row>
    <row r="938">
      <c r="U938" s="9"/>
    </row>
    <row r="939">
      <c r="U939" s="9"/>
    </row>
    <row r="940">
      <c r="U940" s="9"/>
    </row>
    <row r="941">
      <c r="U941" s="9"/>
    </row>
    <row r="942">
      <c r="U942" s="9"/>
    </row>
    <row r="943">
      <c r="U943" s="9"/>
    </row>
    <row r="944">
      <c r="U944" s="9"/>
    </row>
    <row r="945">
      <c r="U945" s="9"/>
    </row>
    <row r="946">
      <c r="U946" s="9"/>
    </row>
    <row r="947">
      <c r="U947" s="9"/>
    </row>
    <row r="948">
      <c r="U948" s="9"/>
    </row>
    <row r="949">
      <c r="U949" s="9"/>
    </row>
    <row r="950">
      <c r="U950" s="9"/>
    </row>
    <row r="951">
      <c r="U951" s="9"/>
    </row>
    <row r="952">
      <c r="U952" s="9"/>
    </row>
    <row r="953">
      <c r="U953" s="9"/>
    </row>
    <row r="954">
      <c r="U954" s="9"/>
    </row>
    <row r="955">
      <c r="U955" s="9"/>
    </row>
    <row r="956">
      <c r="U956" s="9"/>
    </row>
    <row r="957">
      <c r="U957" s="9"/>
    </row>
    <row r="958">
      <c r="U958" s="9"/>
    </row>
    <row r="959">
      <c r="U959" s="9"/>
    </row>
    <row r="960">
      <c r="U960" s="9"/>
    </row>
    <row r="961">
      <c r="U961" s="9"/>
    </row>
    <row r="962">
      <c r="U962" s="9"/>
    </row>
    <row r="963">
      <c r="U963" s="9"/>
    </row>
    <row r="964">
      <c r="U964" s="9"/>
    </row>
    <row r="965">
      <c r="U965" s="9"/>
    </row>
    <row r="966">
      <c r="U966" s="9"/>
    </row>
    <row r="967">
      <c r="U967" s="9"/>
    </row>
    <row r="968">
      <c r="U968" s="9"/>
    </row>
    <row r="969">
      <c r="U969" s="9"/>
    </row>
    <row r="970">
      <c r="U970" s="9"/>
    </row>
    <row r="971">
      <c r="U971" s="9"/>
    </row>
    <row r="972">
      <c r="U972" s="9"/>
    </row>
    <row r="973">
      <c r="U973" s="9"/>
    </row>
    <row r="974">
      <c r="U974" s="9"/>
    </row>
    <row r="975">
      <c r="U975" s="9"/>
    </row>
    <row r="976">
      <c r="U976" s="9"/>
    </row>
    <row r="977">
      <c r="U977" s="9"/>
    </row>
    <row r="978">
      <c r="U978" s="9"/>
    </row>
    <row r="979">
      <c r="U979" s="9"/>
    </row>
    <row r="980">
      <c r="U980" s="9"/>
    </row>
    <row r="981">
      <c r="U981" s="9"/>
    </row>
    <row r="982">
      <c r="U982" s="9"/>
    </row>
    <row r="983">
      <c r="U983" s="9"/>
    </row>
    <row r="984">
      <c r="U984" s="9"/>
    </row>
    <row r="985">
      <c r="U985" s="9"/>
    </row>
    <row r="986">
      <c r="U986" s="9"/>
    </row>
    <row r="987">
      <c r="U987" s="9"/>
    </row>
    <row r="988">
      <c r="U988" s="9"/>
    </row>
    <row r="989">
      <c r="U989" s="9"/>
    </row>
    <row r="990">
      <c r="U990" s="9"/>
    </row>
    <row r="991">
      <c r="U991" s="9"/>
    </row>
    <row r="992">
      <c r="U992" s="9"/>
    </row>
    <row r="993">
      <c r="U993" s="9"/>
    </row>
    <row r="994">
      <c r="U994" s="9"/>
    </row>
    <row r="995">
      <c r="U995" s="9"/>
    </row>
    <row r="996">
      <c r="U996" s="9"/>
    </row>
    <row r="997">
      <c r="U997" s="9"/>
    </row>
    <row r="998">
      <c r="U998" s="9"/>
    </row>
    <row r="999">
      <c r="U999" s="9"/>
    </row>
    <row r="1000">
      <c r="U1000" s="9"/>
    </row>
  </sheetData>
  <mergeCells count="7">
    <mergeCell ref="B1:C1"/>
    <mergeCell ref="D1:E1"/>
    <mergeCell ref="F1:G1"/>
    <mergeCell ref="H1:I1"/>
    <mergeCell ref="J1:K1"/>
    <mergeCell ref="L1:M1"/>
    <mergeCell ref="U1:U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c r="O1" s="49"/>
      <c r="P1" s="1"/>
      <c r="Q1" s="3"/>
    </row>
    <row r="2">
      <c r="A2" s="16" t="s">
        <v>151</v>
      </c>
      <c r="B2" s="16" t="s">
        <v>158</v>
      </c>
      <c r="C2" s="16" t="s">
        <v>159</v>
      </c>
      <c r="D2" s="16" t="s">
        <v>158</v>
      </c>
      <c r="E2" s="16" t="s">
        <v>159</v>
      </c>
      <c r="F2" s="16" t="s">
        <v>158</v>
      </c>
      <c r="G2" s="16" t="s">
        <v>159</v>
      </c>
      <c r="H2" s="16" t="s">
        <v>158</v>
      </c>
      <c r="I2" s="16" t="s">
        <v>159</v>
      </c>
      <c r="J2" s="16" t="s">
        <v>158</v>
      </c>
      <c r="K2" s="16" t="s">
        <v>159</v>
      </c>
      <c r="L2" s="16" t="s">
        <v>158</v>
      </c>
      <c r="M2" s="16" t="s">
        <v>159</v>
      </c>
      <c r="O2" s="50"/>
      <c r="P2" s="4"/>
      <c r="Q2" s="4"/>
    </row>
    <row r="3">
      <c r="A3" s="18" t="s">
        <v>140</v>
      </c>
      <c r="B3" s="42">
        <v>3349.0</v>
      </c>
      <c r="C3" s="42">
        <v>107.0</v>
      </c>
      <c r="D3" s="28">
        <v>1279.0</v>
      </c>
      <c r="E3" s="18">
        <v>154.0</v>
      </c>
      <c r="F3" s="28">
        <v>1721.0</v>
      </c>
      <c r="G3" s="28">
        <v>71.0</v>
      </c>
      <c r="H3" s="18"/>
      <c r="I3" s="18"/>
      <c r="J3" s="18"/>
      <c r="K3" s="18"/>
      <c r="L3" s="18"/>
      <c r="M3" s="18"/>
      <c r="O3" s="5"/>
      <c r="P3" s="51"/>
      <c r="Q3" s="51"/>
    </row>
    <row r="4">
      <c r="A4" s="18" t="s">
        <v>131</v>
      </c>
      <c r="B4" s="42">
        <v>8448.0</v>
      </c>
      <c r="C4" s="42">
        <v>630.0</v>
      </c>
      <c r="D4" s="28">
        <v>3634.0</v>
      </c>
      <c r="E4" s="18">
        <v>802.0</v>
      </c>
      <c r="F4" s="28">
        <v>4501.0</v>
      </c>
      <c r="G4" s="28">
        <v>1541.0</v>
      </c>
      <c r="H4" s="18"/>
      <c r="I4" s="18"/>
      <c r="J4" s="18"/>
      <c r="K4" s="18"/>
      <c r="L4" s="18"/>
      <c r="M4" s="18"/>
      <c r="O4" s="5"/>
      <c r="P4" s="51"/>
      <c r="Q4" s="51"/>
    </row>
    <row r="5">
      <c r="A5" s="18" t="s">
        <v>136</v>
      </c>
      <c r="B5" s="42">
        <v>5686.0</v>
      </c>
      <c r="C5" s="42">
        <v>392.0</v>
      </c>
      <c r="D5" s="28">
        <v>2577.0</v>
      </c>
      <c r="E5" s="18">
        <v>181.0</v>
      </c>
      <c r="F5" s="28">
        <v>3738.0</v>
      </c>
      <c r="G5" s="28">
        <v>85.0</v>
      </c>
      <c r="H5" s="18"/>
      <c r="I5" s="18"/>
      <c r="J5" s="18"/>
      <c r="K5" s="18"/>
      <c r="L5" s="18"/>
      <c r="M5" s="18"/>
      <c r="O5" s="5"/>
      <c r="P5" s="51"/>
      <c r="Q5" s="51"/>
    </row>
    <row r="6">
      <c r="A6" s="18" t="s">
        <v>135</v>
      </c>
      <c r="B6" s="42">
        <v>2297.0</v>
      </c>
      <c r="C6" s="42">
        <v>180.0</v>
      </c>
      <c r="D6" s="18">
        <v>859.0</v>
      </c>
      <c r="E6" s="18">
        <v>189.0</v>
      </c>
      <c r="F6" s="28">
        <v>1060.0</v>
      </c>
      <c r="G6" s="28">
        <v>192.0</v>
      </c>
      <c r="H6" s="18"/>
      <c r="I6" s="18"/>
      <c r="J6" s="18"/>
      <c r="K6" s="18"/>
      <c r="L6" s="18"/>
      <c r="M6" s="18"/>
      <c r="O6" s="5"/>
      <c r="P6" s="51"/>
      <c r="Q6" s="51"/>
    </row>
    <row r="7">
      <c r="A7" s="18" t="s">
        <v>122</v>
      </c>
      <c r="B7" s="42">
        <v>9350.0</v>
      </c>
      <c r="C7" s="42">
        <v>135.0</v>
      </c>
      <c r="D7" s="28">
        <v>4176.0</v>
      </c>
      <c r="E7" s="18">
        <v>288.0</v>
      </c>
      <c r="F7" s="28">
        <v>5829.0</v>
      </c>
      <c r="G7" s="28">
        <v>222.0</v>
      </c>
      <c r="H7" s="18"/>
      <c r="I7" s="18"/>
      <c r="J7" s="18"/>
      <c r="K7" s="18"/>
      <c r="L7" s="18"/>
      <c r="M7" s="18"/>
      <c r="O7" s="5"/>
      <c r="P7" s="51"/>
      <c r="Q7" s="51"/>
    </row>
    <row r="8">
      <c r="A8" s="18" t="s">
        <v>116</v>
      </c>
      <c r="B8" s="42">
        <v>8448.0</v>
      </c>
      <c r="C8" s="42">
        <v>1108.0</v>
      </c>
      <c r="D8" s="28">
        <v>3531.0</v>
      </c>
      <c r="E8" s="18">
        <v>879.0</v>
      </c>
      <c r="F8" s="28">
        <v>5860.0</v>
      </c>
      <c r="G8" s="28">
        <v>1236.0</v>
      </c>
      <c r="H8" s="18"/>
      <c r="I8" s="18"/>
      <c r="J8" s="18"/>
      <c r="K8" s="18"/>
      <c r="L8" s="18"/>
      <c r="M8" s="18"/>
      <c r="O8" s="5"/>
      <c r="P8" s="51"/>
      <c r="Q8" s="51"/>
    </row>
    <row r="9">
      <c r="A9" s="18" t="s">
        <v>133</v>
      </c>
      <c r="B9" s="42">
        <v>5217.0</v>
      </c>
      <c r="C9" s="42">
        <v>173.0</v>
      </c>
      <c r="D9" s="28">
        <v>2224.0</v>
      </c>
      <c r="E9" s="18">
        <v>176.0</v>
      </c>
      <c r="F9" s="28">
        <v>3560.0</v>
      </c>
      <c r="G9" s="28">
        <v>128.0</v>
      </c>
      <c r="H9" s="18"/>
      <c r="I9" s="18"/>
      <c r="J9" s="18"/>
      <c r="K9" s="18"/>
      <c r="L9" s="18"/>
      <c r="M9" s="18"/>
      <c r="O9" s="5"/>
      <c r="P9" s="51"/>
      <c r="Q9" s="51"/>
    </row>
    <row r="10">
      <c r="A10" s="18" t="s">
        <v>138</v>
      </c>
      <c r="B10" s="42">
        <v>4228.0</v>
      </c>
      <c r="C10" s="42">
        <v>105.0</v>
      </c>
      <c r="D10" s="28">
        <v>1844.0</v>
      </c>
      <c r="E10" s="18">
        <v>247.0</v>
      </c>
      <c r="F10" s="28">
        <v>2031.0</v>
      </c>
      <c r="G10" s="28">
        <v>203.0</v>
      </c>
      <c r="H10" s="18"/>
      <c r="I10" s="18"/>
      <c r="J10" s="18"/>
      <c r="K10" s="18"/>
      <c r="L10" s="18"/>
      <c r="M10" s="18"/>
      <c r="O10" s="5"/>
      <c r="P10" s="51"/>
      <c r="Q10" s="51"/>
    </row>
    <row r="11">
      <c r="A11" s="18" t="s">
        <v>143</v>
      </c>
      <c r="B11" s="42">
        <v>6256.0</v>
      </c>
      <c r="C11" s="42">
        <v>10.0</v>
      </c>
      <c r="D11" s="28">
        <v>2510.0</v>
      </c>
      <c r="E11" s="18">
        <v>127.0</v>
      </c>
      <c r="F11" s="28">
        <v>2937.0</v>
      </c>
      <c r="G11" s="28">
        <v>345.0</v>
      </c>
      <c r="H11" s="18"/>
      <c r="I11" s="18"/>
      <c r="J11" s="18"/>
      <c r="K11" s="18"/>
      <c r="L11" s="18"/>
      <c r="M11" s="18"/>
      <c r="O11" s="5"/>
      <c r="P11" s="51"/>
      <c r="Q11" s="51"/>
    </row>
    <row r="12">
      <c r="A12" s="18" t="s">
        <v>137</v>
      </c>
      <c r="B12" s="42">
        <v>6625.0</v>
      </c>
      <c r="C12" s="42">
        <v>496.0</v>
      </c>
      <c r="D12" s="28">
        <v>2312.0</v>
      </c>
      <c r="E12" s="18">
        <v>731.0</v>
      </c>
      <c r="F12" s="28">
        <v>4186.0</v>
      </c>
      <c r="G12" s="28">
        <v>520.0</v>
      </c>
      <c r="H12" s="18"/>
      <c r="I12" s="18"/>
      <c r="J12" s="18"/>
      <c r="K12" s="18"/>
      <c r="L12" s="18"/>
      <c r="M12" s="18"/>
      <c r="O12" s="5"/>
      <c r="P12" s="51"/>
      <c r="Q12" s="51"/>
    </row>
    <row r="13">
      <c r="A13" s="18" t="s">
        <v>128</v>
      </c>
      <c r="B13" s="42">
        <v>3668.0</v>
      </c>
      <c r="C13" s="42">
        <v>630.0</v>
      </c>
      <c r="D13" s="28">
        <v>1805.0</v>
      </c>
      <c r="E13" s="18">
        <v>528.0</v>
      </c>
      <c r="F13" s="28">
        <v>2996.0</v>
      </c>
      <c r="G13" s="28">
        <v>706.0</v>
      </c>
      <c r="H13" s="18"/>
      <c r="I13" s="18"/>
      <c r="J13" s="18"/>
      <c r="K13" s="18"/>
      <c r="L13" s="18"/>
      <c r="M13" s="18"/>
      <c r="O13" s="5"/>
      <c r="P13" s="51"/>
      <c r="Q13" s="51"/>
    </row>
    <row r="14">
      <c r="A14" s="18" t="s">
        <v>121</v>
      </c>
      <c r="B14" s="42">
        <v>11468.0</v>
      </c>
      <c r="C14" s="42">
        <v>87.0</v>
      </c>
      <c r="D14" s="28">
        <v>4502.0</v>
      </c>
      <c r="E14" s="18">
        <v>437.0</v>
      </c>
      <c r="F14" s="28">
        <v>6166.0</v>
      </c>
      <c r="G14" s="28">
        <v>812.0</v>
      </c>
      <c r="H14" s="18"/>
      <c r="I14" s="18"/>
      <c r="J14" s="18"/>
      <c r="K14" s="18"/>
      <c r="L14" s="18"/>
      <c r="M14" s="18"/>
      <c r="O14" s="5"/>
      <c r="P14" s="51"/>
      <c r="Q14" s="51"/>
    </row>
    <row r="15">
      <c r="A15" s="18" t="s">
        <v>139</v>
      </c>
      <c r="B15" s="42">
        <v>4483.0</v>
      </c>
      <c r="C15" s="42">
        <v>57.0</v>
      </c>
      <c r="D15" s="28">
        <v>2192.0</v>
      </c>
      <c r="E15" s="18">
        <v>82.0</v>
      </c>
      <c r="F15" s="28">
        <v>2508.0</v>
      </c>
      <c r="G15" s="28">
        <v>88.0</v>
      </c>
      <c r="H15" s="18"/>
      <c r="I15" s="18"/>
      <c r="J15" s="18"/>
      <c r="K15" s="18"/>
      <c r="L15" s="18"/>
      <c r="M15" s="18"/>
      <c r="O15" s="5"/>
      <c r="P15" s="51"/>
      <c r="Q15" s="51"/>
    </row>
    <row r="16">
      <c r="A16" s="18" t="s">
        <v>142</v>
      </c>
      <c r="B16" s="42">
        <v>4470.0</v>
      </c>
      <c r="C16" s="42">
        <v>25.0</v>
      </c>
      <c r="D16" s="28">
        <v>1909.0</v>
      </c>
      <c r="E16" s="18">
        <v>23.0</v>
      </c>
      <c r="F16" s="28">
        <v>2312.0</v>
      </c>
      <c r="G16" s="28">
        <v>24.0</v>
      </c>
      <c r="H16" s="18"/>
      <c r="I16" s="18"/>
      <c r="J16" s="18"/>
      <c r="K16" s="18"/>
      <c r="L16" s="18"/>
      <c r="M16" s="18"/>
      <c r="O16" s="5"/>
      <c r="P16" s="51"/>
      <c r="Q16" s="51"/>
    </row>
    <row r="17">
      <c r="A17" s="18" t="s">
        <v>132</v>
      </c>
      <c r="B17" s="42">
        <v>10015.0</v>
      </c>
      <c r="C17" s="42">
        <v>77.0</v>
      </c>
      <c r="D17" s="28">
        <v>4711.0</v>
      </c>
      <c r="E17" s="18">
        <v>281.0</v>
      </c>
      <c r="F17" s="28">
        <v>6210.0</v>
      </c>
      <c r="G17" s="28">
        <v>174.0</v>
      </c>
      <c r="H17" s="18"/>
      <c r="I17" s="18"/>
      <c r="J17" s="18"/>
      <c r="K17" s="18"/>
      <c r="L17" s="18"/>
      <c r="M17" s="18"/>
      <c r="O17" s="5"/>
      <c r="P17" s="51"/>
      <c r="Q17" s="51"/>
    </row>
    <row r="18">
      <c r="A18" s="18" t="s">
        <v>114</v>
      </c>
      <c r="B18" s="42">
        <v>5355.0</v>
      </c>
      <c r="C18" s="42">
        <v>892.0</v>
      </c>
      <c r="D18" s="28">
        <v>2043.0</v>
      </c>
      <c r="E18" s="18">
        <v>644.0</v>
      </c>
      <c r="F18" s="28">
        <v>3980.0</v>
      </c>
      <c r="G18" s="28">
        <v>1110.0</v>
      </c>
      <c r="H18" s="18"/>
      <c r="I18" s="18"/>
      <c r="J18" s="18"/>
      <c r="K18" s="18"/>
      <c r="L18" s="18"/>
      <c r="M18" s="18"/>
      <c r="O18" s="5"/>
      <c r="P18" s="51"/>
      <c r="Q18" s="51"/>
    </row>
    <row r="19">
      <c r="A19" s="18" t="s">
        <v>111</v>
      </c>
      <c r="B19" s="42">
        <v>4310.0</v>
      </c>
      <c r="C19" s="42">
        <v>702.0</v>
      </c>
      <c r="D19" s="28">
        <v>1719.0</v>
      </c>
      <c r="E19" s="18">
        <v>675.0</v>
      </c>
      <c r="F19" s="28">
        <v>2104.0</v>
      </c>
      <c r="G19" s="28">
        <v>1054.0</v>
      </c>
      <c r="H19" s="18"/>
      <c r="I19" s="18"/>
      <c r="J19" s="18"/>
      <c r="K19" s="18"/>
      <c r="L19" s="18"/>
      <c r="M19" s="18"/>
      <c r="O19" s="5"/>
      <c r="P19" s="51"/>
      <c r="Q19" s="51"/>
    </row>
    <row r="20">
      <c r="A20" s="18" t="s">
        <v>109</v>
      </c>
      <c r="B20" s="42">
        <v>7878.0</v>
      </c>
      <c r="C20" s="42">
        <v>932.0</v>
      </c>
      <c r="D20" s="28">
        <v>2906.0</v>
      </c>
      <c r="E20" s="28">
        <v>1046.0</v>
      </c>
      <c r="F20" s="28">
        <v>4375.0</v>
      </c>
      <c r="G20" s="28">
        <v>1483.0</v>
      </c>
      <c r="H20" s="18"/>
      <c r="I20" s="18"/>
      <c r="J20" s="18"/>
      <c r="K20" s="18"/>
      <c r="L20" s="18"/>
      <c r="M20" s="18"/>
      <c r="O20" s="5"/>
      <c r="P20" s="51"/>
      <c r="Q20" s="51"/>
    </row>
    <row r="21">
      <c r="A21" s="18" t="s">
        <v>124</v>
      </c>
      <c r="B21" s="42">
        <v>3873.0</v>
      </c>
      <c r="C21" s="42">
        <v>201.0</v>
      </c>
      <c r="D21" s="28">
        <v>1155.0</v>
      </c>
      <c r="E21" s="18">
        <v>214.0</v>
      </c>
      <c r="F21" s="28">
        <v>2299.0</v>
      </c>
      <c r="G21" s="28">
        <v>413.0</v>
      </c>
      <c r="H21" s="18"/>
      <c r="I21" s="18"/>
      <c r="J21" s="18"/>
      <c r="K21" s="18"/>
      <c r="L21" s="18"/>
      <c r="M21" s="18"/>
      <c r="O21" s="5"/>
      <c r="P21" s="51"/>
      <c r="Q21" s="51"/>
    </row>
    <row r="22">
      <c r="A22" s="18" t="s">
        <v>127</v>
      </c>
      <c r="B22" s="42">
        <v>5955.0</v>
      </c>
      <c r="C22" s="42">
        <v>506.0</v>
      </c>
      <c r="D22" s="28">
        <v>2487.0</v>
      </c>
      <c r="E22" s="18">
        <v>685.0</v>
      </c>
      <c r="F22" s="28">
        <v>3368.0</v>
      </c>
      <c r="G22" s="28">
        <v>818.0</v>
      </c>
      <c r="H22" s="18"/>
      <c r="I22" s="18"/>
      <c r="J22" s="18"/>
      <c r="K22" s="18"/>
      <c r="L22" s="18"/>
      <c r="M22" s="18"/>
      <c r="O22" s="5"/>
      <c r="P22" s="51"/>
      <c r="Q22" s="51"/>
    </row>
    <row r="23">
      <c r="A23" s="18" t="s">
        <v>130</v>
      </c>
      <c r="B23" s="42">
        <v>7054.0</v>
      </c>
      <c r="C23" s="42">
        <v>218.0</v>
      </c>
      <c r="D23" s="28">
        <v>3627.0</v>
      </c>
      <c r="E23" s="18">
        <v>369.0</v>
      </c>
      <c r="F23" s="28">
        <v>4533.0</v>
      </c>
      <c r="G23" s="28">
        <v>769.0</v>
      </c>
      <c r="H23" s="18"/>
      <c r="I23" s="18"/>
      <c r="J23" s="18"/>
      <c r="K23" s="18"/>
      <c r="L23" s="18"/>
      <c r="M23" s="18"/>
      <c r="O23" s="5"/>
      <c r="P23" s="51"/>
      <c r="Q23" s="51"/>
    </row>
    <row r="24">
      <c r="A24" s="18" t="s">
        <v>141</v>
      </c>
      <c r="B24" s="42">
        <v>2364.0</v>
      </c>
      <c r="C24" s="42">
        <v>14.0</v>
      </c>
      <c r="D24" s="28">
        <v>839.0</v>
      </c>
      <c r="E24" s="18">
        <v>109.0</v>
      </c>
      <c r="F24" s="28">
        <v>1043.0</v>
      </c>
      <c r="G24" s="28">
        <v>124.0</v>
      </c>
      <c r="H24" s="18"/>
      <c r="I24" s="18"/>
      <c r="J24" s="18"/>
      <c r="K24" s="18"/>
      <c r="L24" s="18"/>
      <c r="M24" s="18"/>
      <c r="O24" s="5"/>
      <c r="P24" s="51"/>
      <c r="Q24" s="51"/>
    </row>
    <row r="25">
      <c r="A25" s="18" t="s">
        <v>123</v>
      </c>
      <c r="B25" s="42">
        <v>4290.0</v>
      </c>
      <c r="C25" s="42">
        <v>529.0</v>
      </c>
      <c r="D25" s="28">
        <v>1367.0</v>
      </c>
      <c r="E25" s="18">
        <v>438.0</v>
      </c>
      <c r="F25" s="28">
        <v>2952.0</v>
      </c>
      <c r="G25" s="28">
        <v>841.0</v>
      </c>
      <c r="H25" s="18"/>
      <c r="I25" s="18"/>
      <c r="J25" s="18"/>
      <c r="K25" s="18"/>
      <c r="L25" s="18"/>
      <c r="M25" s="18"/>
      <c r="O25" s="5"/>
      <c r="P25" s="51"/>
      <c r="Q25" s="51"/>
    </row>
    <row r="26">
      <c r="A26" s="18" t="s">
        <v>112</v>
      </c>
      <c r="B26" s="42">
        <v>3659.0</v>
      </c>
      <c r="C26" s="42">
        <v>549.0</v>
      </c>
      <c r="D26" s="28">
        <v>1237.0</v>
      </c>
      <c r="E26" s="18">
        <v>491.0</v>
      </c>
      <c r="F26" s="28">
        <v>2735.0</v>
      </c>
      <c r="G26" s="28">
        <v>643.0</v>
      </c>
      <c r="H26" s="18"/>
      <c r="I26" s="18"/>
      <c r="J26" s="18"/>
      <c r="K26" s="18"/>
      <c r="L26" s="18"/>
      <c r="M26" s="18"/>
      <c r="O26" s="5"/>
      <c r="P26" s="51"/>
      <c r="Q26" s="51"/>
    </row>
    <row r="27">
      <c r="A27" s="18" t="s">
        <v>134</v>
      </c>
      <c r="B27" s="42">
        <v>4868.0</v>
      </c>
      <c r="C27" s="42">
        <v>100.0</v>
      </c>
      <c r="D27" s="28">
        <v>2088.0</v>
      </c>
      <c r="E27" s="18">
        <v>99.0</v>
      </c>
      <c r="F27" s="28">
        <v>3510.0</v>
      </c>
      <c r="G27" s="28">
        <v>115.0</v>
      </c>
      <c r="H27" s="18"/>
      <c r="I27" s="18"/>
      <c r="J27" s="18"/>
      <c r="K27" s="18"/>
      <c r="L27" s="18"/>
      <c r="M27" s="18"/>
      <c r="O27" s="5"/>
      <c r="P27" s="51"/>
      <c r="Q27" s="51"/>
    </row>
    <row r="28">
      <c r="A28" s="18" t="s">
        <v>125</v>
      </c>
      <c r="B28" s="42">
        <v>6352.0</v>
      </c>
      <c r="C28" s="42">
        <v>105.0</v>
      </c>
      <c r="D28" s="28">
        <v>2738.0</v>
      </c>
      <c r="E28" s="18">
        <v>149.0</v>
      </c>
      <c r="F28" s="28">
        <v>3928.0</v>
      </c>
      <c r="G28" s="28">
        <v>179.0</v>
      </c>
      <c r="H28" s="18"/>
      <c r="I28" s="18"/>
      <c r="J28" s="18"/>
      <c r="K28" s="18"/>
      <c r="L28" s="18"/>
      <c r="M28" s="18"/>
      <c r="O28" s="5"/>
      <c r="P28" s="51"/>
      <c r="Q28" s="51"/>
    </row>
    <row r="29">
      <c r="A29" s="18" t="s">
        <v>129</v>
      </c>
      <c r="B29" s="42">
        <v>5278.0</v>
      </c>
      <c r="C29" s="42">
        <v>559.0</v>
      </c>
      <c r="D29" s="28">
        <v>2438.0</v>
      </c>
      <c r="E29" s="18">
        <v>513.0</v>
      </c>
      <c r="F29" s="28">
        <v>3607.0</v>
      </c>
      <c r="G29" s="28">
        <v>761.0</v>
      </c>
      <c r="H29" s="18"/>
      <c r="I29" s="18"/>
      <c r="J29" s="18"/>
      <c r="K29" s="18"/>
      <c r="L29" s="18"/>
      <c r="M29" s="18"/>
      <c r="O29" s="5"/>
      <c r="P29" s="51"/>
      <c r="Q29" s="51"/>
    </row>
    <row r="30">
      <c r="A30" s="18" t="s">
        <v>120</v>
      </c>
      <c r="B30" s="42">
        <v>7087.0</v>
      </c>
      <c r="C30" s="42">
        <v>1622.0</v>
      </c>
      <c r="D30" s="28">
        <v>3038.0</v>
      </c>
      <c r="E30" s="28">
        <v>1065.0</v>
      </c>
      <c r="F30" s="28">
        <v>4866.0</v>
      </c>
      <c r="G30" s="28">
        <v>1632.0</v>
      </c>
      <c r="H30" s="18"/>
      <c r="I30" s="18"/>
      <c r="J30" s="18"/>
      <c r="K30" s="18"/>
      <c r="L30" s="18"/>
      <c r="M30" s="18"/>
      <c r="O30" s="5"/>
      <c r="P30" s="51"/>
      <c r="Q30" s="51"/>
    </row>
    <row r="31">
      <c r="A31" s="18" t="s">
        <v>126</v>
      </c>
      <c r="B31" s="42">
        <v>5947.0</v>
      </c>
      <c r="C31" s="42">
        <v>242.0</v>
      </c>
      <c r="D31" s="28">
        <v>2420.0</v>
      </c>
      <c r="E31" s="18">
        <v>249.0</v>
      </c>
      <c r="F31" s="28">
        <v>3531.0</v>
      </c>
      <c r="G31" s="28">
        <v>234.0</v>
      </c>
      <c r="H31" s="18"/>
      <c r="I31" s="18"/>
      <c r="J31" s="18"/>
      <c r="K31" s="18"/>
      <c r="L31" s="18"/>
      <c r="M31" s="18"/>
      <c r="O31" s="5"/>
      <c r="P31" s="51"/>
      <c r="Q31" s="51"/>
    </row>
    <row r="32">
      <c r="A32" s="18" t="s">
        <v>118</v>
      </c>
      <c r="B32" s="42">
        <v>6157.0</v>
      </c>
      <c r="C32" s="42">
        <v>1545.0</v>
      </c>
      <c r="D32" s="28">
        <v>2666.0</v>
      </c>
      <c r="E32" s="28">
        <v>1215.0</v>
      </c>
      <c r="F32" s="28">
        <v>3517.0</v>
      </c>
      <c r="G32" s="28">
        <v>1962.0</v>
      </c>
      <c r="H32" s="18"/>
      <c r="I32" s="18"/>
      <c r="J32" s="18"/>
      <c r="K32" s="18"/>
      <c r="L32" s="18"/>
      <c r="M32" s="18"/>
      <c r="O32" s="5"/>
      <c r="P32" s="51"/>
      <c r="Q32" s="51"/>
    </row>
    <row r="33">
      <c r="O33" s="9"/>
      <c r="P33" s="9"/>
      <c r="Q33" s="9"/>
    </row>
    <row r="34">
      <c r="O34" s="9"/>
      <c r="P34" s="9"/>
      <c r="Q34" s="9"/>
    </row>
    <row r="35">
      <c r="O35" s="9"/>
      <c r="P35" s="9"/>
      <c r="Q35" s="9"/>
    </row>
    <row r="36">
      <c r="O36" s="9"/>
      <c r="P36" s="9"/>
      <c r="Q36" s="9"/>
    </row>
    <row r="37">
      <c r="O37" s="9"/>
      <c r="P37" s="9"/>
      <c r="Q37" s="9"/>
    </row>
    <row r="38">
      <c r="O38" s="9"/>
      <c r="P38" s="9"/>
      <c r="Q38" s="9"/>
    </row>
    <row r="39">
      <c r="O39" s="9"/>
      <c r="P39" s="9"/>
      <c r="Q39" s="9"/>
    </row>
    <row r="40">
      <c r="O40" s="9"/>
      <c r="P40" s="9"/>
      <c r="Q40" s="9"/>
    </row>
    <row r="41">
      <c r="O41" s="9"/>
      <c r="P41" s="9"/>
      <c r="Q41" s="9"/>
    </row>
    <row r="42">
      <c r="O42" s="9"/>
      <c r="P42" s="9"/>
      <c r="Q42" s="9"/>
    </row>
    <row r="43">
      <c r="O43" s="9"/>
      <c r="P43" s="9"/>
      <c r="Q43" s="9"/>
    </row>
    <row r="44">
      <c r="O44" s="9"/>
      <c r="P44" s="9"/>
      <c r="Q44" s="9"/>
    </row>
    <row r="45">
      <c r="O45" s="9"/>
      <c r="P45" s="9"/>
      <c r="Q45" s="9"/>
    </row>
    <row r="46">
      <c r="O46" s="9"/>
      <c r="P46" s="9"/>
      <c r="Q46" s="9"/>
    </row>
    <row r="47">
      <c r="O47" s="9"/>
      <c r="P47" s="9"/>
      <c r="Q47" s="9"/>
    </row>
    <row r="48">
      <c r="O48" s="9"/>
      <c r="P48" s="9"/>
      <c r="Q48" s="9"/>
    </row>
    <row r="49">
      <c r="O49" s="9"/>
      <c r="P49" s="9"/>
      <c r="Q49" s="9"/>
    </row>
    <row r="50">
      <c r="O50" s="9"/>
      <c r="P50" s="9"/>
      <c r="Q50" s="9"/>
    </row>
    <row r="51">
      <c r="O51" s="9"/>
      <c r="P51" s="9"/>
      <c r="Q51" s="9"/>
    </row>
    <row r="52">
      <c r="O52" s="9"/>
      <c r="P52" s="9"/>
      <c r="Q52" s="9"/>
    </row>
    <row r="53">
      <c r="O53" s="9"/>
      <c r="P53" s="9"/>
      <c r="Q53" s="9"/>
    </row>
    <row r="54">
      <c r="O54" s="9"/>
      <c r="P54" s="9"/>
      <c r="Q54" s="9"/>
    </row>
    <row r="55">
      <c r="O55" s="9"/>
      <c r="P55" s="9"/>
      <c r="Q55" s="9"/>
    </row>
    <row r="56">
      <c r="O56" s="9"/>
      <c r="P56" s="9"/>
      <c r="Q56" s="9"/>
    </row>
    <row r="57">
      <c r="O57" s="9"/>
      <c r="P57" s="9"/>
      <c r="Q57" s="9"/>
    </row>
    <row r="58">
      <c r="O58" s="9"/>
      <c r="P58" s="9"/>
      <c r="Q58" s="9"/>
    </row>
    <row r="59">
      <c r="O59" s="9"/>
      <c r="P59" s="9"/>
      <c r="Q59" s="9"/>
    </row>
    <row r="60">
      <c r="O60" s="9"/>
      <c r="P60" s="9"/>
      <c r="Q60" s="9"/>
    </row>
    <row r="61">
      <c r="O61" s="9"/>
      <c r="P61" s="9"/>
      <c r="Q61" s="9"/>
    </row>
    <row r="62">
      <c r="O62" s="9"/>
      <c r="P62" s="9"/>
      <c r="Q62" s="9"/>
    </row>
    <row r="63">
      <c r="O63" s="9"/>
      <c r="P63" s="9"/>
      <c r="Q63" s="9"/>
    </row>
    <row r="64">
      <c r="O64" s="9"/>
      <c r="P64" s="9"/>
      <c r="Q64" s="9"/>
    </row>
    <row r="65">
      <c r="O65" s="9"/>
      <c r="P65" s="9"/>
      <c r="Q65" s="9"/>
    </row>
    <row r="66">
      <c r="O66" s="9"/>
      <c r="P66" s="9"/>
      <c r="Q66" s="9"/>
    </row>
    <row r="67">
      <c r="O67" s="9"/>
      <c r="P67" s="9"/>
      <c r="Q67" s="9"/>
    </row>
    <row r="68">
      <c r="O68" s="9"/>
      <c r="P68" s="9"/>
      <c r="Q68" s="9"/>
    </row>
    <row r="69">
      <c r="O69" s="9"/>
      <c r="P69" s="9"/>
      <c r="Q69" s="9"/>
    </row>
    <row r="70">
      <c r="O70" s="9"/>
      <c r="P70" s="9"/>
      <c r="Q70" s="9"/>
    </row>
    <row r="71">
      <c r="O71" s="9"/>
      <c r="P71" s="9"/>
      <c r="Q71" s="9"/>
    </row>
    <row r="72">
      <c r="O72" s="9"/>
      <c r="P72" s="9"/>
      <c r="Q72" s="9"/>
    </row>
    <row r="73">
      <c r="O73" s="9"/>
      <c r="P73" s="9"/>
      <c r="Q73" s="9"/>
    </row>
    <row r="74">
      <c r="O74" s="9"/>
      <c r="P74" s="9"/>
      <c r="Q74" s="9"/>
    </row>
    <row r="75">
      <c r="O75" s="9"/>
      <c r="P75" s="9"/>
      <c r="Q75" s="9"/>
    </row>
    <row r="76">
      <c r="O76" s="9"/>
      <c r="P76" s="9"/>
      <c r="Q76" s="9"/>
    </row>
    <row r="77">
      <c r="O77" s="9"/>
      <c r="P77" s="9"/>
      <c r="Q77" s="9"/>
    </row>
    <row r="78">
      <c r="O78" s="9"/>
      <c r="P78" s="9"/>
      <c r="Q78" s="9"/>
    </row>
    <row r="79">
      <c r="O79" s="9"/>
      <c r="P79" s="9"/>
      <c r="Q79" s="9"/>
    </row>
    <row r="80">
      <c r="O80" s="9"/>
      <c r="P80" s="9"/>
      <c r="Q80" s="9"/>
    </row>
    <row r="81">
      <c r="O81" s="9"/>
      <c r="P81" s="9"/>
      <c r="Q81" s="9"/>
    </row>
    <row r="82">
      <c r="O82" s="9"/>
      <c r="P82" s="9"/>
      <c r="Q82" s="9"/>
    </row>
    <row r="83">
      <c r="O83" s="9"/>
      <c r="P83" s="9"/>
      <c r="Q83" s="9"/>
    </row>
    <row r="84">
      <c r="O84" s="9"/>
      <c r="P84" s="9"/>
      <c r="Q84" s="9"/>
    </row>
    <row r="85">
      <c r="O85" s="9"/>
      <c r="P85" s="9"/>
      <c r="Q85" s="9"/>
    </row>
    <row r="86">
      <c r="O86" s="9"/>
      <c r="P86" s="9"/>
      <c r="Q86" s="9"/>
    </row>
    <row r="87">
      <c r="O87" s="9"/>
      <c r="P87" s="9"/>
      <c r="Q87" s="9"/>
    </row>
    <row r="88">
      <c r="O88" s="9"/>
      <c r="P88" s="9"/>
      <c r="Q88" s="9"/>
    </row>
    <row r="89">
      <c r="O89" s="9"/>
      <c r="P89" s="9"/>
      <c r="Q89" s="9"/>
    </row>
    <row r="90">
      <c r="O90" s="9"/>
      <c r="P90" s="9"/>
      <c r="Q90" s="9"/>
    </row>
    <row r="91">
      <c r="O91" s="9"/>
      <c r="P91" s="9"/>
      <c r="Q91" s="9"/>
    </row>
    <row r="92">
      <c r="O92" s="9"/>
      <c r="P92" s="9"/>
      <c r="Q92" s="9"/>
    </row>
    <row r="93">
      <c r="O93" s="9"/>
      <c r="P93" s="9"/>
      <c r="Q93" s="9"/>
    </row>
    <row r="94">
      <c r="O94" s="9"/>
      <c r="P94" s="9"/>
      <c r="Q94" s="9"/>
    </row>
    <row r="95">
      <c r="O95" s="9"/>
      <c r="P95" s="9"/>
      <c r="Q95" s="9"/>
    </row>
    <row r="96">
      <c r="O96" s="9"/>
      <c r="P96" s="9"/>
      <c r="Q96" s="9"/>
    </row>
    <row r="97">
      <c r="O97" s="9"/>
      <c r="P97" s="9"/>
      <c r="Q97" s="9"/>
    </row>
    <row r="98">
      <c r="O98" s="9"/>
      <c r="P98" s="9"/>
      <c r="Q98" s="9"/>
    </row>
    <row r="99">
      <c r="O99" s="9"/>
      <c r="P99" s="9"/>
      <c r="Q99" s="9"/>
    </row>
    <row r="100">
      <c r="O100" s="9"/>
      <c r="P100" s="9"/>
      <c r="Q100" s="9"/>
    </row>
    <row r="101">
      <c r="O101" s="9"/>
      <c r="P101" s="9"/>
      <c r="Q101" s="9"/>
    </row>
    <row r="102">
      <c r="O102" s="9"/>
      <c r="P102" s="9"/>
      <c r="Q102" s="9"/>
    </row>
    <row r="103">
      <c r="O103" s="9"/>
      <c r="P103" s="9"/>
      <c r="Q103" s="9"/>
    </row>
    <row r="104">
      <c r="O104" s="9"/>
      <c r="P104" s="9"/>
      <c r="Q104" s="9"/>
    </row>
    <row r="105">
      <c r="O105" s="9"/>
      <c r="P105" s="9"/>
      <c r="Q105" s="9"/>
    </row>
    <row r="106">
      <c r="O106" s="9"/>
      <c r="P106" s="9"/>
      <c r="Q106" s="9"/>
    </row>
    <row r="107">
      <c r="O107" s="9"/>
      <c r="P107" s="9"/>
      <c r="Q107" s="9"/>
    </row>
    <row r="108">
      <c r="O108" s="9"/>
      <c r="P108" s="9"/>
      <c r="Q108" s="9"/>
    </row>
    <row r="109">
      <c r="O109" s="9"/>
      <c r="P109" s="9"/>
      <c r="Q109" s="9"/>
    </row>
    <row r="110">
      <c r="O110" s="9"/>
      <c r="P110" s="9"/>
      <c r="Q110" s="9"/>
    </row>
    <row r="111">
      <c r="O111" s="9"/>
      <c r="P111" s="9"/>
      <c r="Q111" s="9"/>
    </row>
    <row r="112">
      <c r="O112" s="9"/>
      <c r="P112" s="9"/>
      <c r="Q112" s="9"/>
    </row>
    <row r="113">
      <c r="O113" s="9"/>
      <c r="P113" s="9"/>
      <c r="Q113" s="9"/>
    </row>
    <row r="114">
      <c r="O114" s="9"/>
      <c r="P114" s="9"/>
      <c r="Q114" s="9"/>
    </row>
    <row r="115">
      <c r="O115" s="9"/>
      <c r="P115" s="9"/>
      <c r="Q115" s="9"/>
    </row>
    <row r="116">
      <c r="O116" s="9"/>
      <c r="P116" s="9"/>
      <c r="Q116" s="9"/>
    </row>
    <row r="117">
      <c r="O117" s="9"/>
      <c r="P117" s="9"/>
      <c r="Q117" s="9"/>
    </row>
    <row r="118">
      <c r="O118" s="9"/>
      <c r="P118" s="9"/>
      <c r="Q118" s="9"/>
    </row>
    <row r="119">
      <c r="O119" s="9"/>
      <c r="P119" s="9"/>
      <c r="Q119" s="9"/>
    </row>
    <row r="120">
      <c r="O120" s="9"/>
      <c r="P120" s="9"/>
      <c r="Q120" s="9"/>
    </row>
    <row r="121">
      <c r="O121" s="9"/>
      <c r="P121" s="9"/>
      <c r="Q121" s="9"/>
    </row>
    <row r="122">
      <c r="O122" s="9"/>
      <c r="P122" s="9"/>
      <c r="Q122" s="9"/>
    </row>
    <row r="123">
      <c r="O123" s="9"/>
      <c r="P123" s="9"/>
      <c r="Q123" s="9"/>
    </row>
    <row r="124">
      <c r="O124" s="9"/>
      <c r="P124" s="9"/>
      <c r="Q124" s="9"/>
    </row>
    <row r="125">
      <c r="O125" s="9"/>
      <c r="P125" s="9"/>
      <c r="Q125" s="9"/>
    </row>
    <row r="126">
      <c r="O126" s="9"/>
      <c r="P126" s="9"/>
      <c r="Q126" s="9"/>
    </row>
    <row r="127">
      <c r="O127" s="9"/>
      <c r="P127" s="9"/>
      <c r="Q127" s="9"/>
    </row>
    <row r="128">
      <c r="O128" s="9"/>
      <c r="P128" s="9"/>
      <c r="Q128" s="9"/>
    </row>
    <row r="129">
      <c r="O129" s="9"/>
      <c r="P129" s="9"/>
      <c r="Q129" s="9"/>
    </row>
    <row r="130">
      <c r="O130" s="9"/>
      <c r="P130" s="9"/>
      <c r="Q130" s="9"/>
    </row>
    <row r="131">
      <c r="O131" s="9"/>
      <c r="P131" s="9"/>
      <c r="Q131" s="9"/>
    </row>
    <row r="132">
      <c r="O132" s="9"/>
      <c r="P132" s="9"/>
      <c r="Q132" s="9"/>
    </row>
    <row r="133">
      <c r="O133" s="9"/>
      <c r="P133" s="9"/>
      <c r="Q133" s="9"/>
    </row>
    <row r="134">
      <c r="O134" s="9"/>
      <c r="P134" s="9"/>
      <c r="Q134" s="9"/>
    </row>
    <row r="135">
      <c r="O135" s="9"/>
      <c r="P135" s="9"/>
      <c r="Q135" s="9"/>
    </row>
    <row r="136">
      <c r="O136" s="9"/>
      <c r="P136" s="9"/>
      <c r="Q136" s="9"/>
    </row>
    <row r="137">
      <c r="O137" s="9"/>
      <c r="P137" s="9"/>
      <c r="Q137" s="9"/>
    </row>
    <row r="138">
      <c r="O138" s="9"/>
      <c r="P138" s="9"/>
      <c r="Q138" s="9"/>
    </row>
    <row r="139">
      <c r="O139" s="9"/>
      <c r="P139" s="9"/>
      <c r="Q139" s="9"/>
    </row>
    <row r="140">
      <c r="O140" s="9"/>
      <c r="P140" s="9"/>
      <c r="Q140" s="9"/>
    </row>
    <row r="141">
      <c r="O141" s="9"/>
      <c r="P141" s="9"/>
      <c r="Q141" s="9"/>
    </row>
    <row r="142">
      <c r="O142" s="9"/>
      <c r="P142" s="9"/>
      <c r="Q142" s="9"/>
    </row>
    <row r="143">
      <c r="O143" s="9"/>
      <c r="P143" s="9"/>
      <c r="Q143" s="9"/>
    </row>
    <row r="144">
      <c r="O144" s="9"/>
      <c r="P144" s="9"/>
      <c r="Q144" s="9"/>
    </row>
    <row r="145">
      <c r="O145" s="9"/>
      <c r="P145" s="9"/>
      <c r="Q145" s="9"/>
    </row>
    <row r="146">
      <c r="O146" s="9"/>
      <c r="P146" s="9"/>
      <c r="Q146" s="9"/>
    </row>
    <row r="147">
      <c r="O147" s="9"/>
      <c r="P147" s="9"/>
      <c r="Q147" s="9"/>
    </row>
    <row r="148">
      <c r="O148" s="9"/>
      <c r="P148" s="9"/>
      <c r="Q148" s="9"/>
    </row>
    <row r="149">
      <c r="O149" s="9"/>
      <c r="P149" s="9"/>
      <c r="Q149" s="9"/>
    </row>
    <row r="150">
      <c r="O150" s="9"/>
      <c r="P150" s="9"/>
      <c r="Q150" s="9"/>
    </row>
    <row r="151">
      <c r="O151" s="9"/>
      <c r="P151" s="9"/>
      <c r="Q151" s="9"/>
    </row>
    <row r="152">
      <c r="O152" s="9"/>
      <c r="P152" s="9"/>
      <c r="Q152" s="9"/>
    </row>
    <row r="153">
      <c r="O153" s="9"/>
      <c r="P153" s="9"/>
      <c r="Q153" s="9"/>
    </row>
    <row r="154">
      <c r="O154" s="9"/>
      <c r="P154" s="9"/>
      <c r="Q154" s="9"/>
    </row>
    <row r="155">
      <c r="O155" s="9"/>
      <c r="P155" s="9"/>
      <c r="Q155" s="9"/>
    </row>
    <row r="156">
      <c r="O156" s="9"/>
      <c r="P156" s="9"/>
      <c r="Q156" s="9"/>
    </row>
    <row r="157">
      <c r="O157" s="9"/>
      <c r="P157" s="9"/>
      <c r="Q157" s="9"/>
    </row>
    <row r="158">
      <c r="O158" s="9"/>
      <c r="P158" s="9"/>
      <c r="Q158" s="9"/>
    </row>
    <row r="159">
      <c r="O159" s="9"/>
      <c r="P159" s="9"/>
      <c r="Q159" s="9"/>
    </row>
    <row r="160">
      <c r="O160" s="9"/>
      <c r="P160" s="9"/>
      <c r="Q160" s="9"/>
    </row>
    <row r="161">
      <c r="O161" s="9"/>
      <c r="P161" s="9"/>
      <c r="Q161" s="9"/>
    </row>
    <row r="162">
      <c r="O162" s="9"/>
      <c r="P162" s="9"/>
      <c r="Q162" s="9"/>
    </row>
    <row r="163">
      <c r="O163" s="9"/>
      <c r="P163" s="9"/>
      <c r="Q163" s="9"/>
    </row>
    <row r="164">
      <c r="O164" s="9"/>
      <c r="P164" s="9"/>
      <c r="Q164" s="9"/>
    </row>
    <row r="165">
      <c r="O165" s="9"/>
      <c r="P165" s="9"/>
      <c r="Q165" s="9"/>
    </row>
    <row r="166">
      <c r="O166" s="9"/>
      <c r="P166" s="9"/>
      <c r="Q166" s="9"/>
    </row>
    <row r="167">
      <c r="O167" s="9"/>
      <c r="P167" s="9"/>
      <c r="Q167" s="9"/>
    </row>
    <row r="168">
      <c r="O168" s="9"/>
      <c r="P168" s="9"/>
      <c r="Q168" s="9"/>
    </row>
    <row r="169">
      <c r="O169" s="9"/>
      <c r="P169" s="9"/>
      <c r="Q169" s="9"/>
    </row>
    <row r="170">
      <c r="O170" s="9"/>
      <c r="P170" s="9"/>
      <c r="Q170" s="9"/>
    </row>
    <row r="171">
      <c r="O171" s="9"/>
      <c r="P171" s="9"/>
      <c r="Q171" s="9"/>
    </row>
    <row r="172">
      <c r="O172" s="9"/>
      <c r="P172" s="9"/>
      <c r="Q172" s="9"/>
    </row>
    <row r="173">
      <c r="O173" s="9"/>
      <c r="P173" s="9"/>
      <c r="Q173" s="9"/>
    </row>
    <row r="174">
      <c r="O174" s="9"/>
      <c r="P174" s="9"/>
      <c r="Q174" s="9"/>
    </row>
    <row r="175">
      <c r="O175" s="9"/>
      <c r="P175" s="9"/>
      <c r="Q175" s="9"/>
    </row>
    <row r="176">
      <c r="O176" s="9"/>
      <c r="P176" s="9"/>
      <c r="Q176" s="9"/>
    </row>
    <row r="177">
      <c r="O177" s="9"/>
      <c r="P177" s="9"/>
      <c r="Q177" s="9"/>
    </row>
    <row r="178">
      <c r="O178" s="9"/>
      <c r="P178" s="9"/>
      <c r="Q178" s="9"/>
    </row>
    <row r="179">
      <c r="O179" s="9"/>
      <c r="P179" s="9"/>
      <c r="Q179" s="9"/>
    </row>
    <row r="180">
      <c r="O180" s="9"/>
      <c r="P180" s="9"/>
      <c r="Q180" s="9"/>
    </row>
    <row r="181">
      <c r="O181" s="9"/>
      <c r="P181" s="9"/>
      <c r="Q181" s="9"/>
    </row>
    <row r="182">
      <c r="O182" s="9"/>
      <c r="P182" s="9"/>
      <c r="Q182" s="9"/>
    </row>
    <row r="183">
      <c r="O183" s="9"/>
      <c r="P183" s="9"/>
      <c r="Q183" s="9"/>
    </row>
    <row r="184">
      <c r="O184" s="9"/>
      <c r="P184" s="9"/>
      <c r="Q184" s="9"/>
    </row>
    <row r="185">
      <c r="O185" s="9"/>
      <c r="P185" s="9"/>
      <c r="Q185" s="9"/>
    </row>
    <row r="186">
      <c r="O186" s="9"/>
      <c r="P186" s="9"/>
      <c r="Q186" s="9"/>
    </row>
    <row r="187">
      <c r="O187" s="9"/>
      <c r="P187" s="9"/>
      <c r="Q187" s="9"/>
    </row>
    <row r="188">
      <c r="O188" s="9"/>
      <c r="P188" s="9"/>
      <c r="Q188" s="9"/>
    </row>
    <row r="189">
      <c r="O189" s="9"/>
      <c r="P189" s="9"/>
      <c r="Q189" s="9"/>
    </row>
    <row r="190">
      <c r="O190" s="9"/>
      <c r="P190" s="9"/>
      <c r="Q190" s="9"/>
    </row>
    <row r="191">
      <c r="O191" s="9"/>
      <c r="P191" s="9"/>
      <c r="Q191" s="9"/>
    </row>
    <row r="192">
      <c r="O192" s="9"/>
      <c r="P192" s="9"/>
      <c r="Q192" s="9"/>
    </row>
    <row r="193">
      <c r="O193" s="9"/>
      <c r="P193" s="9"/>
      <c r="Q193" s="9"/>
    </row>
    <row r="194">
      <c r="O194" s="9"/>
      <c r="P194" s="9"/>
      <c r="Q194" s="9"/>
    </row>
    <row r="195">
      <c r="O195" s="9"/>
      <c r="P195" s="9"/>
      <c r="Q195" s="9"/>
    </row>
    <row r="196">
      <c r="O196" s="9"/>
      <c r="P196" s="9"/>
      <c r="Q196" s="9"/>
    </row>
    <row r="197">
      <c r="O197" s="9"/>
      <c r="P197" s="9"/>
      <c r="Q197" s="9"/>
    </row>
    <row r="198">
      <c r="O198" s="9"/>
      <c r="P198" s="9"/>
      <c r="Q198" s="9"/>
    </row>
    <row r="199">
      <c r="O199" s="9"/>
      <c r="P199" s="9"/>
      <c r="Q199" s="9"/>
    </row>
    <row r="200">
      <c r="O200" s="9"/>
      <c r="P200" s="9"/>
      <c r="Q200" s="9"/>
    </row>
    <row r="201">
      <c r="O201" s="9"/>
      <c r="P201" s="9"/>
      <c r="Q201" s="9"/>
    </row>
    <row r="202">
      <c r="O202" s="9"/>
      <c r="P202" s="9"/>
      <c r="Q202" s="9"/>
    </row>
    <row r="203">
      <c r="O203" s="9"/>
      <c r="P203" s="9"/>
      <c r="Q203" s="9"/>
    </row>
    <row r="204">
      <c r="O204" s="9"/>
      <c r="P204" s="9"/>
      <c r="Q204" s="9"/>
    </row>
    <row r="205">
      <c r="O205" s="9"/>
      <c r="P205" s="9"/>
      <c r="Q205" s="9"/>
    </row>
    <row r="206">
      <c r="O206" s="9"/>
      <c r="P206" s="9"/>
      <c r="Q206" s="9"/>
    </row>
    <row r="207">
      <c r="O207" s="9"/>
      <c r="P207" s="9"/>
      <c r="Q207" s="9"/>
    </row>
    <row r="208">
      <c r="O208" s="9"/>
      <c r="P208" s="9"/>
      <c r="Q208" s="9"/>
    </row>
    <row r="209">
      <c r="O209" s="9"/>
      <c r="P209" s="9"/>
      <c r="Q209" s="9"/>
    </row>
    <row r="210">
      <c r="O210" s="9"/>
      <c r="P210" s="9"/>
      <c r="Q210" s="9"/>
    </row>
    <row r="211">
      <c r="O211" s="9"/>
      <c r="P211" s="9"/>
      <c r="Q211" s="9"/>
    </row>
    <row r="212">
      <c r="O212" s="9"/>
      <c r="P212" s="9"/>
      <c r="Q212" s="9"/>
    </row>
    <row r="213">
      <c r="O213" s="9"/>
      <c r="P213" s="9"/>
      <c r="Q213" s="9"/>
    </row>
    <row r="214">
      <c r="O214" s="9"/>
      <c r="P214" s="9"/>
      <c r="Q214" s="9"/>
    </row>
    <row r="215">
      <c r="O215" s="9"/>
      <c r="P215" s="9"/>
      <c r="Q215" s="9"/>
    </row>
    <row r="216">
      <c r="O216" s="9"/>
      <c r="P216" s="9"/>
      <c r="Q216" s="9"/>
    </row>
    <row r="217">
      <c r="O217" s="9"/>
      <c r="P217" s="9"/>
      <c r="Q217" s="9"/>
    </row>
    <row r="218">
      <c r="O218" s="9"/>
      <c r="P218" s="9"/>
      <c r="Q218" s="9"/>
    </row>
    <row r="219">
      <c r="O219" s="9"/>
      <c r="P219" s="9"/>
      <c r="Q219" s="9"/>
    </row>
    <row r="220">
      <c r="O220" s="9"/>
      <c r="P220" s="9"/>
      <c r="Q220" s="9"/>
    </row>
    <row r="221">
      <c r="O221" s="9"/>
      <c r="P221" s="9"/>
      <c r="Q221" s="9"/>
    </row>
    <row r="222">
      <c r="O222" s="9"/>
      <c r="P222" s="9"/>
      <c r="Q222" s="9"/>
    </row>
    <row r="223">
      <c r="O223" s="9"/>
      <c r="P223" s="9"/>
      <c r="Q223" s="9"/>
    </row>
    <row r="224">
      <c r="O224" s="9"/>
      <c r="P224" s="9"/>
      <c r="Q224" s="9"/>
    </row>
    <row r="225">
      <c r="O225" s="9"/>
      <c r="P225" s="9"/>
      <c r="Q225" s="9"/>
    </row>
    <row r="226">
      <c r="O226" s="9"/>
      <c r="P226" s="9"/>
      <c r="Q226" s="9"/>
    </row>
    <row r="227">
      <c r="O227" s="9"/>
      <c r="P227" s="9"/>
      <c r="Q227" s="9"/>
    </row>
    <row r="228">
      <c r="O228" s="9"/>
      <c r="P228" s="9"/>
      <c r="Q228" s="9"/>
    </row>
    <row r="229">
      <c r="O229" s="9"/>
      <c r="P229" s="9"/>
      <c r="Q229" s="9"/>
    </row>
    <row r="230">
      <c r="O230" s="9"/>
      <c r="P230" s="9"/>
      <c r="Q230" s="9"/>
    </row>
    <row r="231">
      <c r="O231" s="9"/>
      <c r="P231" s="9"/>
      <c r="Q231" s="9"/>
    </row>
    <row r="232">
      <c r="O232" s="9"/>
      <c r="P232" s="9"/>
      <c r="Q232" s="9"/>
    </row>
    <row r="233">
      <c r="O233" s="9"/>
      <c r="P233" s="9"/>
      <c r="Q233" s="9"/>
    </row>
    <row r="234">
      <c r="O234" s="9"/>
      <c r="P234" s="9"/>
      <c r="Q234" s="9"/>
    </row>
    <row r="235">
      <c r="O235" s="9"/>
      <c r="P235" s="9"/>
      <c r="Q235" s="9"/>
    </row>
    <row r="236">
      <c r="O236" s="9"/>
      <c r="P236" s="9"/>
      <c r="Q236" s="9"/>
    </row>
    <row r="237">
      <c r="O237" s="9"/>
      <c r="P237" s="9"/>
      <c r="Q237" s="9"/>
    </row>
    <row r="238">
      <c r="O238" s="9"/>
      <c r="P238" s="9"/>
      <c r="Q238" s="9"/>
    </row>
    <row r="239">
      <c r="O239" s="9"/>
      <c r="P239" s="9"/>
      <c r="Q239" s="9"/>
    </row>
    <row r="240">
      <c r="O240" s="9"/>
      <c r="P240" s="9"/>
      <c r="Q240" s="9"/>
    </row>
    <row r="241">
      <c r="O241" s="9"/>
      <c r="P241" s="9"/>
      <c r="Q241" s="9"/>
    </row>
    <row r="242">
      <c r="O242" s="9"/>
      <c r="P242" s="9"/>
      <c r="Q242" s="9"/>
    </row>
    <row r="243">
      <c r="O243" s="9"/>
      <c r="P243" s="9"/>
      <c r="Q243" s="9"/>
    </row>
    <row r="244">
      <c r="O244" s="9"/>
      <c r="P244" s="9"/>
      <c r="Q244" s="9"/>
    </row>
    <row r="245">
      <c r="O245" s="9"/>
      <c r="P245" s="9"/>
      <c r="Q245" s="9"/>
    </row>
    <row r="246">
      <c r="O246" s="9"/>
      <c r="P246" s="9"/>
      <c r="Q246" s="9"/>
    </row>
    <row r="247">
      <c r="O247" s="9"/>
      <c r="P247" s="9"/>
      <c r="Q247" s="9"/>
    </row>
    <row r="248">
      <c r="O248" s="9"/>
      <c r="P248" s="9"/>
      <c r="Q248" s="9"/>
    </row>
    <row r="249">
      <c r="O249" s="9"/>
      <c r="P249" s="9"/>
      <c r="Q249" s="9"/>
    </row>
    <row r="250">
      <c r="O250" s="9"/>
      <c r="P250" s="9"/>
      <c r="Q250" s="9"/>
    </row>
    <row r="251">
      <c r="O251" s="9"/>
      <c r="P251" s="9"/>
      <c r="Q251" s="9"/>
    </row>
    <row r="252">
      <c r="O252" s="9"/>
      <c r="P252" s="9"/>
      <c r="Q252" s="9"/>
    </row>
    <row r="253">
      <c r="O253" s="9"/>
      <c r="P253" s="9"/>
      <c r="Q253" s="9"/>
    </row>
    <row r="254">
      <c r="O254" s="9"/>
      <c r="P254" s="9"/>
      <c r="Q254" s="9"/>
    </row>
    <row r="255">
      <c r="O255" s="9"/>
      <c r="P255" s="9"/>
      <c r="Q255" s="9"/>
    </row>
    <row r="256">
      <c r="O256" s="9"/>
      <c r="P256" s="9"/>
      <c r="Q256" s="9"/>
    </row>
    <row r="257">
      <c r="O257" s="9"/>
      <c r="P257" s="9"/>
      <c r="Q257" s="9"/>
    </row>
    <row r="258">
      <c r="O258" s="9"/>
      <c r="P258" s="9"/>
      <c r="Q258" s="9"/>
    </row>
    <row r="259">
      <c r="O259" s="9"/>
      <c r="P259" s="9"/>
      <c r="Q259" s="9"/>
    </row>
    <row r="260">
      <c r="O260" s="9"/>
      <c r="P260" s="9"/>
      <c r="Q260" s="9"/>
    </row>
    <row r="261">
      <c r="O261" s="9"/>
      <c r="P261" s="9"/>
      <c r="Q261" s="9"/>
    </row>
    <row r="262">
      <c r="O262" s="9"/>
      <c r="P262" s="9"/>
      <c r="Q262" s="9"/>
    </row>
    <row r="263">
      <c r="O263" s="9"/>
      <c r="P263" s="9"/>
      <c r="Q263" s="9"/>
    </row>
    <row r="264">
      <c r="O264" s="9"/>
      <c r="P264" s="9"/>
      <c r="Q264" s="9"/>
    </row>
    <row r="265">
      <c r="O265" s="9"/>
      <c r="P265" s="9"/>
      <c r="Q265" s="9"/>
    </row>
    <row r="266">
      <c r="O266" s="9"/>
      <c r="P266" s="9"/>
      <c r="Q266" s="9"/>
    </row>
    <row r="267">
      <c r="O267" s="9"/>
      <c r="P267" s="9"/>
      <c r="Q267" s="9"/>
    </row>
    <row r="268">
      <c r="O268" s="9"/>
      <c r="P268" s="9"/>
      <c r="Q268" s="9"/>
    </row>
    <row r="269">
      <c r="O269" s="9"/>
      <c r="P269" s="9"/>
      <c r="Q269" s="9"/>
    </row>
    <row r="270">
      <c r="O270" s="9"/>
      <c r="P270" s="9"/>
      <c r="Q270" s="9"/>
    </row>
    <row r="271">
      <c r="O271" s="9"/>
      <c r="P271" s="9"/>
      <c r="Q271" s="9"/>
    </row>
    <row r="272">
      <c r="O272" s="9"/>
      <c r="P272" s="9"/>
      <c r="Q272" s="9"/>
    </row>
    <row r="273">
      <c r="O273" s="9"/>
      <c r="P273" s="9"/>
      <c r="Q273" s="9"/>
    </row>
    <row r="274">
      <c r="O274" s="9"/>
      <c r="P274" s="9"/>
      <c r="Q274" s="9"/>
    </row>
    <row r="275">
      <c r="O275" s="9"/>
      <c r="P275" s="9"/>
      <c r="Q275" s="9"/>
    </row>
    <row r="276">
      <c r="O276" s="9"/>
      <c r="P276" s="9"/>
      <c r="Q276" s="9"/>
    </row>
    <row r="277">
      <c r="O277" s="9"/>
      <c r="P277" s="9"/>
      <c r="Q277" s="9"/>
    </row>
    <row r="278">
      <c r="O278" s="9"/>
      <c r="P278" s="9"/>
      <c r="Q278" s="9"/>
    </row>
    <row r="279">
      <c r="O279" s="9"/>
      <c r="P279" s="9"/>
      <c r="Q279" s="9"/>
    </row>
    <row r="280">
      <c r="O280" s="9"/>
      <c r="P280" s="9"/>
      <c r="Q280" s="9"/>
    </row>
    <row r="281">
      <c r="O281" s="9"/>
      <c r="P281" s="9"/>
      <c r="Q281" s="9"/>
    </row>
    <row r="282">
      <c r="O282" s="9"/>
      <c r="P282" s="9"/>
      <c r="Q282" s="9"/>
    </row>
    <row r="283">
      <c r="O283" s="9"/>
      <c r="P283" s="9"/>
      <c r="Q283" s="9"/>
    </row>
    <row r="284">
      <c r="O284" s="9"/>
      <c r="P284" s="9"/>
      <c r="Q284" s="9"/>
    </row>
    <row r="285">
      <c r="O285" s="9"/>
      <c r="P285" s="9"/>
      <c r="Q285" s="9"/>
    </row>
    <row r="286">
      <c r="O286" s="9"/>
      <c r="P286" s="9"/>
      <c r="Q286" s="9"/>
    </row>
    <row r="287">
      <c r="O287" s="9"/>
      <c r="P287" s="9"/>
      <c r="Q287" s="9"/>
    </row>
    <row r="288">
      <c r="O288" s="9"/>
      <c r="P288" s="9"/>
      <c r="Q288" s="9"/>
    </row>
    <row r="289">
      <c r="O289" s="9"/>
      <c r="P289" s="9"/>
      <c r="Q289" s="9"/>
    </row>
    <row r="290">
      <c r="O290" s="9"/>
      <c r="P290" s="9"/>
      <c r="Q290" s="9"/>
    </row>
    <row r="291">
      <c r="O291" s="9"/>
      <c r="P291" s="9"/>
      <c r="Q291" s="9"/>
    </row>
    <row r="292">
      <c r="O292" s="9"/>
      <c r="P292" s="9"/>
      <c r="Q292" s="9"/>
    </row>
    <row r="293">
      <c r="O293" s="9"/>
      <c r="P293" s="9"/>
      <c r="Q293" s="9"/>
    </row>
    <row r="294">
      <c r="O294" s="9"/>
      <c r="P294" s="9"/>
      <c r="Q294" s="9"/>
    </row>
    <row r="295">
      <c r="O295" s="9"/>
      <c r="P295" s="9"/>
      <c r="Q295" s="9"/>
    </row>
    <row r="296">
      <c r="O296" s="9"/>
      <c r="P296" s="9"/>
      <c r="Q296" s="9"/>
    </row>
    <row r="297">
      <c r="O297" s="9"/>
      <c r="P297" s="9"/>
      <c r="Q297" s="9"/>
    </row>
    <row r="298">
      <c r="O298" s="9"/>
      <c r="P298" s="9"/>
      <c r="Q298" s="9"/>
    </row>
    <row r="299">
      <c r="O299" s="9"/>
      <c r="P299" s="9"/>
      <c r="Q299" s="9"/>
    </row>
    <row r="300">
      <c r="O300" s="9"/>
      <c r="P300" s="9"/>
      <c r="Q300" s="9"/>
    </row>
    <row r="301">
      <c r="O301" s="9"/>
      <c r="P301" s="9"/>
      <c r="Q301" s="9"/>
    </row>
    <row r="302">
      <c r="O302" s="9"/>
      <c r="P302" s="9"/>
      <c r="Q302" s="9"/>
    </row>
    <row r="303">
      <c r="O303" s="9"/>
      <c r="P303" s="9"/>
      <c r="Q303" s="9"/>
    </row>
    <row r="304">
      <c r="O304" s="9"/>
      <c r="P304" s="9"/>
      <c r="Q304" s="9"/>
    </row>
    <row r="305">
      <c r="O305" s="9"/>
      <c r="P305" s="9"/>
      <c r="Q305" s="9"/>
    </row>
    <row r="306">
      <c r="O306" s="9"/>
      <c r="P306" s="9"/>
      <c r="Q306" s="9"/>
    </row>
    <row r="307">
      <c r="O307" s="9"/>
      <c r="P307" s="9"/>
      <c r="Q307" s="9"/>
    </row>
    <row r="308">
      <c r="O308" s="9"/>
      <c r="P308" s="9"/>
      <c r="Q308" s="9"/>
    </row>
    <row r="309">
      <c r="O309" s="9"/>
      <c r="P309" s="9"/>
      <c r="Q309" s="9"/>
    </row>
    <row r="310">
      <c r="O310" s="9"/>
      <c r="P310" s="9"/>
      <c r="Q310" s="9"/>
    </row>
    <row r="311">
      <c r="O311" s="9"/>
      <c r="P311" s="9"/>
      <c r="Q311" s="9"/>
    </row>
    <row r="312">
      <c r="O312" s="9"/>
      <c r="P312" s="9"/>
      <c r="Q312" s="9"/>
    </row>
    <row r="313">
      <c r="O313" s="9"/>
      <c r="P313" s="9"/>
      <c r="Q313" s="9"/>
    </row>
    <row r="314">
      <c r="O314" s="9"/>
      <c r="P314" s="9"/>
      <c r="Q314" s="9"/>
    </row>
    <row r="315">
      <c r="O315" s="9"/>
      <c r="P315" s="9"/>
      <c r="Q315" s="9"/>
    </row>
    <row r="316">
      <c r="O316" s="9"/>
      <c r="P316" s="9"/>
      <c r="Q316" s="9"/>
    </row>
    <row r="317">
      <c r="O317" s="9"/>
      <c r="P317" s="9"/>
      <c r="Q317" s="9"/>
    </row>
    <row r="318">
      <c r="O318" s="9"/>
      <c r="P318" s="9"/>
      <c r="Q318" s="9"/>
    </row>
    <row r="319">
      <c r="O319" s="9"/>
      <c r="P319" s="9"/>
      <c r="Q319" s="9"/>
    </row>
    <row r="320">
      <c r="O320" s="9"/>
      <c r="P320" s="9"/>
      <c r="Q320" s="9"/>
    </row>
    <row r="321">
      <c r="O321" s="9"/>
      <c r="P321" s="9"/>
      <c r="Q321" s="9"/>
    </row>
    <row r="322">
      <c r="O322" s="9"/>
      <c r="P322" s="9"/>
      <c r="Q322" s="9"/>
    </row>
    <row r="323">
      <c r="O323" s="9"/>
      <c r="P323" s="9"/>
      <c r="Q323" s="9"/>
    </row>
    <row r="324">
      <c r="O324" s="9"/>
      <c r="P324" s="9"/>
      <c r="Q324" s="9"/>
    </row>
    <row r="325">
      <c r="O325" s="9"/>
      <c r="P325" s="9"/>
      <c r="Q325" s="9"/>
    </row>
    <row r="326">
      <c r="O326" s="9"/>
      <c r="P326" s="9"/>
      <c r="Q326" s="9"/>
    </row>
    <row r="327">
      <c r="O327" s="9"/>
      <c r="P327" s="9"/>
      <c r="Q327" s="9"/>
    </row>
    <row r="328">
      <c r="O328" s="9"/>
      <c r="P328" s="9"/>
      <c r="Q328" s="9"/>
    </row>
    <row r="329">
      <c r="O329" s="9"/>
      <c r="P329" s="9"/>
      <c r="Q329" s="9"/>
    </row>
    <row r="330">
      <c r="O330" s="9"/>
      <c r="P330" s="9"/>
      <c r="Q330" s="9"/>
    </row>
    <row r="331">
      <c r="O331" s="9"/>
      <c r="P331" s="9"/>
      <c r="Q331" s="9"/>
    </row>
    <row r="332">
      <c r="O332" s="9"/>
      <c r="P332" s="9"/>
      <c r="Q332" s="9"/>
    </row>
    <row r="333">
      <c r="O333" s="9"/>
      <c r="P333" s="9"/>
      <c r="Q333" s="9"/>
    </row>
    <row r="334">
      <c r="O334" s="9"/>
      <c r="P334" s="9"/>
      <c r="Q334" s="9"/>
    </row>
    <row r="335">
      <c r="O335" s="9"/>
      <c r="P335" s="9"/>
      <c r="Q335" s="9"/>
    </row>
    <row r="336">
      <c r="O336" s="9"/>
      <c r="P336" s="9"/>
      <c r="Q336" s="9"/>
    </row>
    <row r="337">
      <c r="O337" s="9"/>
      <c r="P337" s="9"/>
      <c r="Q337" s="9"/>
    </row>
    <row r="338">
      <c r="O338" s="9"/>
      <c r="P338" s="9"/>
      <c r="Q338" s="9"/>
    </row>
    <row r="339">
      <c r="O339" s="9"/>
      <c r="P339" s="9"/>
      <c r="Q339" s="9"/>
    </row>
    <row r="340">
      <c r="O340" s="9"/>
      <c r="P340" s="9"/>
      <c r="Q340" s="9"/>
    </row>
    <row r="341">
      <c r="O341" s="9"/>
      <c r="P341" s="9"/>
      <c r="Q341" s="9"/>
    </row>
    <row r="342">
      <c r="O342" s="9"/>
      <c r="P342" s="9"/>
      <c r="Q342" s="9"/>
    </row>
    <row r="343">
      <c r="O343" s="9"/>
      <c r="P343" s="9"/>
      <c r="Q343" s="9"/>
    </row>
    <row r="344">
      <c r="O344" s="9"/>
      <c r="P344" s="9"/>
      <c r="Q344" s="9"/>
    </row>
    <row r="345">
      <c r="O345" s="9"/>
      <c r="P345" s="9"/>
      <c r="Q345" s="9"/>
    </row>
    <row r="346">
      <c r="O346" s="9"/>
      <c r="P346" s="9"/>
      <c r="Q346" s="9"/>
    </row>
    <row r="347">
      <c r="O347" s="9"/>
      <c r="P347" s="9"/>
      <c r="Q347" s="9"/>
    </row>
    <row r="348">
      <c r="O348" s="9"/>
      <c r="P348" s="9"/>
      <c r="Q348" s="9"/>
    </row>
    <row r="349">
      <c r="O349" s="9"/>
      <c r="P349" s="9"/>
      <c r="Q349" s="9"/>
    </row>
    <row r="350">
      <c r="O350" s="9"/>
      <c r="P350" s="9"/>
      <c r="Q350" s="9"/>
    </row>
    <row r="351">
      <c r="O351" s="9"/>
      <c r="P351" s="9"/>
      <c r="Q351" s="9"/>
    </row>
    <row r="352">
      <c r="O352" s="9"/>
      <c r="P352" s="9"/>
      <c r="Q352" s="9"/>
    </row>
    <row r="353">
      <c r="O353" s="9"/>
      <c r="P353" s="9"/>
      <c r="Q353" s="9"/>
    </row>
    <row r="354">
      <c r="O354" s="9"/>
      <c r="P354" s="9"/>
      <c r="Q354" s="9"/>
    </row>
    <row r="355">
      <c r="O355" s="9"/>
      <c r="P355" s="9"/>
      <c r="Q355" s="9"/>
    </row>
    <row r="356">
      <c r="O356" s="9"/>
      <c r="P356" s="9"/>
      <c r="Q356" s="9"/>
    </row>
    <row r="357">
      <c r="O357" s="9"/>
      <c r="P357" s="9"/>
      <c r="Q357" s="9"/>
    </row>
    <row r="358">
      <c r="O358" s="9"/>
      <c r="P358" s="9"/>
      <c r="Q358" s="9"/>
    </row>
    <row r="359">
      <c r="O359" s="9"/>
      <c r="P359" s="9"/>
      <c r="Q359" s="9"/>
    </row>
    <row r="360">
      <c r="O360" s="9"/>
      <c r="P360" s="9"/>
      <c r="Q360" s="9"/>
    </row>
    <row r="361">
      <c r="O361" s="9"/>
      <c r="P361" s="9"/>
      <c r="Q361" s="9"/>
    </row>
    <row r="362">
      <c r="O362" s="9"/>
      <c r="P362" s="9"/>
      <c r="Q362" s="9"/>
    </row>
    <row r="363">
      <c r="O363" s="9"/>
      <c r="P363" s="9"/>
      <c r="Q363" s="9"/>
    </row>
    <row r="364">
      <c r="O364" s="9"/>
      <c r="P364" s="9"/>
      <c r="Q364" s="9"/>
    </row>
    <row r="365">
      <c r="O365" s="9"/>
      <c r="P365" s="9"/>
      <c r="Q365" s="9"/>
    </row>
    <row r="366">
      <c r="O366" s="9"/>
      <c r="P366" s="9"/>
      <c r="Q366" s="9"/>
    </row>
    <row r="367">
      <c r="O367" s="9"/>
      <c r="P367" s="9"/>
      <c r="Q367" s="9"/>
    </row>
    <row r="368">
      <c r="O368" s="9"/>
      <c r="P368" s="9"/>
      <c r="Q368" s="9"/>
    </row>
    <row r="369">
      <c r="O369" s="9"/>
      <c r="P369" s="9"/>
      <c r="Q369" s="9"/>
    </row>
    <row r="370">
      <c r="O370" s="9"/>
      <c r="P370" s="9"/>
      <c r="Q370" s="9"/>
    </row>
    <row r="371">
      <c r="O371" s="9"/>
      <c r="P371" s="9"/>
      <c r="Q371" s="9"/>
    </row>
    <row r="372">
      <c r="O372" s="9"/>
      <c r="P372" s="9"/>
      <c r="Q372" s="9"/>
    </row>
    <row r="373">
      <c r="O373" s="9"/>
      <c r="P373" s="9"/>
      <c r="Q373" s="9"/>
    </row>
    <row r="374">
      <c r="O374" s="9"/>
      <c r="P374" s="9"/>
      <c r="Q374" s="9"/>
    </row>
    <row r="375">
      <c r="O375" s="9"/>
      <c r="P375" s="9"/>
      <c r="Q375" s="9"/>
    </row>
    <row r="376">
      <c r="O376" s="9"/>
      <c r="P376" s="9"/>
      <c r="Q376" s="9"/>
    </row>
    <row r="377">
      <c r="O377" s="9"/>
      <c r="P377" s="9"/>
      <c r="Q377" s="9"/>
    </row>
    <row r="378">
      <c r="O378" s="9"/>
      <c r="P378" s="9"/>
      <c r="Q378" s="9"/>
    </row>
    <row r="379">
      <c r="O379" s="9"/>
      <c r="P379" s="9"/>
      <c r="Q379" s="9"/>
    </row>
    <row r="380">
      <c r="O380" s="9"/>
      <c r="P380" s="9"/>
      <c r="Q380" s="9"/>
    </row>
    <row r="381">
      <c r="O381" s="9"/>
      <c r="P381" s="9"/>
      <c r="Q381" s="9"/>
    </row>
    <row r="382">
      <c r="O382" s="9"/>
      <c r="P382" s="9"/>
      <c r="Q382" s="9"/>
    </row>
    <row r="383">
      <c r="O383" s="9"/>
      <c r="P383" s="9"/>
      <c r="Q383" s="9"/>
    </row>
    <row r="384">
      <c r="O384" s="9"/>
      <c r="P384" s="9"/>
      <c r="Q384" s="9"/>
    </row>
    <row r="385">
      <c r="O385" s="9"/>
      <c r="P385" s="9"/>
      <c r="Q385" s="9"/>
    </row>
    <row r="386">
      <c r="O386" s="9"/>
      <c r="P386" s="9"/>
      <c r="Q386" s="9"/>
    </row>
    <row r="387">
      <c r="O387" s="9"/>
      <c r="P387" s="9"/>
      <c r="Q387" s="9"/>
    </row>
    <row r="388">
      <c r="O388" s="9"/>
      <c r="P388" s="9"/>
      <c r="Q388" s="9"/>
    </row>
    <row r="389">
      <c r="O389" s="9"/>
      <c r="P389" s="9"/>
      <c r="Q389" s="9"/>
    </row>
    <row r="390">
      <c r="O390" s="9"/>
      <c r="P390" s="9"/>
      <c r="Q390" s="9"/>
    </row>
    <row r="391">
      <c r="O391" s="9"/>
      <c r="P391" s="9"/>
      <c r="Q391" s="9"/>
    </row>
    <row r="392">
      <c r="O392" s="9"/>
      <c r="P392" s="9"/>
      <c r="Q392" s="9"/>
    </row>
    <row r="393">
      <c r="O393" s="9"/>
      <c r="P393" s="9"/>
      <c r="Q393" s="9"/>
    </row>
    <row r="394">
      <c r="O394" s="9"/>
      <c r="P394" s="9"/>
      <c r="Q394" s="9"/>
    </row>
    <row r="395">
      <c r="O395" s="9"/>
      <c r="P395" s="9"/>
      <c r="Q395" s="9"/>
    </row>
    <row r="396">
      <c r="O396" s="9"/>
      <c r="P396" s="9"/>
      <c r="Q396" s="9"/>
    </row>
    <row r="397">
      <c r="O397" s="9"/>
      <c r="P397" s="9"/>
      <c r="Q397" s="9"/>
    </row>
    <row r="398">
      <c r="O398" s="9"/>
      <c r="P398" s="9"/>
      <c r="Q398" s="9"/>
    </row>
    <row r="399">
      <c r="O399" s="9"/>
      <c r="P399" s="9"/>
      <c r="Q399" s="9"/>
    </row>
    <row r="400">
      <c r="O400" s="9"/>
      <c r="P400" s="9"/>
      <c r="Q400" s="9"/>
    </row>
    <row r="401">
      <c r="O401" s="9"/>
      <c r="P401" s="9"/>
      <c r="Q401" s="9"/>
    </row>
    <row r="402">
      <c r="O402" s="9"/>
      <c r="P402" s="9"/>
      <c r="Q402" s="9"/>
    </row>
    <row r="403">
      <c r="O403" s="9"/>
      <c r="P403" s="9"/>
      <c r="Q403" s="9"/>
    </row>
    <row r="404">
      <c r="O404" s="9"/>
      <c r="P404" s="9"/>
      <c r="Q404" s="9"/>
    </row>
    <row r="405">
      <c r="O405" s="9"/>
      <c r="P405" s="9"/>
      <c r="Q405" s="9"/>
    </row>
    <row r="406">
      <c r="O406" s="9"/>
      <c r="P406" s="9"/>
      <c r="Q406" s="9"/>
    </row>
    <row r="407">
      <c r="O407" s="9"/>
      <c r="P407" s="9"/>
      <c r="Q407" s="9"/>
    </row>
    <row r="408">
      <c r="O408" s="9"/>
      <c r="P408" s="9"/>
      <c r="Q408" s="9"/>
    </row>
    <row r="409">
      <c r="O409" s="9"/>
      <c r="P409" s="9"/>
      <c r="Q409" s="9"/>
    </row>
    <row r="410">
      <c r="O410" s="9"/>
      <c r="P410" s="9"/>
      <c r="Q410" s="9"/>
    </row>
    <row r="411">
      <c r="O411" s="9"/>
      <c r="P411" s="9"/>
      <c r="Q411" s="9"/>
    </row>
    <row r="412">
      <c r="O412" s="9"/>
      <c r="P412" s="9"/>
      <c r="Q412" s="9"/>
    </row>
    <row r="413">
      <c r="O413" s="9"/>
      <c r="P413" s="9"/>
      <c r="Q413" s="9"/>
    </row>
    <row r="414">
      <c r="O414" s="9"/>
      <c r="P414" s="9"/>
      <c r="Q414" s="9"/>
    </row>
    <row r="415">
      <c r="O415" s="9"/>
      <c r="P415" s="9"/>
      <c r="Q415" s="9"/>
    </row>
    <row r="416">
      <c r="O416" s="9"/>
      <c r="P416" s="9"/>
      <c r="Q416" s="9"/>
    </row>
    <row r="417">
      <c r="O417" s="9"/>
      <c r="P417" s="9"/>
      <c r="Q417" s="9"/>
    </row>
    <row r="418">
      <c r="O418" s="9"/>
      <c r="P418" s="9"/>
      <c r="Q418" s="9"/>
    </row>
    <row r="419">
      <c r="O419" s="9"/>
      <c r="P419" s="9"/>
      <c r="Q419" s="9"/>
    </row>
    <row r="420">
      <c r="O420" s="9"/>
      <c r="P420" s="9"/>
      <c r="Q420" s="9"/>
    </row>
    <row r="421">
      <c r="O421" s="9"/>
      <c r="P421" s="9"/>
      <c r="Q421" s="9"/>
    </row>
    <row r="422">
      <c r="O422" s="9"/>
      <c r="P422" s="9"/>
      <c r="Q422" s="9"/>
    </row>
    <row r="423">
      <c r="O423" s="9"/>
      <c r="P423" s="9"/>
      <c r="Q423" s="9"/>
    </row>
    <row r="424">
      <c r="O424" s="9"/>
      <c r="P424" s="9"/>
      <c r="Q424" s="9"/>
    </row>
    <row r="425">
      <c r="O425" s="9"/>
      <c r="P425" s="9"/>
      <c r="Q425" s="9"/>
    </row>
    <row r="426">
      <c r="O426" s="9"/>
      <c r="P426" s="9"/>
      <c r="Q426" s="9"/>
    </row>
    <row r="427">
      <c r="O427" s="9"/>
      <c r="P427" s="9"/>
      <c r="Q427" s="9"/>
    </row>
    <row r="428">
      <c r="O428" s="9"/>
      <c r="P428" s="9"/>
      <c r="Q428" s="9"/>
    </row>
    <row r="429">
      <c r="O429" s="9"/>
      <c r="P429" s="9"/>
      <c r="Q429" s="9"/>
    </row>
    <row r="430">
      <c r="O430" s="9"/>
      <c r="P430" s="9"/>
      <c r="Q430" s="9"/>
    </row>
    <row r="431">
      <c r="O431" s="9"/>
      <c r="P431" s="9"/>
      <c r="Q431" s="9"/>
    </row>
    <row r="432">
      <c r="O432" s="9"/>
      <c r="P432" s="9"/>
      <c r="Q432" s="9"/>
    </row>
    <row r="433">
      <c r="O433" s="9"/>
      <c r="P433" s="9"/>
      <c r="Q433" s="9"/>
    </row>
    <row r="434">
      <c r="O434" s="9"/>
      <c r="P434" s="9"/>
      <c r="Q434" s="9"/>
    </row>
    <row r="435">
      <c r="O435" s="9"/>
      <c r="P435" s="9"/>
      <c r="Q435" s="9"/>
    </row>
    <row r="436">
      <c r="O436" s="9"/>
      <c r="P436" s="9"/>
      <c r="Q436" s="9"/>
    </row>
    <row r="437">
      <c r="O437" s="9"/>
      <c r="P437" s="9"/>
      <c r="Q437" s="9"/>
    </row>
    <row r="438">
      <c r="O438" s="9"/>
      <c r="P438" s="9"/>
      <c r="Q438" s="9"/>
    </row>
    <row r="439">
      <c r="O439" s="9"/>
      <c r="P439" s="9"/>
      <c r="Q439" s="9"/>
    </row>
    <row r="440">
      <c r="O440" s="9"/>
      <c r="P440" s="9"/>
      <c r="Q440" s="9"/>
    </row>
    <row r="441">
      <c r="O441" s="9"/>
      <c r="P441" s="9"/>
      <c r="Q441" s="9"/>
    </row>
    <row r="442">
      <c r="O442" s="9"/>
      <c r="P442" s="9"/>
      <c r="Q442" s="9"/>
    </row>
    <row r="443">
      <c r="O443" s="9"/>
      <c r="P443" s="9"/>
      <c r="Q443" s="9"/>
    </row>
    <row r="444">
      <c r="O444" s="9"/>
      <c r="P444" s="9"/>
      <c r="Q444" s="9"/>
    </row>
    <row r="445">
      <c r="O445" s="9"/>
      <c r="P445" s="9"/>
      <c r="Q445" s="9"/>
    </row>
    <row r="446">
      <c r="O446" s="9"/>
      <c r="P446" s="9"/>
      <c r="Q446" s="9"/>
    </row>
    <row r="447">
      <c r="O447" s="9"/>
      <c r="P447" s="9"/>
      <c r="Q447" s="9"/>
    </row>
    <row r="448">
      <c r="O448" s="9"/>
      <c r="P448" s="9"/>
      <c r="Q448" s="9"/>
    </row>
    <row r="449">
      <c r="O449" s="9"/>
      <c r="P449" s="9"/>
      <c r="Q449" s="9"/>
    </row>
    <row r="450">
      <c r="O450" s="9"/>
      <c r="P450" s="9"/>
      <c r="Q450" s="9"/>
    </row>
    <row r="451">
      <c r="O451" s="9"/>
      <c r="P451" s="9"/>
      <c r="Q451" s="9"/>
    </row>
    <row r="452">
      <c r="O452" s="9"/>
      <c r="P452" s="9"/>
      <c r="Q452" s="9"/>
    </row>
    <row r="453">
      <c r="O453" s="9"/>
      <c r="P453" s="9"/>
      <c r="Q453" s="9"/>
    </row>
    <row r="454">
      <c r="O454" s="9"/>
      <c r="P454" s="9"/>
      <c r="Q454" s="9"/>
    </row>
    <row r="455">
      <c r="O455" s="9"/>
      <c r="P455" s="9"/>
      <c r="Q455" s="9"/>
    </row>
    <row r="456">
      <c r="O456" s="9"/>
      <c r="P456" s="9"/>
      <c r="Q456" s="9"/>
    </row>
    <row r="457">
      <c r="O457" s="9"/>
      <c r="P457" s="9"/>
      <c r="Q457" s="9"/>
    </row>
    <row r="458">
      <c r="O458" s="9"/>
      <c r="P458" s="9"/>
      <c r="Q458" s="9"/>
    </row>
    <row r="459">
      <c r="O459" s="9"/>
      <c r="P459" s="9"/>
      <c r="Q459" s="9"/>
    </row>
    <row r="460">
      <c r="O460" s="9"/>
      <c r="P460" s="9"/>
      <c r="Q460" s="9"/>
    </row>
    <row r="461">
      <c r="O461" s="9"/>
      <c r="P461" s="9"/>
      <c r="Q461" s="9"/>
    </row>
    <row r="462">
      <c r="O462" s="9"/>
      <c r="P462" s="9"/>
      <c r="Q462" s="9"/>
    </row>
    <row r="463">
      <c r="O463" s="9"/>
      <c r="P463" s="9"/>
      <c r="Q463" s="9"/>
    </row>
    <row r="464">
      <c r="O464" s="9"/>
      <c r="P464" s="9"/>
      <c r="Q464" s="9"/>
    </row>
    <row r="465">
      <c r="O465" s="9"/>
      <c r="P465" s="9"/>
      <c r="Q465" s="9"/>
    </row>
    <row r="466">
      <c r="O466" s="9"/>
      <c r="P466" s="9"/>
      <c r="Q466" s="9"/>
    </row>
    <row r="467">
      <c r="O467" s="9"/>
      <c r="P467" s="9"/>
      <c r="Q467" s="9"/>
    </row>
    <row r="468">
      <c r="O468" s="9"/>
      <c r="P468" s="9"/>
      <c r="Q468" s="9"/>
    </row>
    <row r="469">
      <c r="O469" s="9"/>
      <c r="P469" s="9"/>
      <c r="Q469" s="9"/>
    </row>
    <row r="470">
      <c r="O470" s="9"/>
      <c r="P470" s="9"/>
      <c r="Q470" s="9"/>
    </row>
    <row r="471">
      <c r="O471" s="9"/>
      <c r="P471" s="9"/>
      <c r="Q471" s="9"/>
    </row>
    <row r="472">
      <c r="O472" s="9"/>
      <c r="P472" s="9"/>
      <c r="Q472" s="9"/>
    </row>
    <row r="473">
      <c r="O473" s="9"/>
      <c r="P473" s="9"/>
      <c r="Q473" s="9"/>
    </row>
    <row r="474">
      <c r="O474" s="9"/>
      <c r="P474" s="9"/>
      <c r="Q474" s="9"/>
    </row>
    <row r="475">
      <c r="O475" s="9"/>
      <c r="P475" s="9"/>
      <c r="Q475" s="9"/>
    </row>
    <row r="476">
      <c r="O476" s="9"/>
      <c r="P476" s="9"/>
      <c r="Q476" s="9"/>
    </row>
    <row r="477">
      <c r="O477" s="9"/>
      <c r="P477" s="9"/>
      <c r="Q477" s="9"/>
    </row>
    <row r="478">
      <c r="O478" s="9"/>
      <c r="P478" s="9"/>
      <c r="Q478" s="9"/>
    </row>
    <row r="479">
      <c r="O479" s="9"/>
      <c r="P479" s="9"/>
      <c r="Q479" s="9"/>
    </row>
    <row r="480">
      <c r="O480" s="9"/>
      <c r="P480" s="9"/>
      <c r="Q480" s="9"/>
    </row>
    <row r="481">
      <c r="O481" s="9"/>
      <c r="P481" s="9"/>
      <c r="Q481" s="9"/>
    </row>
    <row r="482">
      <c r="O482" s="9"/>
      <c r="P482" s="9"/>
      <c r="Q482" s="9"/>
    </row>
    <row r="483">
      <c r="O483" s="9"/>
      <c r="P483" s="9"/>
      <c r="Q483" s="9"/>
    </row>
    <row r="484">
      <c r="O484" s="9"/>
      <c r="P484" s="9"/>
      <c r="Q484" s="9"/>
    </row>
    <row r="485">
      <c r="O485" s="9"/>
      <c r="P485" s="9"/>
      <c r="Q485" s="9"/>
    </row>
    <row r="486">
      <c r="O486" s="9"/>
      <c r="P486" s="9"/>
      <c r="Q486" s="9"/>
    </row>
    <row r="487">
      <c r="O487" s="9"/>
      <c r="P487" s="9"/>
      <c r="Q487" s="9"/>
    </row>
    <row r="488">
      <c r="O488" s="9"/>
      <c r="P488" s="9"/>
      <c r="Q488" s="9"/>
    </row>
    <row r="489">
      <c r="O489" s="9"/>
      <c r="P489" s="9"/>
      <c r="Q489" s="9"/>
    </row>
    <row r="490">
      <c r="O490" s="9"/>
      <c r="P490" s="9"/>
      <c r="Q490" s="9"/>
    </row>
    <row r="491">
      <c r="O491" s="9"/>
      <c r="P491" s="9"/>
      <c r="Q491" s="9"/>
    </row>
    <row r="492">
      <c r="O492" s="9"/>
      <c r="P492" s="9"/>
      <c r="Q492" s="9"/>
    </row>
    <row r="493">
      <c r="O493" s="9"/>
      <c r="P493" s="9"/>
      <c r="Q493" s="9"/>
    </row>
    <row r="494">
      <c r="O494" s="9"/>
      <c r="P494" s="9"/>
      <c r="Q494" s="9"/>
    </row>
    <row r="495">
      <c r="O495" s="9"/>
      <c r="P495" s="9"/>
      <c r="Q495" s="9"/>
    </row>
    <row r="496">
      <c r="O496" s="9"/>
      <c r="P496" s="9"/>
      <c r="Q496" s="9"/>
    </row>
    <row r="497">
      <c r="O497" s="9"/>
      <c r="P497" s="9"/>
      <c r="Q497" s="9"/>
    </row>
    <row r="498">
      <c r="O498" s="9"/>
      <c r="P498" s="9"/>
      <c r="Q498" s="9"/>
    </row>
    <row r="499">
      <c r="O499" s="9"/>
      <c r="P499" s="9"/>
      <c r="Q499" s="9"/>
    </row>
    <row r="500">
      <c r="O500" s="9"/>
      <c r="P500" s="9"/>
      <c r="Q500" s="9"/>
    </row>
    <row r="501">
      <c r="O501" s="9"/>
      <c r="P501" s="9"/>
      <c r="Q501" s="9"/>
    </row>
    <row r="502">
      <c r="O502" s="9"/>
      <c r="P502" s="9"/>
      <c r="Q502" s="9"/>
    </row>
    <row r="503">
      <c r="O503" s="9"/>
      <c r="P503" s="9"/>
      <c r="Q503" s="9"/>
    </row>
    <row r="504">
      <c r="O504" s="9"/>
      <c r="P504" s="9"/>
      <c r="Q504" s="9"/>
    </row>
    <row r="505">
      <c r="O505" s="9"/>
      <c r="P505" s="9"/>
      <c r="Q505" s="9"/>
    </row>
    <row r="506">
      <c r="O506" s="9"/>
      <c r="P506" s="9"/>
      <c r="Q506" s="9"/>
    </row>
    <row r="507">
      <c r="O507" s="9"/>
      <c r="P507" s="9"/>
      <c r="Q507" s="9"/>
    </row>
    <row r="508">
      <c r="O508" s="9"/>
      <c r="P508" s="9"/>
      <c r="Q508" s="9"/>
    </row>
    <row r="509">
      <c r="O509" s="9"/>
      <c r="P509" s="9"/>
      <c r="Q509" s="9"/>
    </row>
    <row r="510">
      <c r="O510" s="9"/>
      <c r="P510" s="9"/>
      <c r="Q510" s="9"/>
    </row>
    <row r="511">
      <c r="O511" s="9"/>
      <c r="P511" s="9"/>
      <c r="Q511" s="9"/>
    </row>
    <row r="512">
      <c r="O512" s="9"/>
      <c r="P512" s="9"/>
      <c r="Q512" s="9"/>
    </row>
    <row r="513">
      <c r="O513" s="9"/>
      <c r="P513" s="9"/>
      <c r="Q513" s="9"/>
    </row>
    <row r="514">
      <c r="O514" s="9"/>
      <c r="P514" s="9"/>
      <c r="Q514" s="9"/>
    </row>
    <row r="515">
      <c r="O515" s="9"/>
      <c r="P515" s="9"/>
      <c r="Q515" s="9"/>
    </row>
    <row r="516">
      <c r="O516" s="9"/>
      <c r="P516" s="9"/>
      <c r="Q516" s="9"/>
    </row>
    <row r="517">
      <c r="O517" s="9"/>
      <c r="P517" s="9"/>
      <c r="Q517" s="9"/>
    </row>
    <row r="518">
      <c r="O518" s="9"/>
      <c r="P518" s="9"/>
      <c r="Q518" s="9"/>
    </row>
    <row r="519">
      <c r="O519" s="9"/>
      <c r="P519" s="9"/>
      <c r="Q519" s="9"/>
    </row>
    <row r="520">
      <c r="O520" s="9"/>
      <c r="P520" s="9"/>
      <c r="Q520" s="9"/>
    </row>
    <row r="521">
      <c r="O521" s="9"/>
      <c r="P521" s="9"/>
      <c r="Q521" s="9"/>
    </row>
    <row r="522">
      <c r="O522" s="9"/>
      <c r="P522" s="9"/>
      <c r="Q522" s="9"/>
    </row>
    <row r="523">
      <c r="O523" s="9"/>
      <c r="P523" s="9"/>
      <c r="Q523" s="9"/>
    </row>
    <row r="524">
      <c r="O524" s="9"/>
      <c r="P524" s="9"/>
      <c r="Q524" s="9"/>
    </row>
    <row r="525">
      <c r="O525" s="9"/>
      <c r="P525" s="9"/>
      <c r="Q525" s="9"/>
    </row>
    <row r="526">
      <c r="O526" s="9"/>
      <c r="P526" s="9"/>
      <c r="Q526" s="9"/>
    </row>
    <row r="527">
      <c r="O527" s="9"/>
      <c r="P527" s="9"/>
      <c r="Q527" s="9"/>
    </row>
    <row r="528">
      <c r="O528" s="9"/>
      <c r="P528" s="9"/>
      <c r="Q528" s="9"/>
    </row>
    <row r="529">
      <c r="O529" s="9"/>
      <c r="P529" s="9"/>
      <c r="Q529" s="9"/>
    </row>
    <row r="530">
      <c r="O530" s="9"/>
      <c r="P530" s="9"/>
      <c r="Q530" s="9"/>
    </row>
    <row r="531">
      <c r="O531" s="9"/>
      <c r="P531" s="9"/>
      <c r="Q531" s="9"/>
    </row>
    <row r="532">
      <c r="O532" s="9"/>
      <c r="P532" s="9"/>
      <c r="Q532" s="9"/>
    </row>
    <row r="533">
      <c r="O533" s="9"/>
      <c r="P533" s="9"/>
      <c r="Q533" s="9"/>
    </row>
    <row r="534">
      <c r="O534" s="9"/>
      <c r="P534" s="9"/>
      <c r="Q534" s="9"/>
    </row>
    <row r="535">
      <c r="O535" s="9"/>
      <c r="P535" s="9"/>
      <c r="Q535" s="9"/>
    </row>
    <row r="536">
      <c r="O536" s="9"/>
      <c r="P536" s="9"/>
      <c r="Q536" s="9"/>
    </row>
    <row r="537">
      <c r="O537" s="9"/>
      <c r="P537" s="9"/>
      <c r="Q537" s="9"/>
    </row>
    <row r="538">
      <c r="O538" s="9"/>
      <c r="P538" s="9"/>
      <c r="Q538" s="9"/>
    </row>
    <row r="539">
      <c r="O539" s="9"/>
      <c r="P539" s="9"/>
      <c r="Q539" s="9"/>
    </row>
    <row r="540">
      <c r="O540" s="9"/>
      <c r="P540" s="9"/>
      <c r="Q540" s="9"/>
    </row>
    <row r="541">
      <c r="O541" s="9"/>
      <c r="P541" s="9"/>
      <c r="Q541" s="9"/>
    </row>
    <row r="542">
      <c r="O542" s="9"/>
      <c r="P542" s="9"/>
      <c r="Q542" s="9"/>
    </row>
    <row r="543">
      <c r="O543" s="9"/>
      <c r="P543" s="9"/>
      <c r="Q543" s="9"/>
    </row>
    <row r="544">
      <c r="O544" s="9"/>
      <c r="P544" s="9"/>
      <c r="Q544" s="9"/>
    </row>
    <row r="545">
      <c r="O545" s="9"/>
      <c r="P545" s="9"/>
      <c r="Q545" s="9"/>
    </row>
    <row r="546">
      <c r="O546" s="9"/>
      <c r="P546" s="9"/>
      <c r="Q546" s="9"/>
    </row>
    <row r="547">
      <c r="O547" s="9"/>
      <c r="P547" s="9"/>
      <c r="Q547" s="9"/>
    </row>
    <row r="548">
      <c r="O548" s="9"/>
      <c r="P548" s="9"/>
      <c r="Q548" s="9"/>
    </row>
    <row r="549">
      <c r="O549" s="9"/>
      <c r="P549" s="9"/>
      <c r="Q549" s="9"/>
    </row>
    <row r="550">
      <c r="O550" s="9"/>
      <c r="P550" s="9"/>
      <c r="Q550" s="9"/>
    </row>
    <row r="551">
      <c r="O551" s="9"/>
      <c r="P551" s="9"/>
      <c r="Q551" s="9"/>
    </row>
    <row r="552">
      <c r="O552" s="9"/>
      <c r="P552" s="9"/>
      <c r="Q552" s="9"/>
    </row>
    <row r="553">
      <c r="O553" s="9"/>
      <c r="P553" s="9"/>
      <c r="Q553" s="9"/>
    </row>
    <row r="554">
      <c r="O554" s="9"/>
      <c r="P554" s="9"/>
      <c r="Q554" s="9"/>
    </row>
    <row r="555">
      <c r="O555" s="9"/>
      <c r="P555" s="9"/>
      <c r="Q555" s="9"/>
    </row>
    <row r="556">
      <c r="O556" s="9"/>
      <c r="P556" s="9"/>
      <c r="Q556" s="9"/>
    </row>
    <row r="557">
      <c r="O557" s="9"/>
      <c r="P557" s="9"/>
      <c r="Q557" s="9"/>
    </row>
    <row r="558">
      <c r="O558" s="9"/>
      <c r="P558" s="9"/>
      <c r="Q558" s="9"/>
    </row>
    <row r="559">
      <c r="O559" s="9"/>
      <c r="P559" s="9"/>
      <c r="Q559" s="9"/>
    </row>
    <row r="560">
      <c r="O560" s="9"/>
      <c r="P560" s="9"/>
      <c r="Q560" s="9"/>
    </row>
    <row r="561">
      <c r="O561" s="9"/>
      <c r="P561" s="9"/>
      <c r="Q561" s="9"/>
    </row>
    <row r="562">
      <c r="O562" s="9"/>
      <c r="P562" s="9"/>
      <c r="Q562" s="9"/>
    </row>
    <row r="563">
      <c r="O563" s="9"/>
      <c r="P563" s="9"/>
      <c r="Q563" s="9"/>
    </row>
    <row r="564">
      <c r="O564" s="9"/>
      <c r="P564" s="9"/>
      <c r="Q564" s="9"/>
    </row>
    <row r="565">
      <c r="O565" s="9"/>
      <c r="P565" s="9"/>
      <c r="Q565" s="9"/>
    </row>
    <row r="566">
      <c r="O566" s="9"/>
      <c r="P566" s="9"/>
      <c r="Q566" s="9"/>
    </row>
    <row r="567">
      <c r="O567" s="9"/>
      <c r="P567" s="9"/>
      <c r="Q567" s="9"/>
    </row>
    <row r="568">
      <c r="O568" s="9"/>
      <c r="P568" s="9"/>
      <c r="Q568" s="9"/>
    </row>
    <row r="569">
      <c r="O569" s="9"/>
      <c r="P569" s="9"/>
      <c r="Q569" s="9"/>
    </row>
    <row r="570">
      <c r="O570" s="9"/>
      <c r="P570" s="9"/>
      <c r="Q570" s="9"/>
    </row>
    <row r="571">
      <c r="O571" s="9"/>
      <c r="P571" s="9"/>
      <c r="Q571" s="9"/>
    </row>
    <row r="572">
      <c r="O572" s="9"/>
      <c r="P572" s="9"/>
      <c r="Q572" s="9"/>
    </row>
    <row r="573">
      <c r="O573" s="9"/>
      <c r="P573" s="9"/>
      <c r="Q573" s="9"/>
    </row>
    <row r="574">
      <c r="O574" s="9"/>
      <c r="P574" s="9"/>
      <c r="Q574" s="9"/>
    </row>
    <row r="575">
      <c r="O575" s="9"/>
      <c r="P575" s="9"/>
      <c r="Q575" s="9"/>
    </row>
    <row r="576">
      <c r="O576" s="9"/>
      <c r="P576" s="9"/>
      <c r="Q576" s="9"/>
    </row>
    <row r="577">
      <c r="O577" s="9"/>
      <c r="P577" s="9"/>
      <c r="Q577" s="9"/>
    </row>
    <row r="578">
      <c r="O578" s="9"/>
      <c r="P578" s="9"/>
      <c r="Q578" s="9"/>
    </row>
    <row r="579">
      <c r="O579" s="9"/>
      <c r="P579" s="9"/>
      <c r="Q579" s="9"/>
    </row>
    <row r="580">
      <c r="O580" s="9"/>
      <c r="P580" s="9"/>
      <c r="Q580" s="9"/>
    </row>
    <row r="581">
      <c r="O581" s="9"/>
      <c r="P581" s="9"/>
      <c r="Q581" s="9"/>
    </row>
    <row r="582">
      <c r="O582" s="9"/>
      <c r="P582" s="9"/>
      <c r="Q582" s="9"/>
    </row>
    <row r="583">
      <c r="O583" s="9"/>
      <c r="P583" s="9"/>
      <c r="Q583" s="9"/>
    </row>
    <row r="584">
      <c r="O584" s="9"/>
      <c r="P584" s="9"/>
      <c r="Q584" s="9"/>
    </row>
    <row r="585">
      <c r="O585" s="9"/>
      <c r="P585" s="9"/>
      <c r="Q585" s="9"/>
    </row>
    <row r="586">
      <c r="O586" s="9"/>
      <c r="P586" s="9"/>
      <c r="Q586" s="9"/>
    </row>
    <row r="587">
      <c r="O587" s="9"/>
      <c r="P587" s="9"/>
      <c r="Q587" s="9"/>
    </row>
    <row r="588">
      <c r="O588" s="9"/>
      <c r="P588" s="9"/>
      <c r="Q588" s="9"/>
    </row>
    <row r="589">
      <c r="O589" s="9"/>
      <c r="P589" s="9"/>
      <c r="Q589" s="9"/>
    </row>
    <row r="590">
      <c r="O590" s="9"/>
      <c r="P590" s="9"/>
      <c r="Q590" s="9"/>
    </row>
    <row r="591">
      <c r="O591" s="9"/>
      <c r="P591" s="9"/>
      <c r="Q591" s="9"/>
    </row>
    <row r="592">
      <c r="O592" s="9"/>
      <c r="P592" s="9"/>
      <c r="Q592" s="9"/>
    </row>
    <row r="593">
      <c r="O593" s="9"/>
      <c r="P593" s="9"/>
      <c r="Q593" s="9"/>
    </row>
    <row r="594">
      <c r="O594" s="9"/>
      <c r="P594" s="9"/>
      <c r="Q594" s="9"/>
    </row>
    <row r="595">
      <c r="O595" s="9"/>
      <c r="P595" s="9"/>
      <c r="Q595" s="9"/>
    </row>
    <row r="596">
      <c r="O596" s="9"/>
      <c r="P596" s="9"/>
      <c r="Q596" s="9"/>
    </row>
    <row r="597">
      <c r="O597" s="9"/>
      <c r="P597" s="9"/>
      <c r="Q597" s="9"/>
    </row>
    <row r="598">
      <c r="O598" s="9"/>
      <c r="P598" s="9"/>
      <c r="Q598" s="9"/>
    </row>
    <row r="599">
      <c r="O599" s="9"/>
      <c r="P599" s="9"/>
      <c r="Q599" s="9"/>
    </row>
    <row r="600">
      <c r="O600" s="9"/>
      <c r="P600" s="9"/>
      <c r="Q600" s="9"/>
    </row>
    <row r="601">
      <c r="O601" s="9"/>
      <c r="P601" s="9"/>
      <c r="Q601" s="9"/>
    </row>
    <row r="602">
      <c r="O602" s="9"/>
      <c r="P602" s="9"/>
      <c r="Q602" s="9"/>
    </row>
    <row r="603">
      <c r="O603" s="9"/>
      <c r="P603" s="9"/>
      <c r="Q603" s="9"/>
    </row>
    <row r="604">
      <c r="O604" s="9"/>
      <c r="P604" s="9"/>
      <c r="Q604" s="9"/>
    </row>
    <row r="605">
      <c r="O605" s="9"/>
      <c r="P605" s="9"/>
      <c r="Q605" s="9"/>
    </row>
    <row r="606">
      <c r="O606" s="9"/>
      <c r="P606" s="9"/>
      <c r="Q606" s="9"/>
    </row>
    <row r="607">
      <c r="O607" s="9"/>
      <c r="P607" s="9"/>
      <c r="Q607" s="9"/>
    </row>
    <row r="608">
      <c r="O608" s="9"/>
      <c r="P608" s="9"/>
      <c r="Q608" s="9"/>
    </row>
    <row r="609">
      <c r="O609" s="9"/>
      <c r="P609" s="9"/>
      <c r="Q609" s="9"/>
    </row>
    <row r="610">
      <c r="O610" s="9"/>
      <c r="P610" s="9"/>
      <c r="Q610" s="9"/>
    </row>
    <row r="611">
      <c r="O611" s="9"/>
      <c r="P611" s="9"/>
      <c r="Q611" s="9"/>
    </row>
    <row r="612">
      <c r="O612" s="9"/>
      <c r="P612" s="9"/>
      <c r="Q612" s="9"/>
    </row>
    <row r="613">
      <c r="O613" s="9"/>
      <c r="P613" s="9"/>
      <c r="Q613" s="9"/>
    </row>
    <row r="614">
      <c r="O614" s="9"/>
      <c r="P614" s="9"/>
      <c r="Q614" s="9"/>
    </row>
    <row r="615">
      <c r="O615" s="9"/>
      <c r="P615" s="9"/>
      <c r="Q615" s="9"/>
    </row>
    <row r="616">
      <c r="O616" s="9"/>
      <c r="P616" s="9"/>
      <c r="Q616" s="9"/>
    </row>
    <row r="617">
      <c r="O617" s="9"/>
      <c r="P617" s="9"/>
      <c r="Q617" s="9"/>
    </row>
    <row r="618">
      <c r="O618" s="9"/>
      <c r="P618" s="9"/>
      <c r="Q618" s="9"/>
    </row>
    <row r="619">
      <c r="O619" s="9"/>
      <c r="P619" s="9"/>
      <c r="Q619" s="9"/>
    </row>
    <row r="620">
      <c r="O620" s="9"/>
      <c r="P620" s="9"/>
      <c r="Q620" s="9"/>
    </row>
    <row r="621">
      <c r="O621" s="9"/>
      <c r="P621" s="9"/>
      <c r="Q621" s="9"/>
    </row>
    <row r="622">
      <c r="O622" s="9"/>
      <c r="P622" s="9"/>
      <c r="Q622" s="9"/>
    </row>
    <row r="623">
      <c r="O623" s="9"/>
      <c r="P623" s="9"/>
      <c r="Q623" s="9"/>
    </row>
    <row r="624">
      <c r="O624" s="9"/>
      <c r="P624" s="9"/>
      <c r="Q624" s="9"/>
    </row>
    <row r="625">
      <c r="O625" s="9"/>
      <c r="P625" s="9"/>
      <c r="Q625" s="9"/>
    </row>
    <row r="626">
      <c r="O626" s="9"/>
      <c r="P626" s="9"/>
      <c r="Q626" s="9"/>
    </row>
    <row r="627">
      <c r="O627" s="9"/>
      <c r="P627" s="9"/>
      <c r="Q627" s="9"/>
    </row>
    <row r="628">
      <c r="O628" s="9"/>
      <c r="P628" s="9"/>
      <c r="Q628" s="9"/>
    </row>
    <row r="629">
      <c r="O629" s="9"/>
      <c r="P629" s="9"/>
      <c r="Q629" s="9"/>
    </row>
    <row r="630">
      <c r="O630" s="9"/>
      <c r="P630" s="9"/>
      <c r="Q630" s="9"/>
    </row>
    <row r="631">
      <c r="O631" s="9"/>
      <c r="P631" s="9"/>
      <c r="Q631" s="9"/>
    </row>
    <row r="632">
      <c r="O632" s="9"/>
      <c r="P632" s="9"/>
      <c r="Q632" s="9"/>
    </row>
    <row r="633">
      <c r="O633" s="9"/>
      <c r="P633" s="9"/>
      <c r="Q633" s="9"/>
    </row>
    <row r="634">
      <c r="O634" s="9"/>
      <c r="P634" s="9"/>
      <c r="Q634" s="9"/>
    </row>
    <row r="635">
      <c r="O635" s="9"/>
      <c r="P635" s="9"/>
      <c r="Q635" s="9"/>
    </row>
    <row r="636">
      <c r="O636" s="9"/>
      <c r="P636" s="9"/>
      <c r="Q636" s="9"/>
    </row>
    <row r="637">
      <c r="O637" s="9"/>
      <c r="P637" s="9"/>
      <c r="Q637" s="9"/>
    </row>
    <row r="638">
      <c r="O638" s="9"/>
      <c r="P638" s="9"/>
      <c r="Q638" s="9"/>
    </row>
    <row r="639">
      <c r="O639" s="9"/>
      <c r="P639" s="9"/>
      <c r="Q639" s="9"/>
    </row>
    <row r="640">
      <c r="O640" s="9"/>
      <c r="P640" s="9"/>
      <c r="Q640" s="9"/>
    </row>
    <row r="641">
      <c r="O641" s="9"/>
      <c r="P641" s="9"/>
      <c r="Q641" s="9"/>
    </row>
    <row r="642">
      <c r="O642" s="9"/>
      <c r="P642" s="9"/>
      <c r="Q642" s="9"/>
    </row>
    <row r="643">
      <c r="O643" s="9"/>
      <c r="P643" s="9"/>
      <c r="Q643" s="9"/>
    </row>
    <row r="644">
      <c r="O644" s="9"/>
      <c r="P644" s="9"/>
      <c r="Q644" s="9"/>
    </row>
    <row r="645">
      <c r="O645" s="9"/>
      <c r="P645" s="9"/>
      <c r="Q645" s="9"/>
    </row>
    <row r="646">
      <c r="O646" s="9"/>
      <c r="P646" s="9"/>
      <c r="Q646" s="9"/>
    </row>
    <row r="647">
      <c r="O647" s="9"/>
      <c r="P647" s="9"/>
      <c r="Q647" s="9"/>
    </row>
    <row r="648">
      <c r="O648" s="9"/>
      <c r="P648" s="9"/>
      <c r="Q648" s="9"/>
    </row>
    <row r="649">
      <c r="O649" s="9"/>
      <c r="P649" s="9"/>
      <c r="Q649" s="9"/>
    </row>
    <row r="650">
      <c r="O650" s="9"/>
      <c r="P650" s="9"/>
      <c r="Q650" s="9"/>
    </row>
    <row r="651">
      <c r="O651" s="9"/>
      <c r="P651" s="9"/>
      <c r="Q651" s="9"/>
    </row>
    <row r="652">
      <c r="O652" s="9"/>
      <c r="P652" s="9"/>
      <c r="Q652" s="9"/>
    </row>
    <row r="653">
      <c r="O653" s="9"/>
      <c r="P653" s="9"/>
      <c r="Q653" s="9"/>
    </row>
    <row r="654">
      <c r="O654" s="9"/>
      <c r="P654" s="9"/>
      <c r="Q654" s="9"/>
    </row>
    <row r="655">
      <c r="O655" s="9"/>
      <c r="P655" s="9"/>
      <c r="Q655" s="9"/>
    </row>
    <row r="656">
      <c r="O656" s="9"/>
      <c r="P656" s="9"/>
      <c r="Q656" s="9"/>
    </row>
    <row r="657">
      <c r="O657" s="9"/>
      <c r="P657" s="9"/>
      <c r="Q657" s="9"/>
    </row>
    <row r="658">
      <c r="O658" s="9"/>
      <c r="P658" s="9"/>
      <c r="Q658" s="9"/>
    </row>
    <row r="659">
      <c r="O659" s="9"/>
      <c r="P659" s="9"/>
      <c r="Q659" s="9"/>
    </row>
    <row r="660">
      <c r="O660" s="9"/>
      <c r="P660" s="9"/>
      <c r="Q660" s="9"/>
    </row>
    <row r="661">
      <c r="O661" s="9"/>
      <c r="P661" s="9"/>
      <c r="Q661" s="9"/>
    </row>
    <row r="662">
      <c r="O662" s="9"/>
      <c r="P662" s="9"/>
      <c r="Q662" s="9"/>
    </row>
    <row r="663">
      <c r="O663" s="9"/>
      <c r="P663" s="9"/>
      <c r="Q663" s="9"/>
    </row>
    <row r="664">
      <c r="O664" s="9"/>
      <c r="P664" s="9"/>
      <c r="Q664" s="9"/>
    </row>
    <row r="665">
      <c r="O665" s="9"/>
      <c r="P665" s="9"/>
      <c r="Q665" s="9"/>
    </row>
    <row r="666">
      <c r="O666" s="9"/>
      <c r="P666" s="9"/>
      <c r="Q666" s="9"/>
    </row>
    <row r="667">
      <c r="O667" s="9"/>
      <c r="P667" s="9"/>
      <c r="Q667" s="9"/>
    </row>
    <row r="668">
      <c r="O668" s="9"/>
      <c r="P668" s="9"/>
      <c r="Q668" s="9"/>
    </row>
    <row r="669">
      <c r="O669" s="9"/>
      <c r="P669" s="9"/>
      <c r="Q669" s="9"/>
    </row>
    <row r="670">
      <c r="O670" s="9"/>
      <c r="P670" s="9"/>
      <c r="Q670" s="9"/>
    </row>
    <row r="671">
      <c r="O671" s="9"/>
      <c r="P671" s="9"/>
      <c r="Q671" s="9"/>
    </row>
    <row r="672">
      <c r="O672" s="9"/>
      <c r="P672" s="9"/>
      <c r="Q672" s="9"/>
    </row>
    <row r="673">
      <c r="O673" s="9"/>
      <c r="P673" s="9"/>
      <c r="Q673" s="9"/>
    </row>
    <row r="674">
      <c r="O674" s="9"/>
      <c r="P674" s="9"/>
      <c r="Q674" s="9"/>
    </row>
    <row r="675">
      <c r="O675" s="9"/>
      <c r="P675" s="9"/>
      <c r="Q675" s="9"/>
    </row>
    <row r="676">
      <c r="O676" s="9"/>
      <c r="P676" s="9"/>
      <c r="Q676" s="9"/>
    </row>
    <row r="677">
      <c r="O677" s="9"/>
      <c r="P677" s="9"/>
      <c r="Q677" s="9"/>
    </row>
    <row r="678">
      <c r="O678" s="9"/>
      <c r="P678" s="9"/>
      <c r="Q678" s="9"/>
    </row>
    <row r="679">
      <c r="O679" s="9"/>
      <c r="P679" s="9"/>
      <c r="Q679" s="9"/>
    </row>
    <row r="680">
      <c r="O680" s="9"/>
      <c r="P680" s="9"/>
      <c r="Q680" s="9"/>
    </row>
    <row r="681">
      <c r="O681" s="9"/>
      <c r="P681" s="9"/>
      <c r="Q681" s="9"/>
    </row>
    <row r="682">
      <c r="O682" s="9"/>
      <c r="P682" s="9"/>
      <c r="Q682" s="9"/>
    </row>
    <row r="683">
      <c r="O683" s="9"/>
      <c r="P683" s="9"/>
      <c r="Q683" s="9"/>
    </row>
    <row r="684">
      <c r="O684" s="9"/>
      <c r="P684" s="9"/>
      <c r="Q684" s="9"/>
    </row>
    <row r="685">
      <c r="O685" s="9"/>
      <c r="P685" s="9"/>
      <c r="Q685" s="9"/>
    </row>
    <row r="686">
      <c r="O686" s="9"/>
      <c r="P686" s="9"/>
      <c r="Q686" s="9"/>
    </row>
    <row r="687">
      <c r="O687" s="9"/>
      <c r="P687" s="9"/>
      <c r="Q687" s="9"/>
    </row>
    <row r="688">
      <c r="O688" s="9"/>
      <c r="P688" s="9"/>
      <c r="Q688" s="9"/>
    </row>
    <row r="689">
      <c r="O689" s="9"/>
      <c r="P689" s="9"/>
      <c r="Q689" s="9"/>
    </row>
    <row r="690">
      <c r="O690" s="9"/>
      <c r="P690" s="9"/>
      <c r="Q690" s="9"/>
    </row>
    <row r="691">
      <c r="O691" s="9"/>
      <c r="P691" s="9"/>
      <c r="Q691" s="9"/>
    </row>
    <row r="692">
      <c r="O692" s="9"/>
      <c r="P692" s="9"/>
      <c r="Q692" s="9"/>
    </row>
    <row r="693">
      <c r="O693" s="9"/>
      <c r="P693" s="9"/>
      <c r="Q693" s="9"/>
    </row>
    <row r="694">
      <c r="O694" s="9"/>
      <c r="P694" s="9"/>
      <c r="Q694" s="9"/>
    </row>
    <row r="695">
      <c r="O695" s="9"/>
      <c r="P695" s="9"/>
      <c r="Q695" s="9"/>
    </row>
    <row r="696">
      <c r="O696" s="9"/>
      <c r="P696" s="9"/>
      <c r="Q696" s="9"/>
    </row>
    <row r="697">
      <c r="O697" s="9"/>
      <c r="P697" s="9"/>
      <c r="Q697" s="9"/>
    </row>
    <row r="698">
      <c r="O698" s="9"/>
      <c r="P698" s="9"/>
      <c r="Q698" s="9"/>
    </row>
    <row r="699">
      <c r="O699" s="9"/>
      <c r="P699" s="9"/>
      <c r="Q699" s="9"/>
    </row>
    <row r="700">
      <c r="O700" s="9"/>
      <c r="P700" s="9"/>
      <c r="Q700" s="9"/>
    </row>
    <row r="701">
      <c r="O701" s="9"/>
      <c r="P701" s="9"/>
      <c r="Q701" s="9"/>
    </row>
    <row r="702">
      <c r="O702" s="9"/>
      <c r="P702" s="9"/>
      <c r="Q702" s="9"/>
    </row>
    <row r="703">
      <c r="O703" s="9"/>
      <c r="P703" s="9"/>
      <c r="Q703" s="9"/>
    </row>
    <row r="704">
      <c r="O704" s="9"/>
      <c r="P704" s="9"/>
      <c r="Q704" s="9"/>
    </row>
    <row r="705">
      <c r="O705" s="9"/>
      <c r="P705" s="9"/>
      <c r="Q705" s="9"/>
    </row>
    <row r="706">
      <c r="O706" s="9"/>
      <c r="P706" s="9"/>
      <c r="Q706" s="9"/>
    </row>
    <row r="707">
      <c r="O707" s="9"/>
      <c r="P707" s="9"/>
      <c r="Q707" s="9"/>
    </row>
    <row r="708">
      <c r="O708" s="9"/>
      <c r="P708" s="9"/>
      <c r="Q708" s="9"/>
    </row>
    <row r="709">
      <c r="O709" s="9"/>
      <c r="P709" s="9"/>
      <c r="Q709" s="9"/>
    </row>
    <row r="710">
      <c r="O710" s="9"/>
      <c r="P710" s="9"/>
      <c r="Q710" s="9"/>
    </row>
    <row r="711">
      <c r="O711" s="9"/>
      <c r="P711" s="9"/>
      <c r="Q711" s="9"/>
    </row>
    <row r="712">
      <c r="O712" s="9"/>
      <c r="P712" s="9"/>
      <c r="Q712" s="9"/>
    </row>
    <row r="713">
      <c r="O713" s="9"/>
      <c r="P713" s="9"/>
      <c r="Q713" s="9"/>
    </row>
    <row r="714">
      <c r="O714" s="9"/>
      <c r="P714" s="9"/>
      <c r="Q714" s="9"/>
    </row>
    <row r="715">
      <c r="O715" s="9"/>
      <c r="P715" s="9"/>
      <c r="Q715" s="9"/>
    </row>
    <row r="716">
      <c r="O716" s="9"/>
      <c r="P716" s="9"/>
      <c r="Q716" s="9"/>
    </row>
    <row r="717">
      <c r="O717" s="9"/>
      <c r="P717" s="9"/>
      <c r="Q717" s="9"/>
    </row>
    <row r="718">
      <c r="O718" s="9"/>
      <c r="P718" s="9"/>
      <c r="Q718" s="9"/>
    </row>
    <row r="719">
      <c r="O719" s="9"/>
      <c r="P719" s="9"/>
      <c r="Q719" s="9"/>
    </row>
    <row r="720">
      <c r="O720" s="9"/>
      <c r="P720" s="9"/>
      <c r="Q720" s="9"/>
    </row>
    <row r="721">
      <c r="O721" s="9"/>
      <c r="P721" s="9"/>
      <c r="Q721" s="9"/>
    </row>
    <row r="722">
      <c r="O722" s="9"/>
      <c r="P722" s="9"/>
      <c r="Q722" s="9"/>
    </row>
    <row r="723">
      <c r="O723" s="9"/>
      <c r="P723" s="9"/>
      <c r="Q723" s="9"/>
    </row>
    <row r="724">
      <c r="O724" s="9"/>
      <c r="P724" s="9"/>
      <c r="Q724" s="9"/>
    </row>
    <row r="725">
      <c r="O725" s="9"/>
      <c r="P725" s="9"/>
      <c r="Q725" s="9"/>
    </row>
    <row r="726">
      <c r="O726" s="9"/>
      <c r="P726" s="9"/>
      <c r="Q726" s="9"/>
    </row>
    <row r="727">
      <c r="O727" s="9"/>
      <c r="P727" s="9"/>
      <c r="Q727" s="9"/>
    </row>
    <row r="728">
      <c r="O728" s="9"/>
      <c r="P728" s="9"/>
      <c r="Q728" s="9"/>
    </row>
    <row r="729">
      <c r="O729" s="9"/>
      <c r="P729" s="9"/>
      <c r="Q729" s="9"/>
    </row>
    <row r="730">
      <c r="O730" s="9"/>
      <c r="P730" s="9"/>
      <c r="Q730" s="9"/>
    </row>
    <row r="731">
      <c r="O731" s="9"/>
      <c r="P731" s="9"/>
      <c r="Q731" s="9"/>
    </row>
    <row r="732">
      <c r="O732" s="9"/>
      <c r="P732" s="9"/>
      <c r="Q732" s="9"/>
    </row>
    <row r="733">
      <c r="O733" s="9"/>
      <c r="P733" s="9"/>
      <c r="Q733" s="9"/>
    </row>
    <row r="734">
      <c r="O734" s="9"/>
      <c r="P734" s="9"/>
      <c r="Q734" s="9"/>
    </row>
    <row r="735">
      <c r="O735" s="9"/>
      <c r="P735" s="9"/>
      <c r="Q735" s="9"/>
    </row>
    <row r="736">
      <c r="O736" s="9"/>
      <c r="P736" s="9"/>
      <c r="Q736" s="9"/>
    </row>
    <row r="737">
      <c r="O737" s="9"/>
      <c r="P737" s="9"/>
      <c r="Q737" s="9"/>
    </row>
    <row r="738">
      <c r="O738" s="9"/>
      <c r="P738" s="9"/>
      <c r="Q738" s="9"/>
    </row>
    <row r="739">
      <c r="O739" s="9"/>
      <c r="P739" s="9"/>
      <c r="Q739" s="9"/>
    </row>
    <row r="740">
      <c r="O740" s="9"/>
      <c r="P740" s="9"/>
      <c r="Q740" s="9"/>
    </row>
    <row r="741">
      <c r="O741" s="9"/>
      <c r="P741" s="9"/>
      <c r="Q741" s="9"/>
    </row>
    <row r="742">
      <c r="O742" s="9"/>
      <c r="P742" s="9"/>
      <c r="Q742" s="9"/>
    </row>
    <row r="743">
      <c r="O743" s="9"/>
      <c r="P743" s="9"/>
      <c r="Q743" s="9"/>
    </row>
    <row r="744">
      <c r="O744" s="9"/>
      <c r="P744" s="9"/>
      <c r="Q744" s="9"/>
    </row>
    <row r="745">
      <c r="O745" s="9"/>
      <c r="P745" s="9"/>
      <c r="Q745" s="9"/>
    </row>
    <row r="746">
      <c r="O746" s="9"/>
      <c r="P746" s="9"/>
      <c r="Q746" s="9"/>
    </row>
    <row r="747">
      <c r="O747" s="9"/>
      <c r="P747" s="9"/>
      <c r="Q747" s="9"/>
    </row>
    <row r="748">
      <c r="O748" s="9"/>
      <c r="P748" s="9"/>
      <c r="Q748" s="9"/>
    </row>
    <row r="749">
      <c r="O749" s="9"/>
      <c r="P749" s="9"/>
      <c r="Q749" s="9"/>
    </row>
    <row r="750">
      <c r="O750" s="9"/>
      <c r="P750" s="9"/>
      <c r="Q750" s="9"/>
    </row>
    <row r="751">
      <c r="O751" s="9"/>
      <c r="P751" s="9"/>
      <c r="Q751" s="9"/>
    </row>
    <row r="752">
      <c r="O752" s="9"/>
      <c r="P752" s="9"/>
      <c r="Q752" s="9"/>
    </row>
    <row r="753">
      <c r="O753" s="9"/>
      <c r="P753" s="9"/>
      <c r="Q753" s="9"/>
    </row>
    <row r="754">
      <c r="O754" s="9"/>
      <c r="P754" s="9"/>
      <c r="Q754" s="9"/>
    </row>
    <row r="755">
      <c r="O755" s="9"/>
      <c r="P755" s="9"/>
      <c r="Q755" s="9"/>
    </row>
    <row r="756">
      <c r="O756" s="9"/>
      <c r="P756" s="9"/>
      <c r="Q756" s="9"/>
    </row>
    <row r="757">
      <c r="O757" s="9"/>
      <c r="P757" s="9"/>
      <c r="Q757" s="9"/>
    </row>
    <row r="758">
      <c r="O758" s="9"/>
      <c r="P758" s="9"/>
      <c r="Q758" s="9"/>
    </row>
    <row r="759">
      <c r="O759" s="9"/>
      <c r="P759" s="9"/>
      <c r="Q759" s="9"/>
    </row>
    <row r="760">
      <c r="O760" s="9"/>
      <c r="P760" s="9"/>
      <c r="Q760" s="9"/>
    </row>
    <row r="761">
      <c r="O761" s="9"/>
      <c r="P761" s="9"/>
      <c r="Q761" s="9"/>
    </row>
    <row r="762">
      <c r="O762" s="9"/>
      <c r="P762" s="9"/>
      <c r="Q762" s="9"/>
    </row>
    <row r="763">
      <c r="O763" s="9"/>
      <c r="P763" s="9"/>
      <c r="Q763" s="9"/>
    </row>
    <row r="764">
      <c r="O764" s="9"/>
      <c r="P764" s="9"/>
      <c r="Q764" s="9"/>
    </row>
    <row r="765">
      <c r="O765" s="9"/>
      <c r="P765" s="9"/>
      <c r="Q765" s="9"/>
    </row>
    <row r="766">
      <c r="O766" s="9"/>
      <c r="P766" s="9"/>
      <c r="Q766" s="9"/>
    </row>
    <row r="767">
      <c r="O767" s="9"/>
      <c r="P767" s="9"/>
      <c r="Q767" s="9"/>
    </row>
    <row r="768">
      <c r="O768" s="9"/>
      <c r="P768" s="9"/>
      <c r="Q768" s="9"/>
    </row>
    <row r="769">
      <c r="O769" s="9"/>
      <c r="P769" s="9"/>
      <c r="Q769" s="9"/>
    </row>
    <row r="770">
      <c r="O770" s="9"/>
      <c r="P770" s="9"/>
      <c r="Q770" s="9"/>
    </row>
    <row r="771">
      <c r="O771" s="9"/>
      <c r="P771" s="9"/>
      <c r="Q771" s="9"/>
    </row>
    <row r="772">
      <c r="O772" s="9"/>
      <c r="P772" s="9"/>
      <c r="Q772" s="9"/>
    </row>
    <row r="773">
      <c r="O773" s="9"/>
      <c r="P773" s="9"/>
      <c r="Q773" s="9"/>
    </row>
    <row r="774">
      <c r="O774" s="9"/>
      <c r="P774" s="9"/>
      <c r="Q774" s="9"/>
    </row>
    <row r="775">
      <c r="O775" s="9"/>
      <c r="P775" s="9"/>
      <c r="Q775" s="9"/>
    </row>
    <row r="776">
      <c r="O776" s="9"/>
      <c r="P776" s="9"/>
      <c r="Q776" s="9"/>
    </row>
    <row r="777">
      <c r="O777" s="9"/>
      <c r="P777" s="9"/>
      <c r="Q777" s="9"/>
    </row>
    <row r="778">
      <c r="O778" s="9"/>
      <c r="P778" s="9"/>
      <c r="Q778" s="9"/>
    </row>
    <row r="779">
      <c r="O779" s="9"/>
      <c r="P779" s="9"/>
      <c r="Q779" s="9"/>
    </row>
    <row r="780">
      <c r="O780" s="9"/>
      <c r="P780" s="9"/>
      <c r="Q780" s="9"/>
    </row>
    <row r="781">
      <c r="O781" s="9"/>
      <c r="P781" s="9"/>
      <c r="Q781" s="9"/>
    </row>
    <row r="782">
      <c r="O782" s="9"/>
      <c r="P782" s="9"/>
      <c r="Q782" s="9"/>
    </row>
    <row r="783">
      <c r="O783" s="9"/>
      <c r="P783" s="9"/>
      <c r="Q783" s="9"/>
    </row>
    <row r="784">
      <c r="O784" s="9"/>
      <c r="P784" s="9"/>
      <c r="Q784" s="9"/>
    </row>
    <row r="785">
      <c r="O785" s="9"/>
      <c r="P785" s="9"/>
      <c r="Q785" s="9"/>
    </row>
    <row r="786">
      <c r="O786" s="9"/>
      <c r="P786" s="9"/>
      <c r="Q786" s="9"/>
    </row>
    <row r="787">
      <c r="O787" s="9"/>
      <c r="P787" s="9"/>
      <c r="Q787" s="9"/>
    </row>
    <row r="788">
      <c r="O788" s="9"/>
      <c r="P788" s="9"/>
      <c r="Q788" s="9"/>
    </row>
    <row r="789">
      <c r="O789" s="9"/>
      <c r="P789" s="9"/>
      <c r="Q789" s="9"/>
    </row>
    <row r="790">
      <c r="O790" s="9"/>
      <c r="P790" s="9"/>
      <c r="Q790" s="9"/>
    </row>
    <row r="791">
      <c r="O791" s="9"/>
      <c r="P791" s="9"/>
      <c r="Q791" s="9"/>
    </row>
    <row r="792">
      <c r="O792" s="9"/>
      <c r="P792" s="9"/>
      <c r="Q792" s="9"/>
    </row>
    <row r="793">
      <c r="O793" s="9"/>
      <c r="P793" s="9"/>
      <c r="Q793" s="9"/>
    </row>
    <row r="794">
      <c r="O794" s="9"/>
      <c r="P794" s="9"/>
      <c r="Q794" s="9"/>
    </row>
    <row r="795">
      <c r="O795" s="9"/>
      <c r="P795" s="9"/>
      <c r="Q795" s="9"/>
    </row>
    <row r="796">
      <c r="O796" s="9"/>
      <c r="P796" s="9"/>
      <c r="Q796" s="9"/>
    </row>
    <row r="797">
      <c r="O797" s="9"/>
      <c r="P797" s="9"/>
      <c r="Q797" s="9"/>
    </row>
    <row r="798">
      <c r="O798" s="9"/>
      <c r="P798" s="9"/>
      <c r="Q798" s="9"/>
    </row>
    <row r="799">
      <c r="O799" s="9"/>
      <c r="P799" s="9"/>
      <c r="Q799" s="9"/>
    </row>
    <row r="800">
      <c r="O800" s="9"/>
      <c r="P800" s="9"/>
      <c r="Q800" s="9"/>
    </row>
    <row r="801">
      <c r="O801" s="9"/>
      <c r="P801" s="9"/>
      <c r="Q801" s="9"/>
    </row>
    <row r="802">
      <c r="O802" s="9"/>
      <c r="P802" s="9"/>
      <c r="Q802" s="9"/>
    </row>
    <row r="803">
      <c r="O803" s="9"/>
      <c r="P803" s="9"/>
      <c r="Q803" s="9"/>
    </row>
    <row r="804">
      <c r="O804" s="9"/>
      <c r="P804" s="9"/>
      <c r="Q804" s="9"/>
    </row>
    <row r="805">
      <c r="O805" s="9"/>
      <c r="P805" s="9"/>
      <c r="Q805" s="9"/>
    </row>
    <row r="806">
      <c r="O806" s="9"/>
      <c r="P806" s="9"/>
      <c r="Q806" s="9"/>
    </row>
    <row r="807">
      <c r="O807" s="9"/>
      <c r="P807" s="9"/>
      <c r="Q807" s="9"/>
    </row>
    <row r="808">
      <c r="O808" s="9"/>
      <c r="P808" s="9"/>
      <c r="Q808" s="9"/>
    </row>
    <row r="809">
      <c r="O809" s="9"/>
      <c r="P809" s="9"/>
      <c r="Q809" s="9"/>
    </row>
    <row r="810">
      <c r="O810" s="9"/>
      <c r="P810" s="9"/>
      <c r="Q810" s="9"/>
    </row>
    <row r="811">
      <c r="O811" s="9"/>
      <c r="P811" s="9"/>
      <c r="Q811" s="9"/>
    </row>
    <row r="812">
      <c r="O812" s="9"/>
      <c r="P812" s="9"/>
      <c r="Q812" s="9"/>
    </row>
    <row r="813">
      <c r="O813" s="9"/>
      <c r="P813" s="9"/>
      <c r="Q813" s="9"/>
    </row>
    <row r="814">
      <c r="O814" s="9"/>
      <c r="P814" s="9"/>
      <c r="Q814" s="9"/>
    </row>
    <row r="815">
      <c r="O815" s="9"/>
      <c r="P815" s="9"/>
      <c r="Q815" s="9"/>
    </row>
    <row r="816">
      <c r="O816" s="9"/>
      <c r="P816" s="9"/>
      <c r="Q816" s="9"/>
    </row>
    <row r="817">
      <c r="O817" s="9"/>
      <c r="P817" s="9"/>
      <c r="Q817" s="9"/>
    </row>
    <row r="818">
      <c r="O818" s="9"/>
      <c r="P818" s="9"/>
      <c r="Q818" s="9"/>
    </row>
    <row r="819">
      <c r="O819" s="9"/>
      <c r="P819" s="9"/>
      <c r="Q819" s="9"/>
    </row>
    <row r="820">
      <c r="O820" s="9"/>
      <c r="P820" s="9"/>
      <c r="Q820" s="9"/>
    </row>
    <row r="821">
      <c r="O821" s="9"/>
      <c r="P821" s="9"/>
      <c r="Q821" s="9"/>
    </row>
    <row r="822">
      <c r="O822" s="9"/>
      <c r="P822" s="9"/>
      <c r="Q822" s="9"/>
    </row>
    <row r="823">
      <c r="O823" s="9"/>
      <c r="P823" s="9"/>
      <c r="Q823" s="9"/>
    </row>
    <row r="824">
      <c r="O824" s="9"/>
      <c r="P824" s="9"/>
      <c r="Q824" s="9"/>
    </row>
    <row r="825">
      <c r="O825" s="9"/>
      <c r="P825" s="9"/>
      <c r="Q825" s="9"/>
    </row>
    <row r="826">
      <c r="O826" s="9"/>
      <c r="P826" s="9"/>
      <c r="Q826" s="9"/>
    </row>
    <row r="827">
      <c r="O827" s="9"/>
      <c r="P827" s="9"/>
      <c r="Q827" s="9"/>
    </row>
    <row r="828">
      <c r="O828" s="9"/>
      <c r="P828" s="9"/>
      <c r="Q828" s="9"/>
    </row>
    <row r="829">
      <c r="O829" s="9"/>
      <c r="P829" s="9"/>
      <c r="Q829" s="9"/>
    </row>
    <row r="830">
      <c r="O830" s="9"/>
      <c r="P830" s="9"/>
      <c r="Q830" s="9"/>
    </row>
    <row r="831">
      <c r="O831" s="9"/>
      <c r="P831" s="9"/>
      <c r="Q831" s="9"/>
    </row>
    <row r="832">
      <c r="O832" s="9"/>
      <c r="P832" s="9"/>
      <c r="Q832" s="9"/>
    </row>
    <row r="833">
      <c r="O833" s="9"/>
      <c r="P833" s="9"/>
      <c r="Q833" s="9"/>
    </row>
    <row r="834">
      <c r="O834" s="9"/>
      <c r="P834" s="9"/>
      <c r="Q834" s="9"/>
    </row>
    <row r="835">
      <c r="O835" s="9"/>
      <c r="P835" s="9"/>
      <c r="Q835" s="9"/>
    </row>
    <row r="836">
      <c r="O836" s="9"/>
      <c r="P836" s="9"/>
      <c r="Q836" s="9"/>
    </row>
    <row r="837">
      <c r="O837" s="9"/>
      <c r="P837" s="9"/>
      <c r="Q837" s="9"/>
    </row>
    <row r="838">
      <c r="O838" s="9"/>
      <c r="P838" s="9"/>
      <c r="Q838" s="9"/>
    </row>
    <row r="839">
      <c r="O839" s="9"/>
      <c r="P839" s="9"/>
      <c r="Q839" s="9"/>
    </row>
    <row r="840">
      <c r="O840" s="9"/>
      <c r="P840" s="9"/>
      <c r="Q840" s="9"/>
    </row>
    <row r="841">
      <c r="O841" s="9"/>
      <c r="P841" s="9"/>
      <c r="Q841" s="9"/>
    </row>
    <row r="842">
      <c r="O842" s="9"/>
      <c r="P842" s="9"/>
      <c r="Q842" s="9"/>
    </row>
    <row r="843">
      <c r="O843" s="9"/>
      <c r="P843" s="9"/>
      <c r="Q843" s="9"/>
    </row>
    <row r="844">
      <c r="O844" s="9"/>
      <c r="P844" s="9"/>
      <c r="Q844" s="9"/>
    </row>
    <row r="845">
      <c r="O845" s="9"/>
      <c r="P845" s="9"/>
      <c r="Q845" s="9"/>
    </row>
    <row r="846">
      <c r="O846" s="9"/>
      <c r="P846" s="9"/>
      <c r="Q846" s="9"/>
    </row>
    <row r="847">
      <c r="O847" s="9"/>
      <c r="P847" s="9"/>
      <c r="Q847" s="9"/>
    </row>
    <row r="848">
      <c r="O848" s="9"/>
      <c r="P848" s="9"/>
      <c r="Q848" s="9"/>
    </row>
    <row r="849">
      <c r="O849" s="9"/>
      <c r="P849" s="9"/>
      <c r="Q849" s="9"/>
    </row>
    <row r="850">
      <c r="O850" s="9"/>
      <c r="P850" s="9"/>
      <c r="Q850" s="9"/>
    </row>
    <row r="851">
      <c r="O851" s="9"/>
      <c r="P851" s="9"/>
      <c r="Q851" s="9"/>
    </row>
    <row r="852">
      <c r="O852" s="9"/>
      <c r="P852" s="9"/>
      <c r="Q852" s="9"/>
    </row>
    <row r="853">
      <c r="O853" s="9"/>
      <c r="P853" s="9"/>
      <c r="Q853" s="9"/>
    </row>
    <row r="854">
      <c r="O854" s="9"/>
      <c r="P854" s="9"/>
      <c r="Q854" s="9"/>
    </row>
    <row r="855">
      <c r="O855" s="9"/>
      <c r="P855" s="9"/>
      <c r="Q855" s="9"/>
    </row>
    <row r="856">
      <c r="O856" s="9"/>
      <c r="P856" s="9"/>
      <c r="Q856" s="9"/>
    </row>
    <row r="857">
      <c r="O857" s="9"/>
      <c r="P857" s="9"/>
      <c r="Q857" s="9"/>
    </row>
    <row r="858">
      <c r="O858" s="9"/>
      <c r="P858" s="9"/>
      <c r="Q858" s="9"/>
    </row>
    <row r="859">
      <c r="O859" s="9"/>
      <c r="P859" s="9"/>
      <c r="Q859" s="9"/>
    </row>
    <row r="860">
      <c r="O860" s="9"/>
      <c r="P860" s="9"/>
      <c r="Q860" s="9"/>
    </row>
    <row r="861">
      <c r="O861" s="9"/>
      <c r="P861" s="9"/>
      <c r="Q861" s="9"/>
    </row>
    <row r="862">
      <c r="O862" s="9"/>
      <c r="P862" s="9"/>
      <c r="Q862" s="9"/>
    </row>
    <row r="863">
      <c r="O863" s="9"/>
      <c r="P863" s="9"/>
      <c r="Q863" s="9"/>
    </row>
    <row r="864">
      <c r="O864" s="9"/>
      <c r="P864" s="9"/>
      <c r="Q864" s="9"/>
    </row>
    <row r="865">
      <c r="O865" s="9"/>
      <c r="P865" s="9"/>
      <c r="Q865" s="9"/>
    </row>
    <row r="866">
      <c r="O866" s="9"/>
      <c r="P866" s="9"/>
      <c r="Q866" s="9"/>
    </row>
    <row r="867">
      <c r="O867" s="9"/>
      <c r="P867" s="9"/>
      <c r="Q867" s="9"/>
    </row>
    <row r="868">
      <c r="O868" s="9"/>
      <c r="P868" s="9"/>
      <c r="Q868" s="9"/>
    </row>
    <row r="869">
      <c r="O869" s="9"/>
      <c r="P869" s="9"/>
      <c r="Q869" s="9"/>
    </row>
    <row r="870">
      <c r="O870" s="9"/>
      <c r="P870" s="9"/>
      <c r="Q870" s="9"/>
    </row>
    <row r="871">
      <c r="O871" s="9"/>
      <c r="P871" s="9"/>
      <c r="Q871" s="9"/>
    </row>
    <row r="872">
      <c r="O872" s="9"/>
      <c r="P872" s="9"/>
      <c r="Q872" s="9"/>
    </row>
    <row r="873">
      <c r="O873" s="9"/>
      <c r="P873" s="9"/>
      <c r="Q873" s="9"/>
    </row>
    <row r="874">
      <c r="O874" s="9"/>
      <c r="P874" s="9"/>
      <c r="Q874" s="9"/>
    </row>
    <row r="875">
      <c r="O875" s="9"/>
      <c r="P875" s="9"/>
      <c r="Q875" s="9"/>
    </row>
    <row r="876">
      <c r="O876" s="9"/>
      <c r="P876" s="9"/>
      <c r="Q876" s="9"/>
    </row>
    <row r="877">
      <c r="O877" s="9"/>
      <c r="P877" s="9"/>
      <c r="Q877" s="9"/>
    </row>
    <row r="878">
      <c r="O878" s="9"/>
      <c r="P878" s="9"/>
      <c r="Q878" s="9"/>
    </row>
    <row r="879">
      <c r="O879" s="9"/>
      <c r="P879" s="9"/>
      <c r="Q879" s="9"/>
    </row>
    <row r="880">
      <c r="O880" s="9"/>
      <c r="P880" s="9"/>
      <c r="Q880" s="9"/>
    </row>
    <row r="881">
      <c r="O881" s="9"/>
      <c r="P881" s="9"/>
      <c r="Q881" s="9"/>
    </row>
    <row r="882">
      <c r="O882" s="9"/>
      <c r="P882" s="9"/>
      <c r="Q882" s="9"/>
    </row>
    <row r="883">
      <c r="O883" s="9"/>
      <c r="P883" s="9"/>
      <c r="Q883" s="9"/>
    </row>
    <row r="884">
      <c r="O884" s="9"/>
      <c r="P884" s="9"/>
      <c r="Q884" s="9"/>
    </row>
    <row r="885">
      <c r="O885" s="9"/>
      <c r="P885" s="9"/>
      <c r="Q885" s="9"/>
    </row>
    <row r="886">
      <c r="O886" s="9"/>
      <c r="P886" s="9"/>
      <c r="Q886" s="9"/>
    </row>
    <row r="887">
      <c r="O887" s="9"/>
      <c r="P887" s="9"/>
      <c r="Q887" s="9"/>
    </row>
    <row r="888">
      <c r="O888" s="9"/>
      <c r="P888" s="9"/>
      <c r="Q888" s="9"/>
    </row>
    <row r="889">
      <c r="O889" s="9"/>
      <c r="P889" s="9"/>
      <c r="Q889" s="9"/>
    </row>
    <row r="890">
      <c r="O890" s="9"/>
      <c r="P890" s="9"/>
      <c r="Q890" s="9"/>
    </row>
    <row r="891">
      <c r="O891" s="9"/>
      <c r="P891" s="9"/>
      <c r="Q891" s="9"/>
    </row>
    <row r="892">
      <c r="O892" s="9"/>
      <c r="P892" s="9"/>
      <c r="Q892" s="9"/>
    </row>
    <row r="893">
      <c r="O893" s="9"/>
      <c r="P893" s="9"/>
      <c r="Q893" s="9"/>
    </row>
    <row r="894">
      <c r="O894" s="9"/>
      <c r="P894" s="9"/>
      <c r="Q894" s="9"/>
    </row>
    <row r="895">
      <c r="O895" s="9"/>
      <c r="P895" s="9"/>
      <c r="Q895" s="9"/>
    </row>
    <row r="896">
      <c r="O896" s="9"/>
      <c r="P896" s="9"/>
      <c r="Q896" s="9"/>
    </row>
    <row r="897">
      <c r="O897" s="9"/>
      <c r="P897" s="9"/>
      <c r="Q897" s="9"/>
    </row>
    <row r="898">
      <c r="O898" s="9"/>
      <c r="P898" s="9"/>
      <c r="Q898" s="9"/>
    </row>
    <row r="899">
      <c r="O899" s="9"/>
      <c r="P899" s="9"/>
      <c r="Q899" s="9"/>
    </row>
    <row r="900">
      <c r="O900" s="9"/>
      <c r="P900" s="9"/>
      <c r="Q900" s="9"/>
    </row>
    <row r="901">
      <c r="O901" s="9"/>
      <c r="P901" s="9"/>
      <c r="Q901" s="9"/>
    </row>
    <row r="902">
      <c r="O902" s="9"/>
      <c r="P902" s="9"/>
      <c r="Q902" s="9"/>
    </row>
    <row r="903">
      <c r="O903" s="9"/>
      <c r="P903" s="9"/>
      <c r="Q903" s="9"/>
    </row>
    <row r="904">
      <c r="O904" s="9"/>
      <c r="P904" s="9"/>
      <c r="Q904" s="9"/>
    </row>
    <row r="905">
      <c r="O905" s="9"/>
      <c r="P905" s="9"/>
      <c r="Q905" s="9"/>
    </row>
    <row r="906">
      <c r="O906" s="9"/>
      <c r="P906" s="9"/>
      <c r="Q906" s="9"/>
    </row>
    <row r="907">
      <c r="O907" s="9"/>
      <c r="P907" s="9"/>
      <c r="Q907" s="9"/>
    </row>
    <row r="908">
      <c r="O908" s="9"/>
      <c r="P908" s="9"/>
      <c r="Q908" s="9"/>
    </row>
    <row r="909">
      <c r="O909" s="9"/>
      <c r="P909" s="9"/>
      <c r="Q909" s="9"/>
    </row>
    <row r="910">
      <c r="O910" s="9"/>
      <c r="P910" s="9"/>
      <c r="Q910" s="9"/>
    </row>
    <row r="911">
      <c r="O911" s="9"/>
      <c r="P911" s="9"/>
      <c r="Q911" s="9"/>
    </row>
    <row r="912">
      <c r="O912" s="9"/>
      <c r="P912" s="9"/>
      <c r="Q912" s="9"/>
    </row>
    <row r="913">
      <c r="O913" s="9"/>
      <c r="P913" s="9"/>
      <c r="Q913" s="9"/>
    </row>
    <row r="914">
      <c r="O914" s="9"/>
      <c r="P914" s="9"/>
      <c r="Q914" s="9"/>
    </row>
    <row r="915">
      <c r="O915" s="9"/>
      <c r="P915" s="9"/>
      <c r="Q915" s="9"/>
    </row>
    <row r="916">
      <c r="O916" s="9"/>
      <c r="P916" s="9"/>
      <c r="Q916" s="9"/>
    </row>
    <row r="917">
      <c r="O917" s="9"/>
      <c r="P917" s="9"/>
      <c r="Q917" s="9"/>
    </row>
    <row r="918">
      <c r="O918" s="9"/>
      <c r="P918" s="9"/>
      <c r="Q918" s="9"/>
    </row>
    <row r="919">
      <c r="O919" s="9"/>
      <c r="P919" s="9"/>
      <c r="Q919" s="9"/>
    </row>
    <row r="920">
      <c r="O920" s="9"/>
      <c r="P920" s="9"/>
      <c r="Q920" s="9"/>
    </row>
    <row r="921">
      <c r="O921" s="9"/>
      <c r="P921" s="9"/>
      <c r="Q921" s="9"/>
    </row>
    <row r="922">
      <c r="O922" s="9"/>
      <c r="P922" s="9"/>
      <c r="Q922" s="9"/>
    </row>
    <row r="923">
      <c r="O923" s="9"/>
      <c r="P923" s="9"/>
      <c r="Q923" s="9"/>
    </row>
    <row r="924">
      <c r="O924" s="9"/>
      <c r="P924" s="9"/>
      <c r="Q924" s="9"/>
    </row>
    <row r="925">
      <c r="O925" s="9"/>
      <c r="P925" s="9"/>
      <c r="Q925" s="9"/>
    </row>
    <row r="926">
      <c r="O926" s="9"/>
      <c r="P926" s="9"/>
      <c r="Q926" s="9"/>
    </row>
    <row r="927">
      <c r="O927" s="9"/>
      <c r="P927" s="9"/>
      <c r="Q927" s="9"/>
    </row>
    <row r="928">
      <c r="O928" s="9"/>
      <c r="P928" s="9"/>
      <c r="Q928" s="9"/>
    </row>
    <row r="929">
      <c r="O929" s="9"/>
      <c r="P929" s="9"/>
      <c r="Q929" s="9"/>
    </row>
    <row r="930">
      <c r="O930" s="9"/>
      <c r="P930" s="9"/>
      <c r="Q930" s="9"/>
    </row>
    <row r="931">
      <c r="O931" s="9"/>
      <c r="P931" s="9"/>
      <c r="Q931" s="9"/>
    </row>
    <row r="932">
      <c r="O932" s="9"/>
      <c r="P932" s="9"/>
      <c r="Q932" s="9"/>
    </row>
    <row r="933">
      <c r="O933" s="9"/>
      <c r="P933" s="9"/>
      <c r="Q933" s="9"/>
    </row>
    <row r="934">
      <c r="O934" s="9"/>
      <c r="P934" s="9"/>
      <c r="Q934" s="9"/>
    </row>
    <row r="935">
      <c r="O935" s="9"/>
      <c r="P935" s="9"/>
      <c r="Q935" s="9"/>
    </row>
    <row r="936">
      <c r="O936" s="9"/>
      <c r="P936" s="9"/>
      <c r="Q936" s="9"/>
    </row>
    <row r="937">
      <c r="O937" s="9"/>
      <c r="P937" s="9"/>
      <c r="Q937" s="9"/>
    </row>
    <row r="938">
      <c r="O938" s="9"/>
      <c r="P938" s="9"/>
      <c r="Q938" s="9"/>
    </row>
    <row r="939">
      <c r="O939" s="9"/>
      <c r="P939" s="9"/>
      <c r="Q939" s="9"/>
    </row>
    <row r="940">
      <c r="O940" s="9"/>
      <c r="P940" s="9"/>
      <c r="Q940" s="9"/>
    </row>
    <row r="941">
      <c r="O941" s="9"/>
      <c r="P941" s="9"/>
      <c r="Q941" s="9"/>
    </row>
    <row r="942">
      <c r="O942" s="9"/>
      <c r="P942" s="9"/>
      <c r="Q942" s="9"/>
    </row>
    <row r="943">
      <c r="O943" s="9"/>
      <c r="P943" s="9"/>
      <c r="Q943" s="9"/>
    </row>
    <row r="944">
      <c r="O944" s="9"/>
      <c r="P944" s="9"/>
      <c r="Q944" s="9"/>
    </row>
    <row r="945">
      <c r="O945" s="9"/>
      <c r="P945" s="9"/>
      <c r="Q945" s="9"/>
    </row>
    <row r="946">
      <c r="O946" s="9"/>
      <c r="P946" s="9"/>
      <c r="Q946" s="9"/>
    </row>
    <row r="947">
      <c r="O947" s="9"/>
      <c r="P947" s="9"/>
      <c r="Q947" s="9"/>
    </row>
    <row r="948">
      <c r="O948" s="9"/>
      <c r="P948" s="9"/>
      <c r="Q948" s="9"/>
    </row>
    <row r="949">
      <c r="O949" s="9"/>
      <c r="P949" s="9"/>
      <c r="Q949" s="9"/>
    </row>
    <row r="950">
      <c r="O950" s="9"/>
      <c r="P950" s="9"/>
      <c r="Q950" s="9"/>
    </row>
    <row r="951">
      <c r="O951" s="9"/>
      <c r="P951" s="9"/>
      <c r="Q951" s="9"/>
    </row>
    <row r="952">
      <c r="O952" s="9"/>
      <c r="P952" s="9"/>
      <c r="Q952" s="9"/>
    </row>
    <row r="953">
      <c r="O953" s="9"/>
      <c r="P953" s="9"/>
      <c r="Q953" s="9"/>
    </row>
    <row r="954">
      <c r="O954" s="9"/>
      <c r="P954" s="9"/>
      <c r="Q954" s="9"/>
    </row>
    <row r="955">
      <c r="O955" s="9"/>
      <c r="P955" s="9"/>
      <c r="Q955" s="9"/>
    </row>
    <row r="956">
      <c r="O956" s="9"/>
      <c r="P956" s="9"/>
      <c r="Q956" s="9"/>
    </row>
    <row r="957">
      <c r="O957" s="9"/>
      <c r="P957" s="9"/>
      <c r="Q957" s="9"/>
    </row>
    <row r="958">
      <c r="O958" s="9"/>
      <c r="P958" s="9"/>
      <c r="Q958" s="9"/>
    </row>
    <row r="959">
      <c r="O959" s="9"/>
      <c r="P959" s="9"/>
      <c r="Q959" s="9"/>
    </row>
    <row r="960">
      <c r="O960" s="9"/>
      <c r="P960" s="9"/>
      <c r="Q960" s="9"/>
    </row>
    <row r="961">
      <c r="O961" s="9"/>
      <c r="P961" s="9"/>
      <c r="Q961" s="9"/>
    </row>
    <row r="962">
      <c r="O962" s="9"/>
      <c r="P962" s="9"/>
      <c r="Q962" s="9"/>
    </row>
    <row r="963">
      <c r="O963" s="9"/>
      <c r="P963" s="9"/>
      <c r="Q963" s="9"/>
    </row>
    <row r="964">
      <c r="O964" s="9"/>
      <c r="P964" s="9"/>
      <c r="Q964" s="9"/>
    </row>
    <row r="965">
      <c r="O965" s="9"/>
      <c r="P965" s="9"/>
      <c r="Q965" s="9"/>
    </row>
    <row r="966">
      <c r="O966" s="9"/>
      <c r="P966" s="9"/>
      <c r="Q966" s="9"/>
    </row>
    <row r="967">
      <c r="O967" s="9"/>
      <c r="P967" s="9"/>
      <c r="Q967" s="9"/>
    </row>
    <row r="968">
      <c r="O968" s="9"/>
      <c r="P968" s="9"/>
      <c r="Q968" s="9"/>
    </row>
    <row r="969">
      <c r="O969" s="9"/>
      <c r="P969" s="9"/>
      <c r="Q969" s="9"/>
    </row>
    <row r="970">
      <c r="O970" s="9"/>
      <c r="P970" s="9"/>
      <c r="Q970" s="9"/>
    </row>
    <row r="971">
      <c r="O971" s="9"/>
      <c r="P971" s="9"/>
      <c r="Q971" s="9"/>
    </row>
    <row r="972">
      <c r="O972" s="9"/>
      <c r="P972" s="9"/>
      <c r="Q972" s="9"/>
    </row>
    <row r="973">
      <c r="O973" s="9"/>
      <c r="P973" s="9"/>
      <c r="Q973" s="9"/>
    </row>
    <row r="974">
      <c r="O974" s="9"/>
      <c r="P974" s="9"/>
      <c r="Q974" s="9"/>
    </row>
    <row r="975">
      <c r="O975" s="9"/>
      <c r="P975" s="9"/>
      <c r="Q975" s="9"/>
    </row>
    <row r="976">
      <c r="O976" s="9"/>
      <c r="P976" s="9"/>
      <c r="Q976" s="9"/>
    </row>
    <row r="977">
      <c r="O977" s="9"/>
      <c r="P977" s="9"/>
      <c r="Q977" s="9"/>
    </row>
    <row r="978">
      <c r="O978" s="9"/>
      <c r="P978" s="9"/>
      <c r="Q978" s="9"/>
    </row>
    <row r="979">
      <c r="O979" s="9"/>
      <c r="P979" s="9"/>
      <c r="Q979" s="9"/>
    </row>
    <row r="980">
      <c r="O980" s="9"/>
      <c r="P980" s="9"/>
      <c r="Q980" s="9"/>
    </row>
    <row r="981">
      <c r="O981" s="9"/>
      <c r="P981" s="9"/>
      <c r="Q981" s="9"/>
    </row>
    <row r="982">
      <c r="O982" s="9"/>
      <c r="P982" s="9"/>
      <c r="Q982" s="9"/>
    </row>
    <row r="983">
      <c r="O983" s="9"/>
      <c r="P983" s="9"/>
      <c r="Q983" s="9"/>
    </row>
    <row r="984">
      <c r="O984" s="9"/>
      <c r="P984" s="9"/>
      <c r="Q984" s="9"/>
    </row>
    <row r="985">
      <c r="O985" s="9"/>
      <c r="P985" s="9"/>
      <c r="Q985" s="9"/>
    </row>
    <row r="986">
      <c r="O986" s="9"/>
      <c r="P986" s="9"/>
      <c r="Q986" s="9"/>
    </row>
    <row r="987">
      <c r="O987" s="9"/>
      <c r="P987" s="9"/>
      <c r="Q987" s="9"/>
    </row>
    <row r="988">
      <c r="O988" s="9"/>
      <c r="P988" s="9"/>
      <c r="Q988" s="9"/>
    </row>
    <row r="989">
      <c r="O989" s="9"/>
      <c r="P989" s="9"/>
      <c r="Q989" s="9"/>
    </row>
    <row r="990">
      <c r="O990" s="9"/>
      <c r="P990" s="9"/>
      <c r="Q990" s="9"/>
    </row>
    <row r="991">
      <c r="O991" s="9"/>
      <c r="P991" s="9"/>
      <c r="Q991" s="9"/>
    </row>
    <row r="992">
      <c r="O992" s="9"/>
      <c r="P992" s="9"/>
      <c r="Q992" s="9"/>
    </row>
    <row r="993">
      <c r="O993" s="9"/>
      <c r="P993" s="9"/>
      <c r="Q993" s="9"/>
    </row>
    <row r="994">
      <c r="O994" s="9"/>
      <c r="P994" s="9"/>
      <c r="Q994" s="9"/>
    </row>
    <row r="995">
      <c r="O995" s="9"/>
      <c r="P995" s="9"/>
      <c r="Q995" s="9"/>
    </row>
    <row r="996">
      <c r="O996" s="9"/>
      <c r="P996" s="9"/>
      <c r="Q996" s="9"/>
    </row>
    <row r="997">
      <c r="O997" s="9"/>
      <c r="P997" s="9"/>
      <c r="Q997" s="9"/>
    </row>
    <row r="998">
      <c r="O998" s="9"/>
      <c r="P998" s="9"/>
      <c r="Q998" s="9"/>
    </row>
    <row r="999">
      <c r="O999" s="9"/>
      <c r="P999" s="9"/>
      <c r="Q999" s="9"/>
    </row>
  </sheetData>
  <mergeCells count="8">
    <mergeCell ref="B1:C1"/>
    <mergeCell ref="D1:E1"/>
    <mergeCell ref="F1:G1"/>
    <mergeCell ref="H1:I1"/>
    <mergeCell ref="J1:K1"/>
    <mergeCell ref="L1:M1"/>
    <mergeCell ref="O1:O2"/>
    <mergeCell ref="P1:Q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 customWidth="1" min="3" max="3" width="11.63"/>
  </cols>
  <sheetData>
    <row r="1">
      <c r="A1" s="16" t="s">
        <v>0</v>
      </c>
      <c r="B1" s="21" t="s">
        <v>145</v>
      </c>
      <c r="C1" s="3"/>
      <c r="D1" s="21" t="s">
        <v>146</v>
      </c>
      <c r="E1" s="3"/>
      <c r="F1" s="21" t="s">
        <v>147</v>
      </c>
      <c r="G1" s="3"/>
      <c r="H1" s="21" t="s">
        <v>148</v>
      </c>
      <c r="I1" s="3"/>
      <c r="J1" s="21" t="s">
        <v>149</v>
      </c>
      <c r="K1" s="3"/>
      <c r="L1" s="21" t="s">
        <v>150</v>
      </c>
      <c r="M1" s="3"/>
      <c r="P1" s="39"/>
      <c r="Q1" s="39"/>
    </row>
    <row r="2">
      <c r="A2" s="16" t="s">
        <v>151</v>
      </c>
      <c r="B2" s="16" t="s">
        <v>160</v>
      </c>
      <c r="C2" s="16" t="s">
        <v>161</v>
      </c>
      <c r="D2" s="16" t="s">
        <v>162</v>
      </c>
      <c r="E2" s="16" t="s">
        <v>163</v>
      </c>
      <c r="F2" s="16" t="s">
        <v>164</v>
      </c>
      <c r="G2" s="16" t="s">
        <v>165</v>
      </c>
      <c r="H2" s="16" t="s">
        <v>160</v>
      </c>
      <c r="I2" s="16" t="s">
        <v>161</v>
      </c>
      <c r="J2" s="16" t="s">
        <v>160</v>
      </c>
      <c r="K2" s="16" t="s">
        <v>161</v>
      </c>
      <c r="L2" s="16" t="s">
        <v>160</v>
      </c>
      <c r="M2" s="16" t="s">
        <v>161</v>
      </c>
      <c r="P2" s="39"/>
      <c r="Q2" s="39"/>
      <c r="R2" s="39"/>
    </row>
    <row r="3">
      <c r="A3" s="18" t="s">
        <v>140</v>
      </c>
      <c r="B3" s="18">
        <v>511.0</v>
      </c>
      <c r="C3" s="17">
        <v>14.0</v>
      </c>
      <c r="D3" s="18">
        <v>363.0</v>
      </c>
      <c r="E3" s="18">
        <v>3.0</v>
      </c>
      <c r="F3" s="18">
        <v>485.0</v>
      </c>
      <c r="G3" s="18">
        <v>14.0</v>
      </c>
      <c r="H3" s="18"/>
      <c r="I3" s="18"/>
      <c r="J3" s="18"/>
      <c r="K3" s="18"/>
      <c r="L3" s="18"/>
      <c r="M3" s="18"/>
      <c r="P3" s="9"/>
      <c r="Q3" s="52"/>
      <c r="R3" s="52"/>
    </row>
    <row r="4">
      <c r="A4" s="18" t="s">
        <v>131</v>
      </c>
      <c r="B4" s="18">
        <v>1305.0</v>
      </c>
      <c r="C4" s="17">
        <v>26.0</v>
      </c>
      <c r="D4" s="28">
        <v>1010.0</v>
      </c>
      <c r="E4" s="18">
        <v>16.0</v>
      </c>
      <c r="F4" s="28">
        <v>1938.0</v>
      </c>
      <c r="G4" s="18">
        <v>143.0</v>
      </c>
      <c r="H4" s="18"/>
      <c r="I4" s="18"/>
      <c r="J4" s="18"/>
      <c r="K4" s="18"/>
      <c r="L4" s="18"/>
      <c r="M4" s="18"/>
      <c r="P4" s="53"/>
      <c r="Q4" s="24"/>
      <c r="R4" s="52"/>
    </row>
    <row r="5">
      <c r="A5" s="18" t="s">
        <v>136</v>
      </c>
      <c r="B5" s="18">
        <v>884.0</v>
      </c>
      <c r="C5" s="17">
        <v>27.0</v>
      </c>
      <c r="D5" s="18">
        <v>862.0</v>
      </c>
      <c r="E5" s="18">
        <v>23.0</v>
      </c>
      <c r="F5" s="28">
        <v>1869.0</v>
      </c>
      <c r="G5" s="18">
        <v>50.0</v>
      </c>
      <c r="H5" s="18"/>
      <c r="I5" s="18"/>
      <c r="J5" s="18"/>
      <c r="K5" s="18"/>
      <c r="L5" s="18"/>
      <c r="M5" s="18"/>
      <c r="P5" s="9"/>
      <c r="Q5" s="52"/>
      <c r="R5" s="52"/>
    </row>
    <row r="6">
      <c r="A6" s="18" t="s">
        <v>135</v>
      </c>
      <c r="B6" s="18">
        <v>400.0</v>
      </c>
      <c r="C6" s="17">
        <v>16.0</v>
      </c>
      <c r="D6" s="18">
        <v>296.0</v>
      </c>
      <c r="E6" s="18">
        <v>91.0</v>
      </c>
      <c r="F6" s="18">
        <v>537.0</v>
      </c>
      <c r="G6" s="18">
        <v>78.0</v>
      </c>
      <c r="H6" s="18"/>
      <c r="I6" s="18"/>
      <c r="J6" s="18"/>
      <c r="K6" s="18"/>
      <c r="L6" s="18"/>
      <c r="M6" s="18"/>
      <c r="P6" s="9"/>
      <c r="Q6" s="24"/>
      <c r="R6" s="52"/>
    </row>
    <row r="7">
      <c r="A7" s="18" t="s">
        <v>122</v>
      </c>
      <c r="B7" s="18">
        <v>1888.0</v>
      </c>
      <c r="C7" s="17">
        <v>46.0</v>
      </c>
      <c r="D7" s="18">
        <v>935.0</v>
      </c>
      <c r="E7" s="18">
        <v>9.0</v>
      </c>
      <c r="F7" s="28">
        <v>1848.0</v>
      </c>
      <c r="G7" s="18">
        <v>8.0</v>
      </c>
      <c r="H7" s="18"/>
      <c r="I7" s="18"/>
      <c r="J7" s="18"/>
      <c r="K7" s="18"/>
      <c r="L7" s="18"/>
      <c r="M7" s="18"/>
      <c r="P7" s="9"/>
      <c r="Q7" s="24"/>
      <c r="R7" s="52"/>
    </row>
    <row r="8">
      <c r="A8" s="18" t="s">
        <v>116</v>
      </c>
      <c r="B8" s="18">
        <v>1540.0</v>
      </c>
      <c r="C8" s="17">
        <v>46.0</v>
      </c>
      <c r="D8" s="28">
        <v>1109.0</v>
      </c>
      <c r="E8" s="18">
        <v>53.0</v>
      </c>
      <c r="F8" s="28">
        <v>1971.0</v>
      </c>
      <c r="G8" s="18">
        <v>91.0</v>
      </c>
      <c r="H8" s="18"/>
      <c r="I8" s="18"/>
      <c r="J8" s="18"/>
      <c r="K8" s="18"/>
      <c r="L8" s="18"/>
      <c r="M8" s="18"/>
      <c r="P8" s="53"/>
      <c r="Q8" s="24"/>
      <c r="R8" s="52"/>
    </row>
    <row r="9">
      <c r="A9" s="18" t="s">
        <v>133</v>
      </c>
      <c r="B9" s="18">
        <v>984.0</v>
      </c>
      <c r="C9" s="17">
        <v>38.0</v>
      </c>
      <c r="D9" s="18">
        <v>710.0</v>
      </c>
      <c r="E9" s="18">
        <v>21.0</v>
      </c>
      <c r="F9" s="28">
        <v>1348.0</v>
      </c>
      <c r="G9" s="18">
        <v>25.0</v>
      </c>
      <c r="H9" s="18"/>
      <c r="I9" s="18"/>
      <c r="J9" s="18"/>
      <c r="K9" s="18"/>
      <c r="L9" s="18"/>
      <c r="M9" s="18"/>
      <c r="P9" s="9"/>
      <c r="Q9" s="24"/>
      <c r="R9" s="52"/>
    </row>
    <row r="10">
      <c r="A10" s="18" t="s">
        <v>138</v>
      </c>
      <c r="B10" s="18">
        <v>652.0</v>
      </c>
      <c r="C10" s="17">
        <v>19.0</v>
      </c>
      <c r="D10" s="18">
        <v>533.0</v>
      </c>
      <c r="E10" s="18">
        <v>10.0</v>
      </c>
      <c r="F10" s="18">
        <v>705.0</v>
      </c>
      <c r="G10" s="18">
        <v>36.0</v>
      </c>
      <c r="H10" s="18"/>
      <c r="I10" s="18"/>
      <c r="J10" s="18"/>
      <c r="K10" s="18"/>
      <c r="L10" s="18"/>
      <c r="M10" s="18"/>
      <c r="P10" s="9"/>
      <c r="Q10" s="24"/>
      <c r="R10" s="52"/>
    </row>
    <row r="11">
      <c r="A11" s="18" t="s">
        <v>143</v>
      </c>
      <c r="B11" s="18">
        <v>759.0</v>
      </c>
      <c r="C11" s="17">
        <v>15.0</v>
      </c>
      <c r="D11" s="18">
        <v>587.0</v>
      </c>
      <c r="E11" s="18">
        <v>4.0</v>
      </c>
      <c r="F11" s="18">
        <v>723.0</v>
      </c>
      <c r="G11" s="18">
        <v>35.0</v>
      </c>
      <c r="H11" s="18"/>
      <c r="I11" s="18"/>
      <c r="J11" s="18"/>
      <c r="K11" s="18"/>
      <c r="L11" s="18"/>
      <c r="M11" s="18"/>
      <c r="P11" s="9"/>
      <c r="Q11" s="24"/>
      <c r="R11" s="52"/>
    </row>
    <row r="12">
      <c r="A12" s="18" t="s">
        <v>137</v>
      </c>
      <c r="B12" s="18">
        <v>915.0</v>
      </c>
      <c r="C12" s="17">
        <v>12.0</v>
      </c>
      <c r="D12" s="18">
        <v>658.0</v>
      </c>
      <c r="E12" s="18">
        <v>25.0</v>
      </c>
      <c r="F12" s="28">
        <v>1278.0</v>
      </c>
      <c r="G12" s="18">
        <v>56.0</v>
      </c>
      <c r="H12" s="18"/>
      <c r="I12" s="18"/>
      <c r="J12" s="18"/>
      <c r="K12" s="18"/>
      <c r="L12" s="18"/>
      <c r="M12" s="18"/>
      <c r="P12" s="9"/>
      <c r="Q12" s="24"/>
      <c r="R12" s="52"/>
    </row>
    <row r="13">
      <c r="A13" s="18" t="s">
        <v>128</v>
      </c>
      <c r="B13" s="18">
        <v>669.0</v>
      </c>
      <c r="C13" s="17">
        <v>22.0</v>
      </c>
      <c r="D13" s="18">
        <v>938.0</v>
      </c>
      <c r="E13" s="18">
        <v>63.0</v>
      </c>
      <c r="F13" s="28">
        <v>2149.0</v>
      </c>
      <c r="G13" s="18">
        <v>223.0</v>
      </c>
      <c r="H13" s="18"/>
      <c r="I13" s="18"/>
      <c r="J13" s="18"/>
      <c r="K13" s="18"/>
      <c r="L13" s="18"/>
      <c r="M13" s="18"/>
      <c r="P13" s="9"/>
      <c r="Q13" s="24"/>
      <c r="R13" s="52"/>
    </row>
    <row r="14">
      <c r="A14" s="18" t="s">
        <v>121</v>
      </c>
      <c r="B14" s="18">
        <v>1882.0</v>
      </c>
      <c r="C14" s="17">
        <v>32.0</v>
      </c>
      <c r="D14" s="28">
        <v>1725.0</v>
      </c>
      <c r="E14" s="18">
        <v>68.0</v>
      </c>
      <c r="F14" s="28">
        <v>2804.0</v>
      </c>
      <c r="G14" s="18">
        <v>197.0</v>
      </c>
      <c r="H14" s="18"/>
      <c r="I14" s="18"/>
      <c r="J14" s="18"/>
      <c r="K14" s="18"/>
      <c r="L14" s="18"/>
      <c r="M14" s="18"/>
      <c r="P14" s="53"/>
      <c r="Q14" s="24"/>
      <c r="R14" s="52"/>
    </row>
    <row r="15">
      <c r="A15" s="18" t="s">
        <v>139</v>
      </c>
      <c r="B15" s="18">
        <v>946.0</v>
      </c>
      <c r="C15" s="17">
        <v>23.0</v>
      </c>
      <c r="D15" s="18">
        <v>585.0</v>
      </c>
      <c r="E15" s="18">
        <v>4.0</v>
      </c>
      <c r="F15" s="18">
        <v>972.0</v>
      </c>
      <c r="G15" s="18">
        <v>5.0</v>
      </c>
      <c r="H15" s="18"/>
      <c r="I15" s="18"/>
      <c r="J15" s="18"/>
      <c r="K15" s="18"/>
      <c r="L15" s="18"/>
      <c r="M15" s="18"/>
      <c r="P15" s="9"/>
      <c r="Q15" s="52"/>
      <c r="R15" s="52"/>
    </row>
    <row r="16">
      <c r="A16" s="18" t="s">
        <v>142</v>
      </c>
      <c r="B16" s="18">
        <v>601.0</v>
      </c>
      <c r="C16" s="17">
        <v>4.0</v>
      </c>
      <c r="D16" s="18">
        <v>372.0</v>
      </c>
      <c r="E16" s="18">
        <v>4.0</v>
      </c>
      <c r="F16" s="18">
        <v>595.0</v>
      </c>
      <c r="G16" s="18">
        <v>11.0</v>
      </c>
      <c r="H16" s="18"/>
      <c r="I16" s="18"/>
      <c r="J16" s="18"/>
      <c r="K16" s="18"/>
      <c r="L16" s="18"/>
      <c r="M16" s="18"/>
      <c r="P16" s="9"/>
      <c r="Q16" s="24"/>
      <c r="R16" s="52"/>
    </row>
    <row r="17">
      <c r="A17" s="18" t="s">
        <v>132</v>
      </c>
      <c r="B17" s="18">
        <v>1600.0</v>
      </c>
      <c r="C17" s="17">
        <v>39.0</v>
      </c>
      <c r="D17" s="28">
        <v>1174.0</v>
      </c>
      <c r="E17" s="18">
        <v>37.0</v>
      </c>
      <c r="F17" s="28">
        <v>1815.0</v>
      </c>
      <c r="G17" s="18">
        <v>91.0</v>
      </c>
      <c r="H17" s="18"/>
      <c r="I17" s="18"/>
      <c r="J17" s="18"/>
      <c r="K17" s="18"/>
      <c r="L17" s="18"/>
      <c r="M17" s="18"/>
      <c r="P17" s="53"/>
      <c r="Q17" s="24"/>
      <c r="R17" s="52"/>
    </row>
    <row r="18">
      <c r="A18" s="18" t="s">
        <v>114</v>
      </c>
      <c r="B18" s="18">
        <v>762.0</v>
      </c>
      <c r="C18" s="17">
        <v>13.0</v>
      </c>
      <c r="D18" s="18">
        <v>509.0</v>
      </c>
      <c r="E18" s="18">
        <v>36.0</v>
      </c>
      <c r="F18" s="28">
        <v>1238.0</v>
      </c>
      <c r="G18" s="18">
        <v>116.0</v>
      </c>
      <c r="H18" s="18"/>
      <c r="I18" s="18"/>
      <c r="J18" s="18"/>
      <c r="K18" s="18"/>
      <c r="L18" s="18"/>
      <c r="M18" s="18"/>
      <c r="P18" s="9"/>
      <c r="Q18" s="24"/>
      <c r="R18" s="52"/>
    </row>
    <row r="19">
      <c r="A19" s="18" t="s">
        <v>111</v>
      </c>
      <c r="B19" s="18">
        <v>708.0</v>
      </c>
      <c r="C19" s="17">
        <v>64.0</v>
      </c>
      <c r="D19" s="18">
        <v>376.0</v>
      </c>
      <c r="E19" s="18">
        <v>67.0</v>
      </c>
      <c r="F19" s="18">
        <v>686.0</v>
      </c>
      <c r="G19" s="18">
        <v>175.0</v>
      </c>
      <c r="H19" s="18"/>
      <c r="I19" s="18"/>
      <c r="J19" s="18"/>
      <c r="K19" s="18"/>
      <c r="L19" s="18"/>
      <c r="M19" s="18"/>
      <c r="P19" s="9"/>
      <c r="Q19" s="24"/>
      <c r="R19" s="52"/>
    </row>
    <row r="20">
      <c r="A20" s="18" t="s">
        <v>109</v>
      </c>
      <c r="B20" s="18">
        <v>1677.0</v>
      </c>
      <c r="C20" s="17">
        <v>124.0</v>
      </c>
      <c r="D20" s="28">
        <v>1194.0</v>
      </c>
      <c r="E20" s="18">
        <v>168.0</v>
      </c>
      <c r="F20" s="28">
        <v>1885.0</v>
      </c>
      <c r="G20" s="18">
        <v>597.0</v>
      </c>
      <c r="H20" s="18"/>
      <c r="I20" s="18"/>
      <c r="J20" s="18"/>
      <c r="K20" s="18"/>
      <c r="L20" s="18"/>
      <c r="M20" s="18"/>
      <c r="P20" s="53"/>
      <c r="Q20" s="24"/>
      <c r="R20" s="52"/>
    </row>
    <row r="21">
      <c r="A21" s="18" t="s">
        <v>124</v>
      </c>
      <c r="B21" s="18">
        <v>639.0</v>
      </c>
      <c r="C21" s="17">
        <v>6.0</v>
      </c>
      <c r="D21" s="18">
        <v>361.0</v>
      </c>
      <c r="E21" s="18">
        <v>19.0</v>
      </c>
      <c r="F21" s="18">
        <v>713.0</v>
      </c>
      <c r="G21" s="18">
        <v>22.0</v>
      </c>
      <c r="H21" s="18"/>
      <c r="I21" s="18"/>
      <c r="J21" s="18"/>
      <c r="K21" s="18"/>
      <c r="L21" s="18"/>
      <c r="M21" s="18"/>
      <c r="P21" s="9"/>
      <c r="Q21" s="24"/>
      <c r="R21" s="52"/>
    </row>
    <row r="22">
      <c r="A22" s="18" t="s">
        <v>127</v>
      </c>
      <c r="B22" s="18">
        <v>1006.0</v>
      </c>
      <c r="C22" s="17">
        <v>29.0</v>
      </c>
      <c r="D22" s="18">
        <v>858.0</v>
      </c>
      <c r="E22" s="18">
        <v>137.0</v>
      </c>
      <c r="F22" s="28">
        <v>1466.0</v>
      </c>
      <c r="G22" s="18">
        <v>349.0</v>
      </c>
      <c r="H22" s="18"/>
      <c r="I22" s="18"/>
      <c r="J22" s="18"/>
      <c r="K22" s="18"/>
      <c r="L22" s="18"/>
      <c r="M22" s="18"/>
      <c r="P22" s="9"/>
      <c r="Q22" s="24"/>
      <c r="R22" s="52"/>
    </row>
    <row r="23">
      <c r="A23" s="18" t="s">
        <v>130</v>
      </c>
      <c r="B23" s="18">
        <v>1140.0</v>
      </c>
      <c r="C23" s="17">
        <v>31.0</v>
      </c>
      <c r="D23" s="18">
        <v>966.0</v>
      </c>
      <c r="E23" s="18">
        <v>69.0</v>
      </c>
      <c r="F23" s="28">
        <v>1546.0</v>
      </c>
      <c r="G23" s="18">
        <v>241.0</v>
      </c>
      <c r="H23" s="18"/>
      <c r="I23" s="18"/>
      <c r="J23" s="18"/>
      <c r="K23" s="18"/>
      <c r="L23" s="18"/>
      <c r="M23" s="18"/>
      <c r="P23" s="9"/>
      <c r="Q23" s="52"/>
      <c r="R23" s="52"/>
    </row>
    <row r="24">
      <c r="A24" s="18" t="s">
        <v>141</v>
      </c>
      <c r="B24" s="18">
        <v>323.0</v>
      </c>
      <c r="C24" s="17">
        <v>0.0</v>
      </c>
      <c r="D24" s="18">
        <v>157.0</v>
      </c>
      <c r="E24" s="18">
        <v>1.0</v>
      </c>
      <c r="F24" s="18">
        <v>259.0</v>
      </c>
      <c r="G24" s="18">
        <v>8.0</v>
      </c>
      <c r="H24" s="18"/>
      <c r="I24" s="18"/>
      <c r="J24" s="18"/>
      <c r="K24" s="18"/>
      <c r="L24" s="18"/>
      <c r="M24" s="18"/>
      <c r="P24" s="9"/>
      <c r="Q24" s="24"/>
      <c r="R24" s="52"/>
    </row>
    <row r="25">
      <c r="A25" s="18" t="s">
        <v>123</v>
      </c>
      <c r="B25" s="18">
        <v>518.0</v>
      </c>
      <c r="C25" s="17">
        <v>5.0</v>
      </c>
      <c r="D25" s="18">
        <v>302.0</v>
      </c>
      <c r="E25" s="18">
        <v>4.0</v>
      </c>
      <c r="F25" s="18">
        <v>571.0</v>
      </c>
      <c r="G25" s="18">
        <v>35.0</v>
      </c>
      <c r="H25" s="18"/>
      <c r="I25" s="18"/>
      <c r="J25" s="18"/>
      <c r="K25" s="18"/>
      <c r="L25" s="18"/>
      <c r="M25" s="18"/>
      <c r="P25" s="9"/>
      <c r="Q25" s="52"/>
      <c r="R25" s="52"/>
    </row>
    <row r="26">
      <c r="A26" s="18" t="s">
        <v>112</v>
      </c>
      <c r="B26" s="18">
        <v>678.0</v>
      </c>
      <c r="C26" s="17">
        <v>21.0</v>
      </c>
      <c r="D26" s="18">
        <v>464.0</v>
      </c>
      <c r="E26" s="18">
        <v>13.0</v>
      </c>
      <c r="F26" s="28">
        <v>1003.0</v>
      </c>
      <c r="G26" s="18">
        <v>66.0</v>
      </c>
      <c r="H26" s="18"/>
      <c r="I26" s="18"/>
      <c r="J26" s="18"/>
      <c r="K26" s="18"/>
      <c r="L26" s="18"/>
      <c r="M26" s="18"/>
      <c r="P26" s="9"/>
      <c r="Q26" s="52"/>
      <c r="R26" s="52"/>
    </row>
    <row r="27">
      <c r="A27" s="18" t="s">
        <v>134</v>
      </c>
      <c r="B27" s="18">
        <v>1020.0</v>
      </c>
      <c r="C27" s="17">
        <v>20.0</v>
      </c>
      <c r="D27" s="18">
        <v>593.0</v>
      </c>
      <c r="E27" s="18">
        <v>5.0</v>
      </c>
      <c r="F27" s="28">
        <v>1216.0</v>
      </c>
      <c r="G27" s="18">
        <v>48.0</v>
      </c>
      <c r="H27" s="18"/>
      <c r="I27" s="18"/>
      <c r="J27" s="18"/>
      <c r="K27" s="18"/>
      <c r="L27" s="18"/>
      <c r="M27" s="18"/>
      <c r="P27" s="9"/>
      <c r="Q27" s="24"/>
      <c r="R27" s="52"/>
    </row>
    <row r="28">
      <c r="A28" s="18" t="s">
        <v>125</v>
      </c>
      <c r="B28" s="18">
        <v>1150.0</v>
      </c>
      <c r="C28" s="17">
        <v>29.0</v>
      </c>
      <c r="D28" s="18">
        <v>823.0</v>
      </c>
      <c r="E28" s="18">
        <v>23.0</v>
      </c>
      <c r="F28" s="28">
        <v>1712.0</v>
      </c>
      <c r="G28" s="18">
        <v>122.0</v>
      </c>
      <c r="H28" s="18"/>
      <c r="I28" s="18"/>
      <c r="J28" s="18"/>
      <c r="K28" s="18"/>
      <c r="L28" s="18"/>
      <c r="M28" s="18"/>
      <c r="P28" s="9"/>
      <c r="Q28" s="24"/>
      <c r="R28" s="52"/>
    </row>
    <row r="29">
      <c r="A29" s="18" t="s">
        <v>129</v>
      </c>
      <c r="B29" s="18">
        <v>1032.0</v>
      </c>
      <c r="C29" s="17">
        <v>35.0</v>
      </c>
      <c r="D29" s="18">
        <v>688.0</v>
      </c>
      <c r="E29" s="18">
        <v>120.0</v>
      </c>
      <c r="F29" s="28">
        <v>1326.0</v>
      </c>
      <c r="G29" s="18">
        <v>193.0</v>
      </c>
      <c r="H29" s="18"/>
      <c r="I29" s="18"/>
      <c r="J29" s="18"/>
      <c r="K29" s="18"/>
      <c r="L29" s="18"/>
      <c r="M29" s="18"/>
      <c r="P29" s="9"/>
      <c r="Q29" s="52"/>
      <c r="R29" s="52"/>
    </row>
    <row r="30">
      <c r="A30" s="18" t="s">
        <v>120</v>
      </c>
      <c r="B30" s="18">
        <v>1317.0</v>
      </c>
      <c r="C30" s="17">
        <v>47.0</v>
      </c>
      <c r="D30" s="28">
        <v>1118.0</v>
      </c>
      <c r="E30" s="18">
        <v>50.0</v>
      </c>
      <c r="F30" s="28">
        <v>2089.0</v>
      </c>
      <c r="G30" s="18">
        <v>173.0</v>
      </c>
      <c r="H30" s="18"/>
      <c r="I30" s="18"/>
      <c r="J30" s="18"/>
      <c r="K30" s="18"/>
      <c r="L30" s="18"/>
      <c r="M30" s="18"/>
      <c r="P30" s="53"/>
      <c r="Q30" s="52"/>
      <c r="R30" s="52"/>
    </row>
    <row r="31">
      <c r="A31" s="18" t="s">
        <v>126</v>
      </c>
      <c r="B31" s="18">
        <v>1119.0</v>
      </c>
      <c r="C31" s="17">
        <v>33.0</v>
      </c>
      <c r="D31" s="18">
        <v>753.0</v>
      </c>
      <c r="E31" s="18">
        <v>45.0</v>
      </c>
      <c r="F31" s="28">
        <v>1358.0</v>
      </c>
      <c r="G31" s="18">
        <v>88.0</v>
      </c>
      <c r="H31" s="18"/>
      <c r="I31" s="18"/>
      <c r="J31" s="18"/>
      <c r="K31" s="18"/>
      <c r="L31" s="18"/>
      <c r="M31" s="18"/>
      <c r="P31" s="9"/>
      <c r="Q31" s="52"/>
      <c r="R31" s="52"/>
    </row>
    <row r="32">
      <c r="A32" s="18" t="s">
        <v>118</v>
      </c>
      <c r="B32" s="18">
        <v>1343.0</v>
      </c>
      <c r="C32" s="17">
        <v>43.0</v>
      </c>
      <c r="D32" s="18">
        <v>968.0</v>
      </c>
      <c r="E32" s="18">
        <v>108.0</v>
      </c>
      <c r="F32" s="28">
        <v>1755.0</v>
      </c>
      <c r="G32" s="18">
        <v>453.0</v>
      </c>
      <c r="H32" s="18"/>
      <c r="I32" s="18"/>
      <c r="J32" s="18"/>
      <c r="K32" s="18"/>
      <c r="L32" s="18"/>
      <c r="M32" s="18"/>
      <c r="P32" s="9"/>
      <c r="Q32" s="52"/>
      <c r="R32" s="52"/>
    </row>
    <row r="33">
      <c r="P33" s="9"/>
      <c r="Q33" s="9"/>
      <c r="R33" s="9"/>
    </row>
    <row r="34">
      <c r="P34" s="9"/>
      <c r="Q34" s="9"/>
      <c r="R34" s="9"/>
    </row>
    <row r="35">
      <c r="P35" s="9"/>
      <c r="Q35" s="9"/>
      <c r="R35" s="9"/>
    </row>
    <row r="36">
      <c r="P36" s="9"/>
      <c r="Q36" s="9"/>
      <c r="R36" s="9"/>
    </row>
    <row r="37">
      <c r="P37" s="9"/>
      <c r="Q37" s="9"/>
      <c r="R37" s="9"/>
    </row>
    <row r="38">
      <c r="P38" s="9"/>
      <c r="Q38" s="9"/>
      <c r="R38" s="9"/>
    </row>
    <row r="39">
      <c r="P39" s="9"/>
      <c r="Q39" s="9"/>
      <c r="R39" s="9"/>
    </row>
    <row r="40">
      <c r="P40" s="9"/>
      <c r="Q40" s="9"/>
      <c r="R40" s="9"/>
    </row>
    <row r="41">
      <c r="P41" s="9"/>
      <c r="Q41" s="9"/>
      <c r="R41" s="9"/>
    </row>
    <row r="42">
      <c r="P42" s="9"/>
      <c r="Q42" s="9"/>
      <c r="R42" s="9"/>
    </row>
    <row r="43">
      <c r="P43" s="9"/>
      <c r="Q43" s="9"/>
      <c r="R43" s="9"/>
    </row>
    <row r="44">
      <c r="P44" s="9"/>
      <c r="Q44" s="9"/>
      <c r="R44" s="9"/>
    </row>
    <row r="45">
      <c r="P45" s="9"/>
      <c r="Q45" s="9"/>
      <c r="R45" s="9"/>
    </row>
    <row r="46">
      <c r="P46" s="9"/>
      <c r="Q46" s="9"/>
      <c r="R46" s="9"/>
    </row>
    <row r="47">
      <c r="P47" s="9"/>
      <c r="Q47" s="9"/>
      <c r="R47" s="9"/>
    </row>
    <row r="48">
      <c r="P48" s="9"/>
      <c r="Q48" s="9"/>
      <c r="R48" s="9"/>
    </row>
    <row r="49">
      <c r="P49" s="9"/>
      <c r="Q49" s="9"/>
      <c r="R49" s="9"/>
    </row>
    <row r="50">
      <c r="P50" s="9"/>
      <c r="Q50" s="9"/>
      <c r="R50" s="9"/>
    </row>
    <row r="51">
      <c r="P51" s="9"/>
      <c r="Q51" s="9"/>
      <c r="R51" s="9"/>
    </row>
    <row r="52">
      <c r="P52" s="9"/>
      <c r="Q52" s="9"/>
      <c r="R52" s="9"/>
    </row>
    <row r="53">
      <c r="P53" s="9"/>
      <c r="Q53" s="9"/>
      <c r="R53" s="9"/>
    </row>
    <row r="54">
      <c r="P54" s="9"/>
      <c r="Q54" s="9"/>
      <c r="R54" s="9"/>
    </row>
    <row r="55">
      <c r="P55" s="9"/>
      <c r="Q55" s="9"/>
      <c r="R55" s="9"/>
    </row>
    <row r="56">
      <c r="P56" s="9"/>
      <c r="Q56" s="9"/>
      <c r="R56" s="9"/>
    </row>
    <row r="57">
      <c r="P57" s="9"/>
      <c r="Q57" s="9"/>
      <c r="R57" s="9"/>
    </row>
    <row r="58">
      <c r="P58" s="9"/>
      <c r="Q58" s="9"/>
      <c r="R58" s="9"/>
    </row>
    <row r="59">
      <c r="P59" s="9"/>
      <c r="Q59" s="9"/>
      <c r="R59" s="9"/>
    </row>
    <row r="60">
      <c r="P60" s="9"/>
      <c r="Q60" s="9"/>
      <c r="R60" s="9"/>
    </row>
    <row r="61">
      <c r="P61" s="9"/>
      <c r="Q61" s="9"/>
      <c r="R61" s="9"/>
    </row>
    <row r="62">
      <c r="P62" s="9"/>
      <c r="Q62" s="9"/>
      <c r="R62" s="9"/>
    </row>
    <row r="63">
      <c r="P63" s="9"/>
      <c r="Q63" s="9"/>
      <c r="R63" s="9"/>
    </row>
    <row r="64">
      <c r="P64" s="9"/>
      <c r="Q64" s="9"/>
      <c r="R64" s="9"/>
    </row>
    <row r="65">
      <c r="P65" s="9"/>
      <c r="Q65" s="9"/>
      <c r="R65" s="9"/>
    </row>
    <row r="66">
      <c r="P66" s="9"/>
      <c r="Q66" s="9"/>
      <c r="R66" s="9"/>
    </row>
    <row r="67">
      <c r="P67" s="9"/>
      <c r="Q67" s="9"/>
      <c r="R67" s="9"/>
    </row>
    <row r="68">
      <c r="P68" s="9"/>
      <c r="Q68" s="9"/>
      <c r="R68" s="9"/>
    </row>
    <row r="69">
      <c r="P69" s="9"/>
      <c r="Q69" s="9"/>
      <c r="R69" s="9"/>
    </row>
    <row r="70">
      <c r="P70" s="9"/>
      <c r="Q70" s="9"/>
      <c r="R70" s="9"/>
    </row>
    <row r="71">
      <c r="P71" s="9"/>
      <c r="Q71" s="9"/>
      <c r="R71" s="9"/>
    </row>
    <row r="72">
      <c r="P72" s="9"/>
      <c r="Q72" s="9"/>
      <c r="R72" s="9"/>
    </row>
    <row r="73">
      <c r="P73" s="9"/>
      <c r="Q73" s="9"/>
      <c r="R73" s="9"/>
    </row>
    <row r="74">
      <c r="P74" s="9"/>
      <c r="Q74" s="9"/>
      <c r="R74" s="9"/>
    </row>
    <row r="75">
      <c r="P75" s="9"/>
      <c r="Q75" s="9"/>
      <c r="R75" s="9"/>
    </row>
    <row r="76">
      <c r="P76" s="9"/>
      <c r="Q76" s="9"/>
      <c r="R76" s="9"/>
    </row>
    <row r="77">
      <c r="P77" s="9"/>
      <c r="Q77" s="9"/>
      <c r="R77" s="9"/>
    </row>
    <row r="78">
      <c r="P78" s="9"/>
      <c r="Q78" s="9"/>
      <c r="R78" s="9"/>
    </row>
    <row r="79">
      <c r="P79" s="9"/>
      <c r="Q79" s="9"/>
      <c r="R79" s="9"/>
    </row>
    <row r="80">
      <c r="P80" s="9"/>
      <c r="Q80" s="9"/>
      <c r="R80" s="9"/>
    </row>
    <row r="81">
      <c r="P81" s="9"/>
      <c r="Q81" s="9"/>
      <c r="R81" s="9"/>
    </row>
    <row r="82">
      <c r="P82" s="9"/>
      <c r="Q82" s="9"/>
      <c r="R82" s="9"/>
    </row>
    <row r="83">
      <c r="P83" s="9"/>
      <c r="Q83" s="9"/>
      <c r="R83" s="9"/>
    </row>
    <row r="84">
      <c r="P84" s="9"/>
      <c r="Q84" s="9"/>
      <c r="R84" s="9"/>
    </row>
    <row r="85">
      <c r="P85" s="9"/>
      <c r="Q85" s="9"/>
      <c r="R85" s="9"/>
    </row>
    <row r="86">
      <c r="P86" s="9"/>
      <c r="Q86" s="9"/>
      <c r="R86" s="9"/>
    </row>
    <row r="87">
      <c r="P87" s="9"/>
      <c r="Q87" s="9"/>
      <c r="R87" s="9"/>
    </row>
    <row r="88">
      <c r="P88" s="9"/>
      <c r="Q88" s="9"/>
      <c r="R88" s="9"/>
    </row>
    <row r="89">
      <c r="P89" s="9"/>
      <c r="Q89" s="9"/>
      <c r="R89" s="9"/>
    </row>
    <row r="90">
      <c r="P90" s="9"/>
      <c r="Q90" s="9"/>
      <c r="R90" s="9"/>
    </row>
    <row r="91">
      <c r="P91" s="9"/>
      <c r="Q91" s="9"/>
      <c r="R91" s="9"/>
    </row>
    <row r="92">
      <c r="P92" s="9"/>
      <c r="Q92" s="9"/>
      <c r="R92" s="9"/>
    </row>
    <row r="93">
      <c r="P93" s="9"/>
      <c r="Q93" s="9"/>
      <c r="R93" s="9"/>
    </row>
    <row r="94">
      <c r="P94" s="9"/>
      <c r="Q94" s="9"/>
      <c r="R94" s="9"/>
    </row>
    <row r="95">
      <c r="P95" s="9"/>
      <c r="Q95" s="9"/>
      <c r="R95" s="9"/>
    </row>
    <row r="96">
      <c r="P96" s="9"/>
      <c r="Q96" s="9"/>
      <c r="R96" s="9"/>
    </row>
    <row r="97">
      <c r="P97" s="9"/>
      <c r="Q97" s="9"/>
      <c r="R97" s="9"/>
    </row>
    <row r="98">
      <c r="P98" s="9"/>
      <c r="Q98" s="9"/>
      <c r="R98" s="9"/>
    </row>
    <row r="99">
      <c r="P99" s="9"/>
      <c r="Q99" s="9"/>
      <c r="R99" s="9"/>
    </row>
    <row r="100">
      <c r="P100" s="9"/>
      <c r="Q100" s="9"/>
      <c r="R100" s="9"/>
    </row>
    <row r="101">
      <c r="P101" s="9"/>
      <c r="Q101" s="9"/>
      <c r="R101" s="9"/>
    </row>
    <row r="102">
      <c r="P102" s="9"/>
      <c r="Q102" s="9"/>
      <c r="R102" s="9"/>
    </row>
    <row r="103">
      <c r="P103" s="9"/>
      <c r="Q103" s="9"/>
      <c r="R103" s="9"/>
    </row>
    <row r="104">
      <c r="P104" s="9"/>
      <c r="Q104" s="9"/>
      <c r="R104" s="9"/>
    </row>
    <row r="105">
      <c r="P105" s="9"/>
      <c r="Q105" s="9"/>
      <c r="R105" s="9"/>
    </row>
    <row r="106">
      <c r="P106" s="9"/>
      <c r="Q106" s="9"/>
      <c r="R106" s="9"/>
    </row>
    <row r="107">
      <c r="P107" s="9"/>
      <c r="Q107" s="9"/>
      <c r="R107" s="9"/>
    </row>
    <row r="108">
      <c r="P108" s="9"/>
      <c r="Q108" s="9"/>
      <c r="R108" s="9"/>
    </row>
    <row r="109">
      <c r="P109" s="9"/>
      <c r="Q109" s="9"/>
      <c r="R109" s="9"/>
    </row>
    <row r="110">
      <c r="P110" s="9"/>
      <c r="Q110" s="9"/>
      <c r="R110" s="9"/>
    </row>
    <row r="111">
      <c r="P111" s="9"/>
      <c r="Q111" s="9"/>
      <c r="R111" s="9"/>
    </row>
    <row r="112">
      <c r="P112" s="9"/>
      <c r="Q112" s="9"/>
      <c r="R112" s="9"/>
    </row>
    <row r="113">
      <c r="P113" s="9"/>
      <c r="Q113" s="9"/>
      <c r="R113" s="9"/>
    </row>
    <row r="114">
      <c r="P114" s="9"/>
      <c r="Q114" s="9"/>
      <c r="R114" s="9"/>
    </row>
    <row r="115">
      <c r="P115" s="9"/>
      <c r="Q115" s="9"/>
      <c r="R115" s="9"/>
    </row>
    <row r="116">
      <c r="P116" s="9"/>
      <c r="Q116" s="9"/>
      <c r="R116" s="9"/>
    </row>
    <row r="117">
      <c r="P117" s="9"/>
      <c r="Q117" s="9"/>
      <c r="R117" s="9"/>
    </row>
    <row r="118">
      <c r="P118" s="9"/>
      <c r="Q118" s="9"/>
      <c r="R118" s="9"/>
    </row>
    <row r="119">
      <c r="P119" s="9"/>
      <c r="Q119" s="9"/>
      <c r="R119" s="9"/>
    </row>
    <row r="120">
      <c r="P120" s="9"/>
      <c r="Q120" s="9"/>
      <c r="R120" s="9"/>
    </row>
    <row r="121">
      <c r="P121" s="9"/>
      <c r="Q121" s="9"/>
      <c r="R121" s="9"/>
    </row>
    <row r="122">
      <c r="P122" s="9"/>
      <c r="Q122" s="9"/>
      <c r="R122" s="9"/>
    </row>
    <row r="123">
      <c r="P123" s="9"/>
      <c r="Q123" s="9"/>
      <c r="R123" s="9"/>
    </row>
    <row r="124">
      <c r="P124" s="9"/>
      <c r="Q124" s="9"/>
      <c r="R124" s="9"/>
    </row>
    <row r="125">
      <c r="P125" s="9"/>
      <c r="Q125" s="9"/>
      <c r="R125" s="9"/>
    </row>
    <row r="126">
      <c r="P126" s="9"/>
      <c r="Q126" s="9"/>
      <c r="R126" s="9"/>
    </row>
    <row r="127">
      <c r="P127" s="9"/>
      <c r="Q127" s="9"/>
      <c r="R127" s="9"/>
    </row>
    <row r="128">
      <c r="P128" s="9"/>
      <c r="Q128" s="9"/>
      <c r="R128" s="9"/>
    </row>
    <row r="129">
      <c r="P129" s="9"/>
      <c r="Q129" s="9"/>
      <c r="R129" s="9"/>
    </row>
    <row r="130">
      <c r="P130" s="9"/>
      <c r="Q130" s="9"/>
      <c r="R130" s="9"/>
    </row>
    <row r="131">
      <c r="P131" s="9"/>
      <c r="Q131" s="9"/>
      <c r="R131" s="9"/>
    </row>
    <row r="132">
      <c r="P132" s="9"/>
      <c r="Q132" s="9"/>
      <c r="R132" s="9"/>
    </row>
    <row r="133">
      <c r="P133" s="9"/>
      <c r="Q133" s="9"/>
      <c r="R133" s="9"/>
    </row>
    <row r="134">
      <c r="P134" s="9"/>
      <c r="Q134" s="9"/>
      <c r="R134" s="9"/>
    </row>
    <row r="135">
      <c r="P135" s="9"/>
      <c r="Q135" s="9"/>
      <c r="R135" s="9"/>
    </row>
    <row r="136">
      <c r="P136" s="9"/>
      <c r="Q136" s="9"/>
      <c r="R136" s="9"/>
    </row>
    <row r="137">
      <c r="P137" s="9"/>
      <c r="Q137" s="9"/>
      <c r="R137" s="9"/>
    </row>
    <row r="138">
      <c r="P138" s="9"/>
      <c r="Q138" s="9"/>
      <c r="R138" s="9"/>
    </row>
    <row r="139">
      <c r="P139" s="9"/>
      <c r="Q139" s="9"/>
      <c r="R139" s="9"/>
    </row>
    <row r="140">
      <c r="P140" s="9"/>
      <c r="Q140" s="9"/>
      <c r="R140" s="9"/>
    </row>
    <row r="141">
      <c r="P141" s="9"/>
      <c r="Q141" s="9"/>
      <c r="R141" s="9"/>
    </row>
    <row r="142">
      <c r="P142" s="9"/>
      <c r="Q142" s="9"/>
      <c r="R142" s="9"/>
    </row>
    <row r="143">
      <c r="P143" s="9"/>
      <c r="Q143" s="9"/>
      <c r="R143" s="9"/>
    </row>
    <row r="144">
      <c r="P144" s="9"/>
      <c r="Q144" s="9"/>
      <c r="R144" s="9"/>
    </row>
    <row r="145">
      <c r="P145" s="9"/>
      <c r="Q145" s="9"/>
      <c r="R145" s="9"/>
    </row>
    <row r="146">
      <c r="P146" s="9"/>
      <c r="Q146" s="9"/>
      <c r="R146" s="9"/>
    </row>
    <row r="147">
      <c r="P147" s="9"/>
      <c r="Q147" s="9"/>
      <c r="R147" s="9"/>
    </row>
    <row r="148">
      <c r="P148" s="9"/>
      <c r="Q148" s="9"/>
      <c r="R148" s="9"/>
    </row>
    <row r="149">
      <c r="P149" s="9"/>
      <c r="Q149" s="9"/>
      <c r="R149" s="9"/>
    </row>
    <row r="150">
      <c r="P150" s="9"/>
      <c r="Q150" s="9"/>
      <c r="R150" s="9"/>
    </row>
    <row r="151">
      <c r="P151" s="9"/>
      <c r="Q151" s="9"/>
      <c r="R151" s="9"/>
    </row>
    <row r="152">
      <c r="P152" s="9"/>
      <c r="Q152" s="9"/>
      <c r="R152" s="9"/>
    </row>
    <row r="153">
      <c r="P153" s="9"/>
      <c r="Q153" s="9"/>
      <c r="R153" s="9"/>
    </row>
    <row r="154">
      <c r="P154" s="9"/>
      <c r="Q154" s="9"/>
      <c r="R154" s="9"/>
    </row>
    <row r="155">
      <c r="P155" s="9"/>
      <c r="Q155" s="9"/>
      <c r="R155" s="9"/>
    </row>
    <row r="156">
      <c r="P156" s="9"/>
      <c r="Q156" s="9"/>
      <c r="R156" s="9"/>
    </row>
    <row r="157">
      <c r="P157" s="9"/>
      <c r="Q157" s="9"/>
      <c r="R157" s="9"/>
    </row>
    <row r="158">
      <c r="P158" s="9"/>
      <c r="Q158" s="9"/>
      <c r="R158" s="9"/>
    </row>
    <row r="159">
      <c r="P159" s="9"/>
      <c r="Q159" s="9"/>
      <c r="R159" s="9"/>
    </row>
    <row r="160">
      <c r="P160" s="9"/>
      <c r="Q160" s="9"/>
      <c r="R160" s="9"/>
    </row>
    <row r="161">
      <c r="P161" s="9"/>
      <c r="Q161" s="9"/>
      <c r="R161" s="9"/>
    </row>
    <row r="162">
      <c r="P162" s="9"/>
      <c r="Q162" s="9"/>
      <c r="R162" s="9"/>
    </row>
    <row r="163">
      <c r="P163" s="9"/>
      <c r="Q163" s="9"/>
      <c r="R163" s="9"/>
    </row>
    <row r="164">
      <c r="P164" s="9"/>
      <c r="Q164" s="9"/>
      <c r="R164" s="9"/>
    </row>
    <row r="165">
      <c r="P165" s="9"/>
      <c r="Q165" s="9"/>
      <c r="R165" s="9"/>
    </row>
    <row r="166">
      <c r="P166" s="9"/>
      <c r="Q166" s="9"/>
      <c r="R166" s="9"/>
    </row>
    <row r="167">
      <c r="P167" s="9"/>
      <c r="Q167" s="9"/>
      <c r="R167" s="9"/>
    </row>
    <row r="168">
      <c r="P168" s="9"/>
      <c r="Q168" s="9"/>
      <c r="R168" s="9"/>
    </row>
    <row r="169">
      <c r="P169" s="9"/>
      <c r="Q169" s="9"/>
      <c r="R169" s="9"/>
    </row>
    <row r="170">
      <c r="P170" s="9"/>
      <c r="Q170" s="9"/>
      <c r="R170" s="9"/>
    </row>
    <row r="171">
      <c r="P171" s="9"/>
      <c r="Q171" s="9"/>
      <c r="R171" s="9"/>
    </row>
    <row r="172">
      <c r="P172" s="9"/>
      <c r="Q172" s="9"/>
      <c r="R172" s="9"/>
    </row>
    <row r="173">
      <c r="P173" s="9"/>
      <c r="Q173" s="9"/>
      <c r="R173" s="9"/>
    </row>
    <row r="174">
      <c r="P174" s="9"/>
      <c r="Q174" s="9"/>
      <c r="R174" s="9"/>
    </row>
    <row r="175">
      <c r="P175" s="9"/>
      <c r="Q175" s="9"/>
      <c r="R175" s="9"/>
    </row>
    <row r="176">
      <c r="P176" s="9"/>
      <c r="Q176" s="9"/>
      <c r="R176" s="9"/>
    </row>
    <row r="177">
      <c r="P177" s="9"/>
      <c r="Q177" s="9"/>
      <c r="R177" s="9"/>
    </row>
    <row r="178">
      <c r="P178" s="9"/>
      <c r="Q178" s="9"/>
      <c r="R178" s="9"/>
    </row>
    <row r="179">
      <c r="P179" s="9"/>
      <c r="Q179" s="9"/>
      <c r="R179" s="9"/>
    </row>
    <row r="180">
      <c r="P180" s="9"/>
      <c r="Q180" s="9"/>
      <c r="R180" s="9"/>
    </row>
    <row r="181">
      <c r="P181" s="9"/>
      <c r="Q181" s="9"/>
      <c r="R181" s="9"/>
    </row>
    <row r="182">
      <c r="P182" s="9"/>
      <c r="Q182" s="9"/>
      <c r="R182" s="9"/>
    </row>
    <row r="183">
      <c r="P183" s="9"/>
      <c r="Q183" s="9"/>
      <c r="R183" s="9"/>
    </row>
    <row r="184">
      <c r="P184" s="9"/>
      <c r="Q184" s="9"/>
      <c r="R184" s="9"/>
    </row>
    <row r="185">
      <c r="P185" s="9"/>
      <c r="Q185" s="9"/>
      <c r="R185" s="9"/>
    </row>
    <row r="186">
      <c r="P186" s="9"/>
      <c r="Q186" s="9"/>
      <c r="R186" s="9"/>
    </row>
    <row r="187">
      <c r="P187" s="9"/>
      <c r="Q187" s="9"/>
      <c r="R187" s="9"/>
    </row>
    <row r="188">
      <c r="P188" s="9"/>
      <c r="Q188" s="9"/>
      <c r="R188" s="9"/>
    </row>
    <row r="189">
      <c r="P189" s="9"/>
      <c r="Q189" s="9"/>
      <c r="R189" s="9"/>
    </row>
    <row r="190">
      <c r="P190" s="9"/>
      <c r="Q190" s="9"/>
      <c r="R190" s="9"/>
    </row>
    <row r="191">
      <c r="P191" s="9"/>
      <c r="Q191" s="9"/>
      <c r="R191" s="9"/>
    </row>
    <row r="192">
      <c r="P192" s="9"/>
      <c r="Q192" s="9"/>
      <c r="R192" s="9"/>
    </row>
    <row r="193">
      <c r="P193" s="9"/>
      <c r="Q193" s="9"/>
      <c r="R193" s="9"/>
    </row>
    <row r="194">
      <c r="P194" s="9"/>
      <c r="Q194" s="9"/>
      <c r="R194" s="9"/>
    </row>
    <row r="195">
      <c r="P195" s="9"/>
      <c r="Q195" s="9"/>
      <c r="R195" s="9"/>
    </row>
    <row r="196">
      <c r="P196" s="9"/>
      <c r="Q196" s="9"/>
      <c r="R196" s="9"/>
    </row>
    <row r="197">
      <c r="P197" s="9"/>
      <c r="Q197" s="9"/>
      <c r="R197" s="9"/>
    </row>
    <row r="198">
      <c r="P198" s="9"/>
      <c r="Q198" s="9"/>
      <c r="R198" s="9"/>
    </row>
    <row r="199">
      <c r="P199" s="9"/>
      <c r="Q199" s="9"/>
      <c r="R199" s="9"/>
    </row>
    <row r="200">
      <c r="P200" s="9"/>
      <c r="Q200" s="9"/>
      <c r="R200" s="9"/>
    </row>
    <row r="201">
      <c r="P201" s="9"/>
      <c r="Q201" s="9"/>
      <c r="R201" s="9"/>
    </row>
    <row r="202">
      <c r="P202" s="9"/>
      <c r="Q202" s="9"/>
      <c r="R202" s="9"/>
    </row>
    <row r="203">
      <c r="P203" s="9"/>
      <c r="Q203" s="9"/>
      <c r="R203" s="9"/>
    </row>
    <row r="204">
      <c r="P204" s="9"/>
      <c r="Q204" s="9"/>
      <c r="R204" s="9"/>
    </row>
    <row r="205">
      <c r="P205" s="9"/>
      <c r="Q205" s="9"/>
      <c r="R205" s="9"/>
    </row>
    <row r="206">
      <c r="P206" s="9"/>
      <c r="Q206" s="9"/>
      <c r="R206" s="9"/>
    </row>
    <row r="207">
      <c r="P207" s="9"/>
      <c r="Q207" s="9"/>
      <c r="R207" s="9"/>
    </row>
    <row r="208">
      <c r="P208" s="9"/>
      <c r="Q208" s="9"/>
      <c r="R208" s="9"/>
    </row>
    <row r="209">
      <c r="P209" s="9"/>
      <c r="Q209" s="9"/>
      <c r="R209" s="9"/>
    </row>
    <row r="210">
      <c r="P210" s="9"/>
      <c r="Q210" s="9"/>
      <c r="R210" s="9"/>
    </row>
    <row r="211">
      <c r="P211" s="9"/>
      <c r="Q211" s="9"/>
      <c r="R211" s="9"/>
    </row>
    <row r="212">
      <c r="P212" s="9"/>
      <c r="Q212" s="9"/>
      <c r="R212" s="9"/>
    </row>
    <row r="213">
      <c r="P213" s="9"/>
      <c r="Q213" s="9"/>
      <c r="R213" s="9"/>
    </row>
    <row r="214">
      <c r="P214" s="9"/>
      <c r="Q214" s="9"/>
      <c r="R214" s="9"/>
    </row>
    <row r="215">
      <c r="P215" s="9"/>
      <c r="Q215" s="9"/>
      <c r="R215" s="9"/>
    </row>
    <row r="216">
      <c r="P216" s="9"/>
      <c r="Q216" s="9"/>
      <c r="R216" s="9"/>
    </row>
    <row r="217">
      <c r="P217" s="9"/>
      <c r="Q217" s="9"/>
      <c r="R217" s="9"/>
    </row>
    <row r="218">
      <c r="P218" s="9"/>
      <c r="Q218" s="9"/>
      <c r="R218" s="9"/>
    </row>
    <row r="219">
      <c r="P219" s="9"/>
      <c r="Q219" s="9"/>
      <c r="R219" s="9"/>
    </row>
    <row r="220">
      <c r="P220" s="9"/>
      <c r="Q220" s="9"/>
      <c r="R220" s="9"/>
    </row>
    <row r="221">
      <c r="P221" s="9"/>
      <c r="Q221" s="9"/>
      <c r="R221" s="9"/>
    </row>
    <row r="222">
      <c r="P222" s="9"/>
      <c r="Q222" s="9"/>
      <c r="R222" s="9"/>
    </row>
    <row r="223">
      <c r="P223" s="9"/>
      <c r="Q223" s="9"/>
      <c r="R223" s="9"/>
    </row>
    <row r="224">
      <c r="P224" s="9"/>
      <c r="Q224" s="9"/>
      <c r="R224" s="9"/>
    </row>
    <row r="225">
      <c r="P225" s="9"/>
      <c r="Q225" s="9"/>
      <c r="R225" s="9"/>
    </row>
    <row r="226">
      <c r="P226" s="9"/>
      <c r="Q226" s="9"/>
      <c r="R226" s="9"/>
    </row>
    <row r="227">
      <c r="P227" s="9"/>
      <c r="Q227" s="9"/>
      <c r="R227" s="9"/>
    </row>
    <row r="228">
      <c r="P228" s="9"/>
      <c r="Q228" s="9"/>
      <c r="R228" s="9"/>
    </row>
    <row r="229">
      <c r="P229" s="9"/>
      <c r="Q229" s="9"/>
      <c r="R229" s="9"/>
    </row>
    <row r="230">
      <c r="P230" s="9"/>
      <c r="Q230" s="9"/>
      <c r="R230" s="9"/>
    </row>
    <row r="231">
      <c r="P231" s="9"/>
      <c r="Q231" s="9"/>
      <c r="R231" s="9"/>
    </row>
    <row r="232">
      <c r="P232" s="9"/>
      <c r="Q232" s="9"/>
      <c r="R232" s="9"/>
    </row>
    <row r="233">
      <c r="P233" s="9"/>
      <c r="Q233" s="9"/>
      <c r="R233" s="9"/>
    </row>
    <row r="234">
      <c r="P234" s="9"/>
      <c r="Q234" s="9"/>
      <c r="R234" s="9"/>
    </row>
    <row r="235">
      <c r="P235" s="9"/>
      <c r="Q235" s="9"/>
      <c r="R235" s="9"/>
    </row>
    <row r="236">
      <c r="P236" s="9"/>
      <c r="Q236" s="9"/>
      <c r="R236" s="9"/>
    </row>
    <row r="237">
      <c r="P237" s="9"/>
      <c r="Q237" s="9"/>
      <c r="R237" s="9"/>
    </row>
    <row r="238">
      <c r="P238" s="9"/>
      <c r="Q238" s="9"/>
      <c r="R238" s="9"/>
    </row>
    <row r="239">
      <c r="P239" s="9"/>
      <c r="Q239" s="9"/>
      <c r="R239" s="9"/>
    </row>
    <row r="240">
      <c r="P240" s="9"/>
      <c r="Q240" s="9"/>
      <c r="R240" s="9"/>
    </row>
    <row r="241">
      <c r="P241" s="9"/>
      <c r="Q241" s="9"/>
      <c r="R241" s="9"/>
    </row>
    <row r="242">
      <c r="P242" s="9"/>
      <c r="Q242" s="9"/>
      <c r="R242" s="9"/>
    </row>
    <row r="243">
      <c r="P243" s="9"/>
      <c r="Q243" s="9"/>
      <c r="R243" s="9"/>
    </row>
    <row r="244">
      <c r="P244" s="9"/>
      <c r="Q244" s="9"/>
      <c r="R244" s="9"/>
    </row>
    <row r="245">
      <c r="P245" s="9"/>
      <c r="Q245" s="9"/>
      <c r="R245" s="9"/>
    </row>
    <row r="246">
      <c r="P246" s="9"/>
      <c r="Q246" s="9"/>
      <c r="R246" s="9"/>
    </row>
    <row r="247">
      <c r="P247" s="9"/>
      <c r="Q247" s="9"/>
      <c r="R247" s="9"/>
    </row>
    <row r="248">
      <c r="P248" s="9"/>
      <c r="Q248" s="9"/>
      <c r="R248" s="9"/>
    </row>
    <row r="249">
      <c r="P249" s="9"/>
      <c r="Q249" s="9"/>
      <c r="R249" s="9"/>
    </row>
    <row r="250">
      <c r="P250" s="9"/>
      <c r="Q250" s="9"/>
      <c r="R250" s="9"/>
    </row>
    <row r="251">
      <c r="P251" s="9"/>
      <c r="Q251" s="9"/>
      <c r="R251" s="9"/>
    </row>
    <row r="252">
      <c r="P252" s="9"/>
      <c r="Q252" s="9"/>
      <c r="R252" s="9"/>
    </row>
    <row r="253">
      <c r="P253" s="9"/>
      <c r="Q253" s="9"/>
      <c r="R253" s="9"/>
    </row>
    <row r="254">
      <c r="P254" s="9"/>
      <c r="Q254" s="9"/>
      <c r="R254" s="9"/>
    </row>
    <row r="255">
      <c r="P255" s="9"/>
      <c r="Q255" s="9"/>
      <c r="R255" s="9"/>
    </row>
    <row r="256">
      <c r="P256" s="9"/>
      <c r="Q256" s="9"/>
      <c r="R256" s="9"/>
    </row>
    <row r="257">
      <c r="P257" s="9"/>
      <c r="Q257" s="9"/>
      <c r="R257" s="9"/>
    </row>
    <row r="258">
      <c r="P258" s="9"/>
      <c r="Q258" s="9"/>
      <c r="R258" s="9"/>
    </row>
    <row r="259">
      <c r="P259" s="9"/>
      <c r="Q259" s="9"/>
      <c r="R259" s="9"/>
    </row>
    <row r="260">
      <c r="P260" s="9"/>
      <c r="Q260" s="9"/>
      <c r="R260" s="9"/>
    </row>
    <row r="261">
      <c r="P261" s="9"/>
      <c r="Q261" s="9"/>
      <c r="R261" s="9"/>
    </row>
    <row r="262">
      <c r="P262" s="9"/>
      <c r="Q262" s="9"/>
      <c r="R262" s="9"/>
    </row>
    <row r="263">
      <c r="P263" s="9"/>
      <c r="Q263" s="9"/>
      <c r="R263" s="9"/>
    </row>
    <row r="264">
      <c r="P264" s="9"/>
      <c r="Q264" s="9"/>
      <c r="R264" s="9"/>
    </row>
    <row r="265">
      <c r="P265" s="9"/>
      <c r="Q265" s="9"/>
      <c r="R265" s="9"/>
    </row>
    <row r="266">
      <c r="P266" s="9"/>
      <c r="Q266" s="9"/>
      <c r="R266" s="9"/>
    </row>
    <row r="267">
      <c r="P267" s="9"/>
      <c r="Q267" s="9"/>
      <c r="R267" s="9"/>
    </row>
    <row r="268">
      <c r="P268" s="9"/>
      <c r="Q268" s="9"/>
      <c r="R268" s="9"/>
    </row>
    <row r="269">
      <c r="P269" s="9"/>
      <c r="Q269" s="9"/>
      <c r="R269" s="9"/>
    </row>
    <row r="270">
      <c r="P270" s="9"/>
      <c r="Q270" s="9"/>
      <c r="R270" s="9"/>
    </row>
    <row r="271">
      <c r="P271" s="9"/>
      <c r="Q271" s="9"/>
      <c r="R271" s="9"/>
    </row>
    <row r="272">
      <c r="P272" s="9"/>
      <c r="Q272" s="9"/>
      <c r="R272" s="9"/>
    </row>
    <row r="273">
      <c r="P273" s="9"/>
      <c r="Q273" s="9"/>
      <c r="R273" s="9"/>
    </row>
    <row r="274">
      <c r="P274" s="9"/>
      <c r="Q274" s="9"/>
      <c r="R274" s="9"/>
    </row>
    <row r="275">
      <c r="P275" s="9"/>
      <c r="Q275" s="9"/>
      <c r="R275" s="9"/>
    </row>
    <row r="276">
      <c r="P276" s="9"/>
      <c r="Q276" s="9"/>
      <c r="R276" s="9"/>
    </row>
    <row r="277">
      <c r="P277" s="9"/>
      <c r="Q277" s="9"/>
      <c r="R277" s="9"/>
    </row>
    <row r="278">
      <c r="P278" s="9"/>
      <c r="Q278" s="9"/>
      <c r="R278" s="9"/>
    </row>
    <row r="279">
      <c r="P279" s="9"/>
      <c r="Q279" s="9"/>
      <c r="R279" s="9"/>
    </row>
    <row r="280">
      <c r="P280" s="9"/>
      <c r="Q280" s="9"/>
      <c r="R280" s="9"/>
    </row>
    <row r="281">
      <c r="P281" s="9"/>
      <c r="Q281" s="9"/>
      <c r="R281" s="9"/>
    </row>
    <row r="282">
      <c r="P282" s="9"/>
      <c r="Q282" s="9"/>
      <c r="R282" s="9"/>
    </row>
    <row r="283">
      <c r="P283" s="9"/>
      <c r="Q283" s="9"/>
      <c r="R283" s="9"/>
    </row>
    <row r="284">
      <c r="P284" s="9"/>
      <c r="Q284" s="9"/>
      <c r="R284" s="9"/>
    </row>
    <row r="285">
      <c r="P285" s="9"/>
      <c r="Q285" s="9"/>
      <c r="R285" s="9"/>
    </row>
    <row r="286">
      <c r="P286" s="9"/>
      <c r="Q286" s="9"/>
      <c r="R286" s="9"/>
    </row>
    <row r="287">
      <c r="P287" s="9"/>
      <c r="Q287" s="9"/>
      <c r="R287" s="9"/>
    </row>
    <row r="288">
      <c r="P288" s="9"/>
      <c r="Q288" s="9"/>
      <c r="R288" s="9"/>
    </row>
    <row r="289">
      <c r="P289" s="9"/>
      <c r="Q289" s="9"/>
      <c r="R289" s="9"/>
    </row>
    <row r="290">
      <c r="P290" s="9"/>
      <c r="Q290" s="9"/>
      <c r="R290" s="9"/>
    </row>
    <row r="291">
      <c r="P291" s="9"/>
      <c r="Q291" s="9"/>
      <c r="R291" s="9"/>
    </row>
    <row r="292">
      <c r="P292" s="9"/>
      <c r="Q292" s="9"/>
      <c r="R292" s="9"/>
    </row>
    <row r="293">
      <c r="P293" s="9"/>
      <c r="Q293" s="9"/>
      <c r="R293" s="9"/>
    </row>
    <row r="294">
      <c r="P294" s="9"/>
      <c r="Q294" s="9"/>
      <c r="R294" s="9"/>
    </row>
    <row r="295">
      <c r="P295" s="9"/>
      <c r="Q295" s="9"/>
      <c r="R295" s="9"/>
    </row>
    <row r="296">
      <c r="P296" s="9"/>
      <c r="Q296" s="9"/>
      <c r="R296" s="9"/>
    </row>
    <row r="297">
      <c r="P297" s="9"/>
      <c r="Q297" s="9"/>
      <c r="R297" s="9"/>
    </row>
    <row r="298">
      <c r="P298" s="9"/>
      <c r="Q298" s="9"/>
      <c r="R298" s="9"/>
    </row>
    <row r="299">
      <c r="P299" s="9"/>
      <c r="Q299" s="9"/>
      <c r="R299" s="9"/>
    </row>
    <row r="300">
      <c r="P300" s="9"/>
      <c r="Q300" s="9"/>
      <c r="R300" s="9"/>
    </row>
    <row r="301">
      <c r="P301" s="9"/>
      <c r="Q301" s="9"/>
      <c r="R301" s="9"/>
    </row>
    <row r="302">
      <c r="P302" s="9"/>
      <c r="Q302" s="9"/>
      <c r="R302" s="9"/>
    </row>
    <row r="303">
      <c r="P303" s="9"/>
      <c r="Q303" s="9"/>
      <c r="R303" s="9"/>
    </row>
    <row r="304">
      <c r="P304" s="9"/>
      <c r="Q304" s="9"/>
      <c r="R304" s="9"/>
    </row>
    <row r="305">
      <c r="P305" s="9"/>
      <c r="Q305" s="9"/>
      <c r="R305" s="9"/>
    </row>
    <row r="306">
      <c r="P306" s="9"/>
      <c r="Q306" s="9"/>
      <c r="R306" s="9"/>
    </row>
    <row r="307">
      <c r="P307" s="9"/>
      <c r="Q307" s="9"/>
      <c r="R307" s="9"/>
    </row>
    <row r="308">
      <c r="P308" s="9"/>
      <c r="Q308" s="9"/>
      <c r="R308" s="9"/>
    </row>
    <row r="309">
      <c r="P309" s="9"/>
      <c r="Q309" s="9"/>
      <c r="R309" s="9"/>
    </row>
    <row r="310">
      <c r="P310" s="9"/>
      <c r="Q310" s="9"/>
      <c r="R310" s="9"/>
    </row>
    <row r="311">
      <c r="P311" s="9"/>
      <c r="Q311" s="9"/>
      <c r="R311" s="9"/>
    </row>
    <row r="312">
      <c r="P312" s="9"/>
      <c r="Q312" s="9"/>
      <c r="R312" s="9"/>
    </row>
    <row r="313">
      <c r="P313" s="9"/>
      <c r="Q313" s="9"/>
      <c r="R313" s="9"/>
    </row>
    <row r="314">
      <c r="P314" s="9"/>
      <c r="Q314" s="9"/>
      <c r="R314" s="9"/>
    </row>
    <row r="315">
      <c r="P315" s="9"/>
      <c r="Q315" s="9"/>
      <c r="R315" s="9"/>
    </row>
    <row r="316">
      <c r="P316" s="9"/>
      <c r="Q316" s="9"/>
      <c r="R316" s="9"/>
    </row>
    <row r="317">
      <c r="P317" s="9"/>
      <c r="Q317" s="9"/>
      <c r="R317" s="9"/>
    </row>
    <row r="318">
      <c r="P318" s="9"/>
      <c r="Q318" s="9"/>
      <c r="R318" s="9"/>
    </row>
    <row r="319">
      <c r="P319" s="9"/>
      <c r="Q319" s="9"/>
      <c r="R319" s="9"/>
    </row>
    <row r="320">
      <c r="P320" s="9"/>
      <c r="Q320" s="9"/>
      <c r="R320" s="9"/>
    </row>
    <row r="321">
      <c r="P321" s="9"/>
      <c r="Q321" s="9"/>
      <c r="R321" s="9"/>
    </row>
    <row r="322">
      <c r="P322" s="9"/>
      <c r="Q322" s="9"/>
      <c r="R322" s="9"/>
    </row>
    <row r="323">
      <c r="P323" s="9"/>
      <c r="Q323" s="9"/>
      <c r="R323" s="9"/>
    </row>
    <row r="324">
      <c r="P324" s="9"/>
      <c r="Q324" s="9"/>
      <c r="R324" s="9"/>
    </row>
    <row r="325">
      <c r="P325" s="9"/>
      <c r="Q325" s="9"/>
      <c r="R325" s="9"/>
    </row>
    <row r="326">
      <c r="P326" s="9"/>
      <c r="Q326" s="9"/>
      <c r="R326" s="9"/>
    </row>
    <row r="327">
      <c r="P327" s="9"/>
      <c r="Q327" s="9"/>
      <c r="R327" s="9"/>
    </row>
    <row r="328">
      <c r="P328" s="9"/>
      <c r="Q328" s="9"/>
      <c r="R328" s="9"/>
    </row>
    <row r="329">
      <c r="P329" s="9"/>
      <c r="Q329" s="9"/>
      <c r="R329" s="9"/>
    </row>
    <row r="330">
      <c r="P330" s="9"/>
      <c r="Q330" s="9"/>
      <c r="R330" s="9"/>
    </row>
    <row r="331">
      <c r="P331" s="9"/>
      <c r="Q331" s="9"/>
      <c r="R331" s="9"/>
    </row>
    <row r="332">
      <c r="P332" s="9"/>
      <c r="Q332" s="9"/>
      <c r="R332" s="9"/>
    </row>
    <row r="333">
      <c r="P333" s="9"/>
      <c r="Q333" s="9"/>
      <c r="R333" s="9"/>
    </row>
    <row r="334">
      <c r="P334" s="9"/>
      <c r="Q334" s="9"/>
      <c r="R334" s="9"/>
    </row>
    <row r="335">
      <c r="P335" s="9"/>
      <c r="Q335" s="9"/>
      <c r="R335" s="9"/>
    </row>
    <row r="336">
      <c r="P336" s="9"/>
      <c r="Q336" s="9"/>
      <c r="R336" s="9"/>
    </row>
    <row r="337">
      <c r="P337" s="9"/>
      <c r="Q337" s="9"/>
      <c r="R337" s="9"/>
    </row>
    <row r="338">
      <c r="P338" s="9"/>
      <c r="Q338" s="9"/>
      <c r="R338" s="9"/>
    </row>
    <row r="339">
      <c r="P339" s="9"/>
      <c r="Q339" s="9"/>
      <c r="R339" s="9"/>
    </row>
    <row r="340">
      <c r="P340" s="9"/>
      <c r="Q340" s="9"/>
      <c r="R340" s="9"/>
    </row>
    <row r="341">
      <c r="P341" s="9"/>
      <c r="Q341" s="9"/>
      <c r="R341" s="9"/>
    </row>
    <row r="342">
      <c r="P342" s="9"/>
      <c r="Q342" s="9"/>
      <c r="R342" s="9"/>
    </row>
    <row r="343">
      <c r="P343" s="9"/>
      <c r="Q343" s="9"/>
      <c r="R343" s="9"/>
    </row>
    <row r="344">
      <c r="P344" s="9"/>
      <c r="Q344" s="9"/>
      <c r="R344" s="9"/>
    </row>
    <row r="345">
      <c r="P345" s="9"/>
      <c r="Q345" s="9"/>
      <c r="R345" s="9"/>
    </row>
    <row r="346">
      <c r="P346" s="9"/>
      <c r="Q346" s="9"/>
      <c r="R346" s="9"/>
    </row>
    <row r="347">
      <c r="P347" s="9"/>
      <c r="Q347" s="9"/>
      <c r="R347" s="9"/>
    </row>
    <row r="348">
      <c r="P348" s="9"/>
      <c r="Q348" s="9"/>
      <c r="R348" s="9"/>
    </row>
    <row r="349">
      <c r="P349" s="9"/>
      <c r="Q349" s="9"/>
      <c r="R349" s="9"/>
    </row>
    <row r="350">
      <c r="P350" s="9"/>
      <c r="Q350" s="9"/>
      <c r="R350" s="9"/>
    </row>
    <row r="351">
      <c r="P351" s="9"/>
      <c r="Q351" s="9"/>
      <c r="R351" s="9"/>
    </row>
    <row r="352">
      <c r="P352" s="9"/>
      <c r="Q352" s="9"/>
      <c r="R352" s="9"/>
    </row>
    <row r="353">
      <c r="P353" s="9"/>
      <c r="Q353" s="9"/>
      <c r="R353" s="9"/>
    </row>
    <row r="354">
      <c r="P354" s="9"/>
      <c r="Q354" s="9"/>
      <c r="R354" s="9"/>
    </row>
    <row r="355">
      <c r="P355" s="9"/>
      <c r="Q355" s="9"/>
      <c r="R355" s="9"/>
    </row>
    <row r="356">
      <c r="P356" s="9"/>
      <c r="Q356" s="9"/>
      <c r="R356" s="9"/>
    </row>
    <row r="357">
      <c r="P357" s="9"/>
      <c r="Q357" s="9"/>
      <c r="R357" s="9"/>
    </row>
    <row r="358">
      <c r="P358" s="9"/>
      <c r="Q358" s="9"/>
      <c r="R358" s="9"/>
    </row>
    <row r="359">
      <c r="P359" s="9"/>
      <c r="Q359" s="9"/>
      <c r="R359" s="9"/>
    </row>
    <row r="360">
      <c r="P360" s="9"/>
      <c r="Q360" s="9"/>
      <c r="R360" s="9"/>
    </row>
    <row r="361">
      <c r="P361" s="9"/>
      <c r="Q361" s="9"/>
      <c r="R361" s="9"/>
    </row>
    <row r="362">
      <c r="P362" s="9"/>
      <c r="Q362" s="9"/>
      <c r="R362" s="9"/>
    </row>
    <row r="363">
      <c r="P363" s="9"/>
      <c r="Q363" s="9"/>
      <c r="R363" s="9"/>
    </row>
    <row r="364">
      <c r="P364" s="9"/>
      <c r="Q364" s="9"/>
      <c r="R364" s="9"/>
    </row>
    <row r="365">
      <c r="P365" s="9"/>
      <c r="Q365" s="9"/>
      <c r="R365" s="9"/>
    </row>
    <row r="366">
      <c r="P366" s="9"/>
      <c r="Q366" s="9"/>
      <c r="R366" s="9"/>
    </row>
    <row r="367">
      <c r="P367" s="9"/>
      <c r="Q367" s="9"/>
      <c r="R367" s="9"/>
    </row>
    <row r="368">
      <c r="P368" s="9"/>
      <c r="Q368" s="9"/>
      <c r="R368" s="9"/>
    </row>
    <row r="369">
      <c r="P369" s="9"/>
      <c r="Q369" s="9"/>
      <c r="R369" s="9"/>
    </row>
    <row r="370">
      <c r="P370" s="9"/>
      <c r="Q370" s="9"/>
      <c r="R370" s="9"/>
    </row>
    <row r="371">
      <c r="P371" s="9"/>
      <c r="Q371" s="9"/>
      <c r="R371" s="9"/>
    </row>
    <row r="372">
      <c r="P372" s="9"/>
      <c r="Q372" s="9"/>
      <c r="R372" s="9"/>
    </row>
    <row r="373">
      <c r="P373" s="9"/>
      <c r="Q373" s="9"/>
      <c r="R373" s="9"/>
    </row>
    <row r="374">
      <c r="P374" s="9"/>
      <c r="Q374" s="9"/>
      <c r="R374" s="9"/>
    </row>
    <row r="375">
      <c r="P375" s="9"/>
      <c r="Q375" s="9"/>
      <c r="R375" s="9"/>
    </row>
    <row r="376">
      <c r="P376" s="9"/>
      <c r="Q376" s="9"/>
      <c r="R376" s="9"/>
    </row>
    <row r="377">
      <c r="P377" s="9"/>
      <c r="Q377" s="9"/>
      <c r="R377" s="9"/>
    </row>
    <row r="378">
      <c r="P378" s="9"/>
      <c r="Q378" s="9"/>
      <c r="R378" s="9"/>
    </row>
    <row r="379">
      <c r="P379" s="9"/>
      <c r="Q379" s="9"/>
      <c r="R379" s="9"/>
    </row>
    <row r="380">
      <c r="P380" s="9"/>
      <c r="Q380" s="9"/>
      <c r="R380" s="9"/>
    </row>
    <row r="381">
      <c r="P381" s="9"/>
      <c r="Q381" s="9"/>
      <c r="R381" s="9"/>
    </row>
    <row r="382">
      <c r="P382" s="9"/>
      <c r="Q382" s="9"/>
      <c r="R382" s="9"/>
    </row>
    <row r="383">
      <c r="P383" s="9"/>
      <c r="Q383" s="9"/>
      <c r="R383" s="9"/>
    </row>
    <row r="384">
      <c r="P384" s="9"/>
      <c r="Q384" s="9"/>
      <c r="R384" s="9"/>
    </row>
    <row r="385">
      <c r="P385" s="9"/>
      <c r="Q385" s="9"/>
      <c r="R385" s="9"/>
    </row>
    <row r="386">
      <c r="P386" s="9"/>
      <c r="Q386" s="9"/>
      <c r="R386" s="9"/>
    </row>
    <row r="387">
      <c r="P387" s="9"/>
      <c r="Q387" s="9"/>
      <c r="R387" s="9"/>
    </row>
    <row r="388">
      <c r="P388" s="9"/>
      <c r="Q388" s="9"/>
      <c r="R388" s="9"/>
    </row>
    <row r="389">
      <c r="P389" s="9"/>
      <c r="Q389" s="9"/>
      <c r="R389" s="9"/>
    </row>
    <row r="390">
      <c r="P390" s="9"/>
      <c r="Q390" s="9"/>
      <c r="R390" s="9"/>
    </row>
    <row r="391">
      <c r="P391" s="9"/>
      <c r="Q391" s="9"/>
      <c r="R391" s="9"/>
    </row>
    <row r="392">
      <c r="P392" s="9"/>
      <c r="Q392" s="9"/>
      <c r="R392" s="9"/>
    </row>
    <row r="393">
      <c r="P393" s="9"/>
      <c r="Q393" s="9"/>
      <c r="R393" s="9"/>
    </row>
    <row r="394">
      <c r="P394" s="9"/>
      <c r="Q394" s="9"/>
      <c r="R394" s="9"/>
    </row>
    <row r="395">
      <c r="P395" s="9"/>
      <c r="Q395" s="9"/>
      <c r="R395" s="9"/>
    </row>
    <row r="396">
      <c r="P396" s="9"/>
      <c r="Q396" s="9"/>
      <c r="R396" s="9"/>
    </row>
    <row r="397">
      <c r="P397" s="9"/>
      <c r="Q397" s="9"/>
      <c r="R397" s="9"/>
    </row>
    <row r="398">
      <c r="P398" s="9"/>
      <c r="Q398" s="9"/>
      <c r="R398" s="9"/>
    </row>
    <row r="399">
      <c r="P399" s="9"/>
      <c r="Q399" s="9"/>
      <c r="R399" s="9"/>
    </row>
    <row r="400">
      <c r="P400" s="9"/>
      <c r="Q400" s="9"/>
      <c r="R400" s="9"/>
    </row>
    <row r="401">
      <c r="P401" s="9"/>
      <c r="Q401" s="9"/>
      <c r="R401" s="9"/>
    </row>
    <row r="402">
      <c r="P402" s="9"/>
      <c r="Q402" s="9"/>
      <c r="R402" s="9"/>
    </row>
    <row r="403">
      <c r="P403" s="9"/>
      <c r="Q403" s="9"/>
      <c r="R403" s="9"/>
    </row>
    <row r="404">
      <c r="P404" s="9"/>
      <c r="Q404" s="9"/>
      <c r="R404" s="9"/>
    </row>
    <row r="405">
      <c r="P405" s="9"/>
      <c r="Q405" s="9"/>
      <c r="R405" s="9"/>
    </row>
    <row r="406">
      <c r="P406" s="9"/>
      <c r="Q406" s="9"/>
      <c r="R406" s="9"/>
    </row>
    <row r="407">
      <c r="P407" s="9"/>
      <c r="Q407" s="9"/>
      <c r="R407" s="9"/>
    </row>
    <row r="408">
      <c r="P408" s="9"/>
      <c r="Q408" s="9"/>
      <c r="R408" s="9"/>
    </row>
    <row r="409">
      <c r="P409" s="9"/>
      <c r="Q409" s="9"/>
      <c r="R409" s="9"/>
    </row>
    <row r="410">
      <c r="P410" s="9"/>
      <c r="Q410" s="9"/>
      <c r="R410" s="9"/>
    </row>
    <row r="411">
      <c r="P411" s="9"/>
      <c r="Q411" s="9"/>
      <c r="R411" s="9"/>
    </row>
    <row r="412">
      <c r="P412" s="9"/>
      <c r="Q412" s="9"/>
      <c r="R412" s="9"/>
    </row>
    <row r="413">
      <c r="P413" s="9"/>
      <c r="Q413" s="9"/>
      <c r="R413" s="9"/>
    </row>
    <row r="414">
      <c r="P414" s="9"/>
      <c r="Q414" s="9"/>
      <c r="R414" s="9"/>
    </row>
    <row r="415">
      <c r="P415" s="9"/>
      <c r="Q415" s="9"/>
      <c r="R415" s="9"/>
    </row>
    <row r="416">
      <c r="P416" s="9"/>
      <c r="Q416" s="9"/>
      <c r="R416" s="9"/>
    </row>
    <row r="417">
      <c r="P417" s="9"/>
      <c r="Q417" s="9"/>
      <c r="R417" s="9"/>
    </row>
    <row r="418">
      <c r="P418" s="9"/>
      <c r="Q418" s="9"/>
      <c r="R418" s="9"/>
    </row>
    <row r="419">
      <c r="P419" s="9"/>
      <c r="Q419" s="9"/>
      <c r="R419" s="9"/>
    </row>
    <row r="420">
      <c r="P420" s="9"/>
      <c r="Q420" s="9"/>
      <c r="R420" s="9"/>
    </row>
    <row r="421">
      <c r="P421" s="9"/>
      <c r="Q421" s="9"/>
      <c r="R421" s="9"/>
    </row>
    <row r="422">
      <c r="P422" s="9"/>
      <c r="Q422" s="9"/>
      <c r="R422" s="9"/>
    </row>
    <row r="423">
      <c r="P423" s="9"/>
      <c r="Q423" s="9"/>
      <c r="R423" s="9"/>
    </row>
    <row r="424">
      <c r="P424" s="9"/>
      <c r="Q424" s="9"/>
      <c r="R424" s="9"/>
    </row>
    <row r="425">
      <c r="P425" s="9"/>
      <c r="Q425" s="9"/>
      <c r="R425" s="9"/>
    </row>
    <row r="426">
      <c r="P426" s="9"/>
      <c r="Q426" s="9"/>
      <c r="R426" s="9"/>
    </row>
    <row r="427">
      <c r="P427" s="9"/>
      <c r="Q427" s="9"/>
      <c r="R427" s="9"/>
    </row>
    <row r="428">
      <c r="P428" s="9"/>
      <c r="Q428" s="9"/>
      <c r="R428" s="9"/>
    </row>
    <row r="429">
      <c r="P429" s="9"/>
      <c r="Q429" s="9"/>
      <c r="R429" s="9"/>
    </row>
    <row r="430">
      <c r="P430" s="9"/>
      <c r="Q430" s="9"/>
      <c r="R430" s="9"/>
    </row>
    <row r="431">
      <c r="P431" s="9"/>
      <c r="Q431" s="9"/>
      <c r="R431" s="9"/>
    </row>
    <row r="432">
      <c r="P432" s="9"/>
      <c r="Q432" s="9"/>
      <c r="R432" s="9"/>
    </row>
    <row r="433">
      <c r="P433" s="9"/>
      <c r="Q433" s="9"/>
      <c r="R433" s="9"/>
    </row>
    <row r="434">
      <c r="P434" s="9"/>
      <c r="Q434" s="9"/>
      <c r="R434" s="9"/>
    </row>
    <row r="435">
      <c r="P435" s="9"/>
      <c r="Q435" s="9"/>
      <c r="R435" s="9"/>
    </row>
    <row r="436">
      <c r="P436" s="9"/>
      <c r="Q436" s="9"/>
      <c r="R436" s="9"/>
    </row>
    <row r="437">
      <c r="P437" s="9"/>
      <c r="Q437" s="9"/>
      <c r="R437" s="9"/>
    </row>
    <row r="438">
      <c r="P438" s="9"/>
      <c r="Q438" s="9"/>
      <c r="R438" s="9"/>
    </row>
    <row r="439">
      <c r="P439" s="9"/>
      <c r="Q439" s="9"/>
      <c r="R439" s="9"/>
    </row>
    <row r="440">
      <c r="P440" s="9"/>
      <c r="Q440" s="9"/>
      <c r="R440" s="9"/>
    </row>
    <row r="441">
      <c r="P441" s="9"/>
      <c r="Q441" s="9"/>
      <c r="R441" s="9"/>
    </row>
    <row r="442">
      <c r="P442" s="9"/>
      <c r="Q442" s="9"/>
      <c r="R442" s="9"/>
    </row>
    <row r="443">
      <c r="P443" s="9"/>
      <c r="Q443" s="9"/>
      <c r="R443" s="9"/>
    </row>
    <row r="444">
      <c r="P444" s="9"/>
      <c r="Q444" s="9"/>
      <c r="R444" s="9"/>
    </row>
    <row r="445">
      <c r="P445" s="9"/>
      <c r="Q445" s="9"/>
      <c r="R445" s="9"/>
    </row>
    <row r="446">
      <c r="P446" s="9"/>
      <c r="Q446" s="9"/>
      <c r="R446" s="9"/>
    </row>
    <row r="447">
      <c r="P447" s="9"/>
      <c r="Q447" s="9"/>
      <c r="R447" s="9"/>
    </row>
    <row r="448">
      <c r="P448" s="9"/>
      <c r="Q448" s="9"/>
      <c r="R448" s="9"/>
    </row>
    <row r="449">
      <c r="P449" s="9"/>
      <c r="Q449" s="9"/>
      <c r="R449" s="9"/>
    </row>
    <row r="450">
      <c r="P450" s="9"/>
      <c r="Q450" s="9"/>
      <c r="R450" s="9"/>
    </row>
    <row r="451">
      <c r="P451" s="9"/>
      <c r="Q451" s="9"/>
      <c r="R451" s="9"/>
    </row>
    <row r="452">
      <c r="P452" s="9"/>
      <c r="Q452" s="9"/>
      <c r="R452" s="9"/>
    </row>
    <row r="453">
      <c r="P453" s="9"/>
      <c r="Q453" s="9"/>
      <c r="R453" s="9"/>
    </row>
    <row r="454">
      <c r="P454" s="9"/>
      <c r="Q454" s="9"/>
      <c r="R454" s="9"/>
    </row>
    <row r="455">
      <c r="P455" s="9"/>
      <c r="Q455" s="9"/>
      <c r="R455" s="9"/>
    </row>
    <row r="456">
      <c r="P456" s="9"/>
      <c r="Q456" s="9"/>
      <c r="R456" s="9"/>
    </row>
    <row r="457">
      <c r="P457" s="9"/>
      <c r="Q457" s="9"/>
      <c r="R457" s="9"/>
    </row>
    <row r="458">
      <c r="P458" s="9"/>
      <c r="Q458" s="9"/>
      <c r="R458" s="9"/>
    </row>
    <row r="459">
      <c r="P459" s="9"/>
      <c r="Q459" s="9"/>
      <c r="R459" s="9"/>
    </row>
    <row r="460">
      <c r="P460" s="9"/>
      <c r="Q460" s="9"/>
      <c r="R460" s="9"/>
    </row>
    <row r="461">
      <c r="P461" s="9"/>
      <c r="Q461" s="9"/>
      <c r="R461" s="9"/>
    </row>
    <row r="462">
      <c r="P462" s="9"/>
      <c r="Q462" s="9"/>
      <c r="R462" s="9"/>
    </row>
    <row r="463">
      <c r="P463" s="9"/>
      <c r="Q463" s="9"/>
      <c r="R463" s="9"/>
    </row>
    <row r="464">
      <c r="P464" s="9"/>
      <c r="Q464" s="9"/>
      <c r="R464" s="9"/>
    </row>
    <row r="465">
      <c r="P465" s="9"/>
      <c r="Q465" s="9"/>
      <c r="R465" s="9"/>
    </row>
    <row r="466">
      <c r="P466" s="9"/>
      <c r="Q466" s="9"/>
      <c r="R466" s="9"/>
    </row>
    <row r="467">
      <c r="P467" s="9"/>
      <c r="Q467" s="9"/>
      <c r="R467" s="9"/>
    </row>
    <row r="468">
      <c r="P468" s="9"/>
      <c r="Q468" s="9"/>
      <c r="R468" s="9"/>
    </row>
    <row r="469">
      <c r="P469" s="9"/>
      <c r="Q469" s="9"/>
      <c r="R469" s="9"/>
    </row>
    <row r="470">
      <c r="P470" s="9"/>
      <c r="Q470" s="9"/>
      <c r="R470" s="9"/>
    </row>
    <row r="471">
      <c r="P471" s="9"/>
      <c r="Q471" s="9"/>
      <c r="R471" s="9"/>
    </row>
    <row r="472">
      <c r="P472" s="9"/>
      <c r="Q472" s="9"/>
      <c r="R472" s="9"/>
    </row>
    <row r="473">
      <c r="P473" s="9"/>
      <c r="Q473" s="9"/>
      <c r="R473" s="9"/>
    </row>
    <row r="474">
      <c r="P474" s="9"/>
      <c r="Q474" s="9"/>
      <c r="R474" s="9"/>
    </row>
    <row r="475">
      <c r="P475" s="9"/>
      <c r="Q475" s="9"/>
      <c r="R475" s="9"/>
    </row>
    <row r="476">
      <c r="P476" s="9"/>
      <c r="Q476" s="9"/>
      <c r="R476" s="9"/>
    </row>
    <row r="477">
      <c r="P477" s="9"/>
      <c r="Q477" s="9"/>
      <c r="R477" s="9"/>
    </row>
    <row r="478">
      <c r="P478" s="9"/>
      <c r="Q478" s="9"/>
      <c r="R478" s="9"/>
    </row>
    <row r="479">
      <c r="P479" s="9"/>
      <c r="Q479" s="9"/>
      <c r="R479" s="9"/>
    </row>
    <row r="480">
      <c r="P480" s="9"/>
      <c r="Q480" s="9"/>
      <c r="R480" s="9"/>
    </row>
    <row r="481">
      <c r="P481" s="9"/>
      <c r="Q481" s="9"/>
      <c r="R481" s="9"/>
    </row>
    <row r="482">
      <c r="P482" s="9"/>
      <c r="Q482" s="9"/>
      <c r="R482" s="9"/>
    </row>
    <row r="483">
      <c r="P483" s="9"/>
      <c r="Q483" s="9"/>
      <c r="R483" s="9"/>
    </row>
    <row r="484">
      <c r="P484" s="9"/>
      <c r="Q484" s="9"/>
      <c r="R484" s="9"/>
    </row>
    <row r="485">
      <c r="P485" s="9"/>
      <c r="Q485" s="9"/>
      <c r="R485" s="9"/>
    </row>
    <row r="486">
      <c r="P486" s="9"/>
      <c r="Q486" s="9"/>
      <c r="R486" s="9"/>
    </row>
    <row r="487">
      <c r="P487" s="9"/>
      <c r="Q487" s="9"/>
      <c r="R487" s="9"/>
    </row>
    <row r="488">
      <c r="P488" s="9"/>
      <c r="Q488" s="9"/>
      <c r="R488" s="9"/>
    </row>
    <row r="489">
      <c r="P489" s="9"/>
      <c r="Q489" s="9"/>
      <c r="R489" s="9"/>
    </row>
    <row r="490">
      <c r="P490" s="9"/>
      <c r="Q490" s="9"/>
      <c r="R490" s="9"/>
    </row>
    <row r="491">
      <c r="P491" s="9"/>
      <c r="Q491" s="9"/>
      <c r="R491" s="9"/>
    </row>
    <row r="492">
      <c r="P492" s="9"/>
      <c r="Q492" s="9"/>
      <c r="R492" s="9"/>
    </row>
    <row r="493">
      <c r="P493" s="9"/>
      <c r="Q493" s="9"/>
      <c r="R493" s="9"/>
    </row>
    <row r="494">
      <c r="P494" s="9"/>
      <c r="Q494" s="9"/>
      <c r="R494" s="9"/>
    </row>
    <row r="495">
      <c r="P495" s="9"/>
      <c r="Q495" s="9"/>
      <c r="R495" s="9"/>
    </row>
    <row r="496">
      <c r="P496" s="9"/>
      <c r="Q496" s="9"/>
      <c r="R496" s="9"/>
    </row>
    <row r="497">
      <c r="P497" s="9"/>
      <c r="Q497" s="9"/>
      <c r="R497" s="9"/>
    </row>
    <row r="498">
      <c r="P498" s="9"/>
      <c r="Q498" s="9"/>
      <c r="R498" s="9"/>
    </row>
    <row r="499">
      <c r="P499" s="9"/>
      <c r="Q499" s="9"/>
      <c r="R499" s="9"/>
    </row>
    <row r="500">
      <c r="P500" s="9"/>
      <c r="Q500" s="9"/>
      <c r="R500" s="9"/>
    </row>
    <row r="501">
      <c r="P501" s="9"/>
      <c r="Q501" s="9"/>
      <c r="R501" s="9"/>
    </row>
    <row r="502">
      <c r="P502" s="9"/>
      <c r="Q502" s="9"/>
      <c r="R502" s="9"/>
    </row>
    <row r="503">
      <c r="P503" s="9"/>
      <c r="Q503" s="9"/>
      <c r="R503" s="9"/>
    </row>
    <row r="504">
      <c r="P504" s="9"/>
      <c r="Q504" s="9"/>
      <c r="R504" s="9"/>
    </row>
    <row r="505">
      <c r="P505" s="9"/>
      <c r="Q505" s="9"/>
      <c r="R505" s="9"/>
    </row>
    <row r="506">
      <c r="P506" s="9"/>
      <c r="Q506" s="9"/>
      <c r="R506" s="9"/>
    </row>
    <row r="507">
      <c r="P507" s="9"/>
      <c r="Q507" s="9"/>
      <c r="R507" s="9"/>
    </row>
    <row r="508">
      <c r="P508" s="9"/>
      <c r="Q508" s="9"/>
      <c r="R508" s="9"/>
    </row>
    <row r="509">
      <c r="P509" s="9"/>
      <c r="Q509" s="9"/>
      <c r="R509" s="9"/>
    </row>
    <row r="510">
      <c r="P510" s="9"/>
      <c r="Q510" s="9"/>
      <c r="R510" s="9"/>
    </row>
    <row r="511">
      <c r="P511" s="9"/>
      <c r="Q511" s="9"/>
      <c r="R511" s="9"/>
    </row>
    <row r="512">
      <c r="P512" s="9"/>
      <c r="Q512" s="9"/>
      <c r="R512" s="9"/>
    </row>
    <row r="513">
      <c r="P513" s="9"/>
      <c r="Q513" s="9"/>
      <c r="R513" s="9"/>
    </row>
    <row r="514">
      <c r="P514" s="9"/>
      <c r="Q514" s="9"/>
      <c r="R514" s="9"/>
    </row>
    <row r="515">
      <c r="P515" s="9"/>
      <c r="Q515" s="9"/>
      <c r="R515" s="9"/>
    </row>
    <row r="516">
      <c r="P516" s="9"/>
      <c r="Q516" s="9"/>
      <c r="R516" s="9"/>
    </row>
    <row r="517">
      <c r="P517" s="9"/>
      <c r="Q517" s="9"/>
      <c r="R517" s="9"/>
    </row>
    <row r="518">
      <c r="P518" s="9"/>
      <c r="Q518" s="9"/>
      <c r="R518" s="9"/>
    </row>
    <row r="519">
      <c r="P519" s="9"/>
      <c r="Q519" s="9"/>
      <c r="R519" s="9"/>
    </row>
    <row r="520">
      <c r="P520" s="9"/>
      <c r="Q520" s="9"/>
      <c r="R520" s="9"/>
    </row>
    <row r="521">
      <c r="P521" s="9"/>
      <c r="Q521" s="9"/>
      <c r="R521" s="9"/>
    </row>
    <row r="522">
      <c r="P522" s="9"/>
      <c r="Q522" s="9"/>
      <c r="R522" s="9"/>
    </row>
    <row r="523">
      <c r="P523" s="9"/>
      <c r="Q523" s="9"/>
      <c r="R523" s="9"/>
    </row>
    <row r="524">
      <c r="P524" s="9"/>
      <c r="Q524" s="9"/>
      <c r="R524" s="9"/>
    </row>
    <row r="525">
      <c r="P525" s="9"/>
      <c r="Q525" s="9"/>
      <c r="R525" s="9"/>
    </row>
    <row r="526">
      <c r="P526" s="9"/>
      <c r="Q526" s="9"/>
      <c r="R526" s="9"/>
    </row>
    <row r="527">
      <c r="P527" s="9"/>
      <c r="Q527" s="9"/>
      <c r="R527" s="9"/>
    </row>
    <row r="528">
      <c r="P528" s="9"/>
      <c r="Q528" s="9"/>
      <c r="R528" s="9"/>
    </row>
    <row r="529">
      <c r="P529" s="9"/>
      <c r="Q529" s="9"/>
      <c r="R529" s="9"/>
    </row>
    <row r="530">
      <c r="P530" s="9"/>
      <c r="Q530" s="9"/>
      <c r="R530" s="9"/>
    </row>
    <row r="531">
      <c r="P531" s="9"/>
      <c r="Q531" s="9"/>
      <c r="R531" s="9"/>
    </row>
    <row r="532">
      <c r="P532" s="9"/>
      <c r="Q532" s="9"/>
      <c r="R532" s="9"/>
    </row>
    <row r="533">
      <c r="P533" s="9"/>
      <c r="Q533" s="9"/>
      <c r="R533" s="9"/>
    </row>
    <row r="534">
      <c r="P534" s="9"/>
      <c r="Q534" s="9"/>
      <c r="R534" s="9"/>
    </row>
    <row r="535">
      <c r="P535" s="9"/>
      <c r="Q535" s="9"/>
      <c r="R535" s="9"/>
    </row>
    <row r="536">
      <c r="P536" s="9"/>
      <c r="Q536" s="9"/>
      <c r="R536" s="9"/>
    </row>
    <row r="537">
      <c r="P537" s="9"/>
      <c r="Q537" s="9"/>
      <c r="R537" s="9"/>
    </row>
    <row r="538">
      <c r="P538" s="9"/>
      <c r="Q538" s="9"/>
      <c r="R538" s="9"/>
    </row>
    <row r="539">
      <c r="P539" s="9"/>
      <c r="Q539" s="9"/>
      <c r="R539" s="9"/>
    </row>
    <row r="540">
      <c r="P540" s="9"/>
      <c r="Q540" s="9"/>
      <c r="R540" s="9"/>
    </row>
    <row r="541">
      <c r="P541" s="9"/>
      <c r="Q541" s="9"/>
      <c r="R541" s="9"/>
    </row>
    <row r="542">
      <c r="P542" s="9"/>
      <c r="Q542" s="9"/>
      <c r="R542" s="9"/>
    </row>
    <row r="543">
      <c r="P543" s="9"/>
      <c r="Q543" s="9"/>
      <c r="R543" s="9"/>
    </row>
    <row r="544">
      <c r="P544" s="9"/>
      <c r="Q544" s="9"/>
      <c r="R544" s="9"/>
    </row>
    <row r="545">
      <c r="P545" s="9"/>
      <c r="Q545" s="9"/>
      <c r="R545" s="9"/>
    </row>
    <row r="546">
      <c r="P546" s="9"/>
      <c r="Q546" s="9"/>
      <c r="R546" s="9"/>
    </row>
    <row r="547">
      <c r="P547" s="9"/>
      <c r="Q547" s="9"/>
      <c r="R547" s="9"/>
    </row>
    <row r="548">
      <c r="P548" s="9"/>
      <c r="Q548" s="9"/>
      <c r="R548" s="9"/>
    </row>
    <row r="549">
      <c r="P549" s="9"/>
      <c r="Q549" s="9"/>
      <c r="R549" s="9"/>
    </row>
    <row r="550">
      <c r="P550" s="9"/>
      <c r="Q550" s="9"/>
      <c r="R550" s="9"/>
    </row>
    <row r="551">
      <c r="P551" s="9"/>
      <c r="Q551" s="9"/>
      <c r="R551" s="9"/>
    </row>
    <row r="552">
      <c r="P552" s="9"/>
      <c r="Q552" s="9"/>
      <c r="R552" s="9"/>
    </row>
    <row r="553">
      <c r="P553" s="9"/>
      <c r="Q553" s="9"/>
      <c r="R553" s="9"/>
    </row>
    <row r="554">
      <c r="P554" s="9"/>
      <c r="Q554" s="9"/>
      <c r="R554" s="9"/>
    </row>
    <row r="555">
      <c r="P555" s="9"/>
      <c r="Q555" s="9"/>
      <c r="R555" s="9"/>
    </row>
    <row r="556">
      <c r="P556" s="9"/>
      <c r="Q556" s="9"/>
      <c r="R556" s="9"/>
    </row>
    <row r="557">
      <c r="P557" s="9"/>
      <c r="Q557" s="9"/>
      <c r="R557" s="9"/>
    </row>
    <row r="558">
      <c r="P558" s="9"/>
      <c r="Q558" s="9"/>
      <c r="R558" s="9"/>
    </row>
    <row r="559">
      <c r="P559" s="9"/>
      <c r="Q559" s="9"/>
      <c r="R559" s="9"/>
    </row>
    <row r="560">
      <c r="P560" s="9"/>
      <c r="Q560" s="9"/>
      <c r="R560" s="9"/>
    </row>
    <row r="561">
      <c r="P561" s="9"/>
      <c r="Q561" s="9"/>
      <c r="R561" s="9"/>
    </row>
    <row r="562">
      <c r="P562" s="9"/>
      <c r="Q562" s="9"/>
      <c r="R562" s="9"/>
    </row>
    <row r="563">
      <c r="P563" s="9"/>
      <c r="Q563" s="9"/>
      <c r="R563" s="9"/>
    </row>
    <row r="564">
      <c r="P564" s="9"/>
      <c r="Q564" s="9"/>
      <c r="R564" s="9"/>
    </row>
    <row r="565">
      <c r="P565" s="9"/>
      <c r="Q565" s="9"/>
      <c r="R565" s="9"/>
    </row>
    <row r="566">
      <c r="P566" s="9"/>
      <c r="Q566" s="9"/>
      <c r="R566" s="9"/>
    </row>
    <row r="567">
      <c r="P567" s="9"/>
      <c r="Q567" s="9"/>
      <c r="R567" s="9"/>
    </row>
    <row r="568">
      <c r="P568" s="9"/>
      <c r="Q568" s="9"/>
      <c r="R568" s="9"/>
    </row>
    <row r="569">
      <c r="P569" s="9"/>
      <c r="Q569" s="9"/>
      <c r="R569" s="9"/>
    </row>
    <row r="570">
      <c r="P570" s="9"/>
      <c r="Q570" s="9"/>
      <c r="R570" s="9"/>
    </row>
    <row r="571">
      <c r="P571" s="9"/>
      <c r="Q571" s="9"/>
      <c r="R571" s="9"/>
    </row>
    <row r="572">
      <c r="P572" s="9"/>
      <c r="Q572" s="9"/>
      <c r="R572" s="9"/>
    </row>
    <row r="573">
      <c r="P573" s="9"/>
      <c r="Q573" s="9"/>
      <c r="R573" s="9"/>
    </row>
    <row r="574">
      <c r="P574" s="9"/>
      <c r="Q574" s="9"/>
      <c r="R574" s="9"/>
    </row>
    <row r="575">
      <c r="P575" s="9"/>
      <c r="Q575" s="9"/>
      <c r="R575" s="9"/>
    </row>
    <row r="576">
      <c r="P576" s="9"/>
      <c r="Q576" s="9"/>
      <c r="R576" s="9"/>
    </row>
    <row r="577">
      <c r="P577" s="9"/>
      <c r="Q577" s="9"/>
      <c r="R577" s="9"/>
    </row>
    <row r="578">
      <c r="P578" s="9"/>
      <c r="Q578" s="9"/>
      <c r="R578" s="9"/>
    </row>
    <row r="579">
      <c r="P579" s="9"/>
      <c r="Q579" s="9"/>
      <c r="R579" s="9"/>
    </row>
    <row r="580">
      <c r="P580" s="9"/>
      <c r="Q580" s="9"/>
      <c r="R580" s="9"/>
    </row>
    <row r="581">
      <c r="P581" s="9"/>
      <c r="Q581" s="9"/>
      <c r="R581" s="9"/>
    </row>
    <row r="582">
      <c r="P582" s="9"/>
      <c r="Q582" s="9"/>
      <c r="R582" s="9"/>
    </row>
    <row r="583">
      <c r="P583" s="9"/>
      <c r="Q583" s="9"/>
      <c r="R583" s="9"/>
    </row>
    <row r="584">
      <c r="P584" s="9"/>
      <c r="Q584" s="9"/>
      <c r="R584" s="9"/>
    </row>
    <row r="585">
      <c r="P585" s="9"/>
      <c r="Q585" s="9"/>
      <c r="R585" s="9"/>
    </row>
    <row r="586">
      <c r="P586" s="9"/>
      <c r="Q586" s="9"/>
      <c r="R586" s="9"/>
    </row>
    <row r="587">
      <c r="P587" s="9"/>
      <c r="Q587" s="9"/>
      <c r="R587" s="9"/>
    </row>
    <row r="588">
      <c r="P588" s="9"/>
      <c r="Q588" s="9"/>
      <c r="R588" s="9"/>
    </row>
    <row r="589">
      <c r="P589" s="9"/>
      <c r="Q589" s="9"/>
      <c r="R589" s="9"/>
    </row>
    <row r="590">
      <c r="P590" s="9"/>
      <c r="Q590" s="9"/>
      <c r="R590" s="9"/>
    </row>
    <row r="591">
      <c r="P591" s="9"/>
      <c r="Q591" s="9"/>
      <c r="R591" s="9"/>
    </row>
    <row r="592">
      <c r="P592" s="9"/>
      <c r="Q592" s="9"/>
      <c r="R592" s="9"/>
    </row>
    <row r="593">
      <c r="P593" s="9"/>
      <c r="Q593" s="9"/>
      <c r="R593" s="9"/>
    </row>
    <row r="594">
      <c r="P594" s="9"/>
      <c r="Q594" s="9"/>
      <c r="R594" s="9"/>
    </row>
    <row r="595">
      <c r="P595" s="9"/>
      <c r="Q595" s="9"/>
      <c r="R595" s="9"/>
    </row>
    <row r="596">
      <c r="P596" s="9"/>
      <c r="Q596" s="9"/>
      <c r="R596" s="9"/>
    </row>
    <row r="597">
      <c r="P597" s="9"/>
      <c r="Q597" s="9"/>
      <c r="R597" s="9"/>
    </row>
    <row r="598">
      <c r="P598" s="9"/>
      <c r="Q598" s="9"/>
      <c r="R598" s="9"/>
    </row>
    <row r="599">
      <c r="P599" s="9"/>
      <c r="Q599" s="9"/>
      <c r="R599" s="9"/>
    </row>
    <row r="600">
      <c r="P600" s="9"/>
      <c r="Q600" s="9"/>
      <c r="R600" s="9"/>
    </row>
    <row r="601">
      <c r="P601" s="9"/>
      <c r="Q601" s="9"/>
      <c r="R601" s="9"/>
    </row>
    <row r="602">
      <c r="P602" s="9"/>
      <c r="Q602" s="9"/>
      <c r="R602" s="9"/>
    </row>
    <row r="603">
      <c r="P603" s="9"/>
      <c r="Q603" s="9"/>
      <c r="R603" s="9"/>
    </row>
    <row r="604">
      <c r="P604" s="9"/>
      <c r="Q604" s="9"/>
      <c r="R604" s="9"/>
    </row>
    <row r="605">
      <c r="P605" s="9"/>
      <c r="Q605" s="9"/>
      <c r="R605" s="9"/>
    </row>
    <row r="606">
      <c r="P606" s="9"/>
      <c r="Q606" s="9"/>
      <c r="R606" s="9"/>
    </row>
    <row r="607">
      <c r="P607" s="9"/>
      <c r="Q607" s="9"/>
      <c r="R607" s="9"/>
    </row>
    <row r="608">
      <c r="P608" s="9"/>
      <c r="Q608" s="9"/>
      <c r="R608" s="9"/>
    </row>
    <row r="609">
      <c r="P609" s="9"/>
      <c r="Q609" s="9"/>
      <c r="R609" s="9"/>
    </row>
    <row r="610">
      <c r="P610" s="9"/>
      <c r="Q610" s="9"/>
      <c r="R610" s="9"/>
    </row>
    <row r="611">
      <c r="P611" s="9"/>
      <c r="Q611" s="9"/>
      <c r="R611" s="9"/>
    </row>
    <row r="612">
      <c r="P612" s="9"/>
      <c r="Q612" s="9"/>
      <c r="R612" s="9"/>
    </row>
    <row r="613">
      <c r="P613" s="9"/>
      <c r="Q613" s="9"/>
      <c r="R613" s="9"/>
    </row>
    <row r="614">
      <c r="P614" s="9"/>
      <c r="Q614" s="9"/>
      <c r="R614" s="9"/>
    </row>
    <row r="615">
      <c r="P615" s="9"/>
      <c r="Q615" s="9"/>
      <c r="R615" s="9"/>
    </row>
    <row r="616">
      <c r="P616" s="9"/>
      <c r="Q616" s="9"/>
      <c r="R616" s="9"/>
    </row>
    <row r="617">
      <c r="P617" s="9"/>
      <c r="Q617" s="9"/>
      <c r="R617" s="9"/>
    </row>
    <row r="618">
      <c r="P618" s="9"/>
      <c r="Q618" s="9"/>
      <c r="R618" s="9"/>
    </row>
    <row r="619">
      <c r="P619" s="9"/>
      <c r="Q619" s="9"/>
      <c r="R619" s="9"/>
    </row>
    <row r="620">
      <c r="P620" s="9"/>
      <c r="Q620" s="9"/>
      <c r="R620" s="9"/>
    </row>
    <row r="621">
      <c r="P621" s="9"/>
      <c r="Q621" s="9"/>
      <c r="R621" s="9"/>
    </row>
    <row r="622">
      <c r="P622" s="9"/>
      <c r="Q622" s="9"/>
      <c r="R622" s="9"/>
    </row>
    <row r="623">
      <c r="P623" s="9"/>
      <c r="Q623" s="9"/>
      <c r="R623" s="9"/>
    </row>
    <row r="624">
      <c r="P624" s="9"/>
      <c r="Q624" s="9"/>
      <c r="R624" s="9"/>
    </row>
    <row r="625">
      <c r="P625" s="9"/>
      <c r="Q625" s="9"/>
      <c r="R625" s="9"/>
    </row>
    <row r="626">
      <c r="P626" s="9"/>
      <c r="Q626" s="9"/>
      <c r="R626" s="9"/>
    </row>
    <row r="627">
      <c r="P627" s="9"/>
      <c r="Q627" s="9"/>
      <c r="R627" s="9"/>
    </row>
    <row r="628">
      <c r="P628" s="9"/>
      <c r="Q628" s="9"/>
      <c r="R628" s="9"/>
    </row>
    <row r="629">
      <c r="P629" s="9"/>
      <c r="Q629" s="9"/>
      <c r="R629" s="9"/>
    </row>
    <row r="630">
      <c r="P630" s="9"/>
      <c r="Q630" s="9"/>
      <c r="R630" s="9"/>
    </row>
    <row r="631">
      <c r="P631" s="9"/>
      <c r="Q631" s="9"/>
      <c r="R631" s="9"/>
    </row>
    <row r="632">
      <c r="P632" s="9"/>
      <c r="Q632" s="9"/>
      <c r="R632" s="9"/>
    </row>
    <row r="633">
      <c r="P633" s="9"/>
      <c r="Q633" s="9"/>
      <c r="R633" s="9"/>
    </row>
    <row r="634">
      <c r="P634" s="9"/>
      <c r="Q634" s="9"/>
      <c r="R634" s="9"/>
    </row>
    <row r="635">
      <c r="P635" s="9"/>
      <c r="Q635" s="9"/>
      <c r="R635" s="9"/>
    </row>
    <row r="636">
      <c r="P636" s="9"/>
      <c r="Q636" s="9"/>
      <c r="R636" s="9"/>
    </row>
    <row r="637">
      <c r="P637" s="9"/>
      <c r="Q637" s="9"/>
      <c r="R637" s="9"/>
    </row>
    <row r="638">
      <c r="P638" s="9"/>
      <c r="Q638" s="9"/>
      <c r="R638" s="9"/>
    </row>
    <row r="639">
      <c r="P639" s="9"/>
      <c r="Q639" s="9"/>
      <c r="R639" s="9"/>
    </row>
    <row r="640">
      <c r="P640" s="9"/>
      <c r="Q640" s="9"/>
      <c r="R640" s="9"/>
    </row>
    <row r="641">
      <c r="P641" s="9"/>
      <c r="Q641" s="9"/>
      <c r="R641" s="9"/>
    </row>
    <row r="642">
      <c r="P642" s="9"/>
      <c r="Q642" s="9"/>
      <c r="R642" s="9"/>
    </row>
    <row r="643">
      <c r="P643" s="9"/>
      <c r="Q643" s="9"/>
      <c r="R643" s="9"/>
    </row>
    <row r="644">
      <c r="P644" s="9"/>
      <c r="Q644" s="9"/>
      <c r="R644" s="9"/>
    </row>
    <row r="645">
      <c r="P645" s="9"/>
      <c r="Q645" s="9"/>
      <c r="R645" s="9"/>
    </row>
    <row r="646">
      <c r="P646" s="9"/>
      <c r="Q646" s="9"/>
      <c r="R646" s="9"/>
    </row>
    <row r="647">
      <c r="P647" s="9"/>
      <c r="Q647" s="9"/>
      <c r="R647" s="9"/>
    </row>
    <row r="648">
      <c r="P648" s="9"/>
      <c r="Q648" s="9"/>
      <c r="R648" s="9"/>
    </row>
    <row r="649">
      <c r="P649" s="9"/>
      <c r="Q649" s="9"/>
      <c r="R649" s="9"/>
    </row>
    <row r="650">
      <c r="P650" s="9"/>
      <c r="Q650" s="9"/>
      <c r="R650" s="9"/>
    </row>
    <row r="651">
      <c r="P651" s="9"/>
      <c r="Q651" s="9"/>
      <c r="R651" s="9"/>
    </row>
    <row r="652">
      <c r="P652" s="9"/>
      <c r="Q652" s="9"/>
      <c r="R652" s="9"/>
    </row>
    <row r="653">
      <c r="P653" s="9"/>
      <c r="Q653" s="9"/>
      <c r="R653" s="9"/>
    </row>
    <row r="654">
      <c r="P654" s="9"/>
      <c r="Q654" s="9"/>
      <c r="R654" s="9"/>
    </row>
    <row r="655">
      <c r="P655" s="9"/>
      <c r="Q655" s="9"/>
      <c r="R655" s="9"/>
    </row>
    <row r="656">
      <c r="P656" s="9"/>
      <c r="Q656" s="9"/>
      <c r="R656" s="9"/>
    </row>
    <row r="657">
      <c r="P657" s="9"/>
      <c r="Q657" s="9"/>
      <c r="R657" s="9"/>
    </row>
    <row r="658">
      <c r="P658" s="9"/>
      <c r="Q658" s="9"/>
      <c r="R658" s="9"/>
    </row>
    <row r="659">
      <c r="P659" s="9"/>
      <c r="Q659" s="9"/>
      <c r="R659" s="9"/>
    </row>
    <row r="660">
      <c r="P660" s="9"/>
      <c r="Q660" s="9"/>
      <c r="R660" s="9"/>
    </row>
    <row r="661">
      <c r="P661" s="9"/>
      <c r="Q661" s="9"/>
      <c r="R661" s="9"/>
    </row>
    <row r="662">
      <c r="P662" s="9"/>
      <c r="Q662" s="9"/>
      <c r="R662" s="9"/>
    </row>
    <row r="663">
      <c r="P663" s="9"/>
      <c r="Q663" s="9"/>
      <c r="R663" s="9"/>
    </row>
    <row r="664">
      <c r="P664" s="9"/>
      <c r="Q664" s="9"/>
      <c r="R664" s="9"/>
    </row>
    <row r="665">
      <c r="P665" s="9"/>
      <c r="Q665" s="9"/>
      <c r="R665" s="9"/>
    </row>
    <row r="666">
      <c r="P666" s="9"/>
      <c r="Q666" s="9"/>
      <c r="R666" s="9"/>
    </row>
    <row r="667">
      <c r="P667" s="9"/>
      <c r="Q667" s="9"/>
      <c r="R667" s="9"/>
    </row>
    <row r="668">
      <c r="P668" s="9"/>
      <c r="Q668" s="9"/>
      <c r="R668" s="9"/>
    </row>
    <row r="669">
      <c r="P669" s="9"/>
      <c r="Q669" s="9"/>
      <c r="R669" s="9"/>
    </row>
    <row r="670">
      <c r="P670" s="9"/>
      <c r="Q670" s="9"/>
      <c r="R670" s="9"/>
    </row>
    <row r="671">
      <c r="P671" s="9"/>
      <c r="Q671" s="9"/>
      <c r="R671" s="9"/>
    </row>
    <row r="672">
      <c r="P672" s="9"/>
      <c r="Q672" s="9"/>
      <c r="R672" s="9"/>
    </row>
    <row r="673">
      <c r="P673" s="9"/>
      <c r="Q673" s="9"/>
      <c r="R673" s="9"/>
    </row>
    <row r="674">
      <c r="P674" s="9"/>
      <c r="Q674" s="9"/>
      <c r="R674" s="9"/>
    </row>
    <row r="675">
      <c r="P675" s="9"/>
      <c r="Q675" s="9"/>
      <c r="R675" s="9"/>
    </row>
    <row r="676">
      <c r="P676" s="9"/>
      <c r="Q676" s="9"/>
      <c r="R676" s="9"/>
    </row>
    <row r="677">
      <c r="P677" s="9"/>
      <c r="Q677" s="9"/>
      <c r="R677" s="9"/>
    </row>
    <row r="678">
      <c r="P678" s="9"/>
      <c r="Q678" s="9"/>
      <c r="R678" s="9"/>
    </row>
    <row r="679">
      <c r="P679" s="9"/>
      <c r="Q679" s="9"/>
      <c r="R679" s="9"/>
    </row>
    <row r="680">
      <c r="P680" s="9"/>
      <c r="Q680" s="9"/>
      <c r="R680" s="9"/>
    </row>
    <row r="681">
      <c r="P681" s="9"/>
      <c r="Q681" s="9"/>
      <c r="R681" s="9"/>
    </row>
    <row r="682">
      <c r="P682" s="9"/>
      <c r="Q682" s="9"/>
      <c r="R682" s="9"/>
    </row>
    <row r="683">
      <c r="P683" s="9"/>
      <c r="Q683" s="9"/>
      <c r="R683" s="9"/>
    </row>
    <row r="684">
      <c r="P684" s="9"/>
      <c r="Q684" s="9"/>
      <c r="R684" s="9"/>
    </row>
    <row r="685">
      <c r="P685" s="9"/>
      <c r="Q685" s="9"/>
      <c r="R685" s="9"/>
    </row>
    <row r="686">
      <c r="P686" s="9"/>
      <c r="Q686" s="9"/>
      <c r="R686" s="9"/>
    </row>
    <row r="687">
      <c r="P687" s="9"/>
      <c r="Q687" s="9"/>
      <c r="R687" s="9"/>
    </row>
    <row r="688">
      <c r="P688" s="9"/>
      <c r="Q688" s="9"/>
      <c r="R688" s="9"/>
    </row>
    <row r="689">
      <c r="P689" s="9"/>
      <c r="Q689" s="9"/>
      <c r="R689" s="9"/>
    </row>
    <row r="690">
      <c r="P690" s="9"/>
      <c r="Q690" s="9"/>
      <c r="R690" s="9"/>
    </row>
    <row r="691">
      <c r="P691" s="9"/>
      <c r="Q691" s="9"/>
      <c r="R691" s="9"/>
    </row>
    <row r="692">
      <c r="P692" s="9"/>
      <c r="Q692" s="9"/>
      <c r="R692" s="9"/>
    </row>
    <row r="693">
      <c r="P693" s="9"/>
      <c r="Q693" s="9"/>
      <c r="R693" s="9"/>
    </row>
    <row r="694">
      <c r="P694" s="9"/>
      <c r="Q694" s="9"/>
      <c r="R694" s="9"/>
    </row>
    <row r="695">
      <c r="P695" s="9"/>
      <c r="Q695" s="9"/>
      <c r="R695" s="9"/>
    </row>
    <row r="696">
      <c r="P696" s="9"/>
      <c r="Q696" s="9"/>
      <c r="R696" s="9"/>
    </row>
    <row r="697">
      <c r="P697" s="9"/>
      <c r="Q697" s="9"/>
      <c r="R697" s="9"/>
    </row>
    <row r="698">
      <c r="P698" s="9"/>
      <c r="Q698" s="9"/>
      <c r="R698" s="9"/>
    </row>
    <row r="699">
      <c r="P699" s="9"/>
      <c r="Q699" s="9"/>
      <c r="R699" s="9"/>
    </row>
    <row r="700">
      <c r="P700" s="9"/>
      <c r="Q700" s="9"/>
      <c r="R700" s="9"/>
    </row>
    <row r="701">
      <c r="P701" s="9"/>
      <c r="Q701" s="9"/>
      <c r="R701" s="9"/>
    </row>
    <row r="702">
      <c r="P702" s="9"/>
      <c r="Q702" s="9"/>
      <c r="R702" s="9"/>
    </row>
    <row r="703">
      <c r="P703" s="9"/>
      <c r="Q703" s="9"/>
      <c r="R703" s="9"/>
    </row>
    <row r="704">
      <c r="P704" s="9"/>
      <c r="Q704" s="9"/>
      <c r="R704" s="9"/>
    </row>
    <row r="705">
      <c r="P705" s="9"/>
      <c r="Q705" s="9"/>
      <c r="R705" s="9"/>
    </row>
    <row r="706">
      <c r="P706" s="9"/>
      <c r="Q706" s="9"/>
      <c r="R706" s="9"/>
    </row>
    <row r="707">
      <c r="P707" s="9"/>
      <c r="Q707" s="9"/>
      <c r="R707" s="9"/>
    </row>
    <row r="708">
      <c r="P708" s="9"/>
      <c r="Q708" s="9"/>
      <c r="R708" s="9"/>
    </row>
    <row r="709">
      <c r="P709" s="9"/>
      <c r="Q709" s="9"/>
      <c r="R709" s="9"/>
    </row>
    <row r="710">
      <c r="P710" s="9"/>
      <c r="Q710" s="9"/>
      <c r="R710" s="9"/>
    </row>
    <row r="711">
      <c r="P711" s="9"/>
      <c r="Q711" s="9"/>
      <c r="R711" s="9"/>
    </row>
    <row r="712">
      <c r="P712" s="9"/>
      <c r="Q712" s="9"/>
      <c r="R712" s="9"/>
    </row>
    <row r="713">
      <c r="P713" s="9"/>
      <c r="Q713" s="9"/>
      <c r="R713" s="9"/>
    </row>
    <row r="714">
      <c r="P714" s="9"/>
      <c r="Q714" s="9"/>
      <c r="R714" s="9"/>
    </row>
    <row r="715">
      <c r="P715" s="9"/>
      <c r="Q715" s="9"/>
      <c r="R715" s="9"/>
    </row>
    <row r="716">
      <c r="P716" s="9"/>
      <c r="Q716" s="9"/>
      <c r="R716" s="9"/>
    </row>
    <row r="717">
      <c r="P717" s="9"/>
      <c r="Q717" s="9"/>
      <c r="R717" s="9"/>
    </row>
    <row r="718">
      <c r="P718" s="9"/>
      <c r="Q718" s="9"/>
      <c r="R718" s="9"/>
    </row>
    <row r="719">
      <c r="P719" s="9"/>
      <c r="Q719" s="9"/>
      <c r="R719" s="9"/>
    </row>
    <row r="720">
      <c r="P720" s="9"/>
      <c r="Q720" s="9"/>
      <c r="R720" s="9"/>
    </row>
    <row r="721">
      <c r="P721" s="9"/>
      <c r="Q721" s="9"/>
      <c r="R721" s="9"/>
    </row>
    <row r="722">
      <c r="P722" s="9"/>
      <c r="Q722" s="9"/>
      <c r="R722" s="9"/>
    </row>
    <row r="723">
      <c r="P723" s="9"/>
      <c r="Q723" s="9"/>
      <c r="R723" s="9"/>
    </row>
    <row r="724">
      <c r="P724" s="9"/>
      <c r="Q724" s="9"/>
      <c r="R724" s="9"/>
    </row>
    <row r="725">
      <c r="P725" s="9"/>
      <c r="Q725" s="9"/>
      <c r="R725" s="9"/>
    </row>
    <row r="726">
      <c r="P726" s="9"/>
      <c r="Q726" s="9"/>
      <c r="R726" s="9"/>
    </row>
    <row r="727">
      <c r="P727" s="9"/>
      <c r="Q727" s="9"/>
      <c r="R727" s="9"/>
    </row>
    <row r="728">
      <c r="P728" s="9"/>
      <c r="Q728" s="9"/>
      <c r="R728" s="9"/>
    </row>
    <row r="729">
      <c r="P729" s="9"/>
      <c r="Q729" s="9"/>
      <c r="R729" s="9"/>
    </row>
    <row r="730">
      <c r="P730" s="9"/>
      <c r="Q730" s="9"/>
      <c r="R730" s="9"/>
    </row>
    <row r="731">
      <c r="P731" s="9"/>
      <c r="Q731" s="9"/>
      <c r="R731" s="9"/>
    </row>
    <row r="732">
      <c r="P732" s="9"/>
      <c r="Q732" s="9"/>
      <c r="R732" s="9"/>
    </row>
    <row r="733">
      <c r="P733" s="9"/>
      <c r="Q733" s="9"/>
      <c r="R733" s="9"/>
    </row>
    <row r="734">
      <c r="P734" s="9"/>
      <c r="Q734" s="9"/>
      <c r="R734" s="9"/>
    </row>
    <row r="735">
      <c r="P735" s="9"/>
      <c r="Q735" s="9"/>
      <c r="R735" s="9"/>
    </row>
    <row r="736">
      <c r="P736" s="9"/>
      <c r="Q736" s="9"/>
      <c r="R736" s="9"/>
    </row>
    <row r="737">
      <c r="P737" s="9"/>
      <c r="Q737" s="9"/>
      <c r="R737" s="9"/>
    </row>
    <row r="738">
      <c r="P738" s="9"/>
      <c r="Q738" s="9"/>
      <c r="R738" s="9"/>
    </row>
    <row r="739">
      <c r="P739" s="9"/>
      <c r="Q739" s="9"/>
      <c r="R739" s="9"/>
    </row>
    <row r="740">
      <c r="P740" s="9"/>
      <c r="Q740" s="9"/>
      <c r="R740" s="9"/>
    </row>
    <row r="741">
      <c r="P741" s="9"/>
      <c r="Q741" s="9"/>
      <c r="R741" s="9"/>
    </row>
    <row r="742">
      <c r="P742" s="9"/>
      <c r="Q742" s="9"/>
      <c r="R742" s="9"/>
    </row>
    <row r="743">
      <c r="P743" s="9"/>
      <c r="Q743" s="9"/>
      <c r="R743" s="9"/>
    </row>
    <row r="744">
      <c r="P744" s="9"/>
      <c r="Q744" s="9"/>
      <c r="R744" s="9"/>
    </row>
    <row r="745">
      <c r="P745" s="9"/>
      <c r="Q745" s="9"/>
      <c r="R745" s="9"/>
    </row>
    <row r="746">
      <c r="P746" s="9"/>
      <c r="Q746" s="9"/>
      <c r="R746" s="9"/>
    </row>
    <row r="747">
      <c r="P747" s="9"/>
      <c r="Q747" s="9"/>
      <c r="R747" s="9"/>
    </row>
    <row r="748">
      <c r="P748" s="9"/>
      <c r="Q748" s="9"/>
      <c r="R748" s="9"/>
    </row>
    <row r="749">
      <c r="P749" s="9"/>
      <c r="Q749" s="9"/>
      <c r="R749" s="9"/>
    </row>
    <row r="750">
      <c r="P750" s="9"/>
      <c r="Q750" s="9"/>
      <c r="R750" s="9"/>
    </row>
    <row r="751">
      <c r="P751" s="9"/>
      <c r="Q751" s="9"/>
      <c r="R751" s="9"/>
    </row>
    <row r="752">
      <c r="P752" s="9"/>
      <c r="Q752" s="9"/>
      <c r="R752" s="9"/>
    </row>
    <row r="753">
      <c r="P753" s="9"/>
      <c r="Q753" s="9"/>
      <c r="R753" s="9"/>
    </row>
    <row r="754">
      <c r="P754" s="9"/>
      <c r="Q754" s="9"/>
      <c r="R754" s="9"/>
    </row>
    <row r="755">
      <c r="P755" s="9"/>
      <c r="Q755" s="9"/>
      <c r="R755" s="9"/>
    </row>
    <row r="756">
      <c r="P756" s="9"/>
      <c r="Q756" s="9"/>
      <c r="R756" s="9"/>
    </row>
    <row r="757">
      <c r="P757" s="9"/>
      <c r="Q757" s="9"/>
      <c r="R757" s="9"/>
    </row>
    <row r="758">
      <c r="P758" s="9"/>
      <c r="Q758" s="9"/>
      <c r="R758" s="9"/>
    </row>
    <row r="759">
      <c r="P759" s="9"/>
      <c r="Q759" s="9"/>
      <c r="R759" s="9"/>
    </row>
    <row r="760">
      <c r="P760" s="9"/>
      <c r="Q760" s="9"/>
      <c r="R760" s="9"/>
    </row>
    <row r="761">
      <c r="P761" s="9"/>
      <c r="Q761" s="9"/>
      <c r="R761" s="9"/>
    </row>
    <row r="762">
      <c r="P762" s="9"/>
      <c r="Q762" s="9"/>
      <c r="R762" s="9"/>
    </row>
    <row r="763">
      <c r="P763" s="9"/>
      <c r="Q763" s="9"/>
      <c r="R763" s="9"/>
    </row>
    <row r="764">
      <c r="P764" s="9"/>
      <c r="Q764" s="9"/>
      <c r="R764" s="9"/>
    </row>
    <row r="765">
      <c r="P765" s="9"/>
      <c r="Q765" s="9"/>
      <c r="R765" s="9"/>
    </row>
    <row r="766">
      <c r="P766" s="9"/>
      <c r="Q766" s="9"/>
      <c r="R766" s="9"/>
    </row>
    <row r="767">
      <c r="P767" s="9"/>
      <c r="Q767" s="9"/>
      <c r="R767" s="9"/>
    </row>
    <row r="768">
      <c r="P768" s="9"/>
      <c r="Q768" s="9"/>
      <c r="R768" s="9"/>
    </row>
    <row r="769">
      <c r="P769" s="9"/>
      <c r="Q769" s="9"/>
      <c r="R769" s="9"/>
    </row>
    <row r="770">
      <c r="P770" s="9"/>
      <c r="Q770" s="9"/>
      <c r="R770" s="9"/>
    </row>
    <row r="771">
      <c r="P771" s="9"/>
      <c r="Q771" s="9"/>
      <c r="R771" s="9"/>
    </row>
    <row r="772">
      <c r="P772" s="9"/>
      <c r="Q772" s="9"/>
      <c r="R772" s="9"/>
    </row>
    <row r="773">
      <c r="P773" s="9"/>
      <c r="Q773" s="9"/>
      <c r="R773" s="9"/>
    </row>
    <row r="774">
      <c r="P774" s="9"/>
      <c r="Q774" s="9"/>
      <c r="R774" s="9"/>
    </row>
    <row r="775">
      <c r="P775" s="9"/>
      <c r="Q775" s="9"/>
      <c r="R775" s="9"/>
    </row>
    <row r="776">
      <c r="P776" s="9"/>
      <c r="Q776" s="9"/>
      <c r="R776" s="9"/>
    </row>
    <row r="777">
      <c r="P777" s="9"/>
      <c r="Q777" s="9"/>
      <c r="R777" s="9"/>
    </row>
    <row r="778">
      <c r="P778" s="9"/>
      <c r="Q778" s="9"/>
      <c r="R778" s="9"/>
    </row>
    <row r="779">
      <c r="P779" s="9"/>
      <c r="Q779" s="9"/>
      <c r="R779" s="9"/>
    </row>
    <row r="780">
      <c r="P780" s="9"/>
      <c r="Q780" s="9"/>
      <c r="R780" s="9"/>
    </row>
    <row r="781">
      <c r="P781" s="9"/>
      <c r="Q781" s="9"/>
      <c r="R781" s="9"/>
    </row>
    <row r="782">
      <c r="P782" s="9"/>
      <c r="Q782" s="9"/>
      <c r="R782" s="9"/>
    </row>
    <row r="783">
      <c r="P783" s="9"/>
      <c r="Q783" s="9"/>
      <c r="R783" s="9"/>
    </row>
    <row r="784">
      <c r="P784" s="9"/>
      <c r="Q784" s="9"/>
      <c r="R784" s="9"/>
    </row>
    <row r="785">
      <c r="P785" s="9"/>
      <c r="Q785" s="9"/>
      <c r="R785" s="9"/>
    </row>
    <row r="786">
      <c r="P786" s="9"/>
      <c r="Q786" s="9"/>
      <c r="R786" s="9"/>
    </row>
    <row r="787">
      <c r="P787" s="9"/>
      <c r="Q787" s="9"/>
      <c r="R787" s="9"/>
    </row>
    <row r="788">
      <c r="P788" s="9"/>
      <c r="Q788" s="9"/>
      <c r="R788" s="9"/>
    </row>
    <row r="789">
      <c r="P789" s="9"/>
      <c r="Q789" s="9"/>
      <c r="R789" s="9"/>
    </row>
    <row r="790">
      <c r="P790" s="9"/>
      <c r="Q790" s="9"/>
      <c r="R790" s="9"/>
    </row>
    <row r="791">
      <c r="P791" s="9"/>
      <c r="Q791" s="9"/>
      <c r="R791" s="9"/>
    </row>
    <row r="792">
      <c r="P792" s="9"/>
      <c r="Q792" s="9"/>
      <c r="R792" s="9"/>
    </row>
    <row r="793">
      <c r="P793" s="9"/>
      <c r="Q793" s="9"/>
      <c r="R793" s="9"/>
    </row>
    <row r="794">
      <c r="P794" s="9"/>
      <c r="Q794" s="9"/>
      <c r="R794" s="9"/>
    </row>
    <row r="795">
      <c r="P795" s="9"/>
      <c r="Q795" s="9"/>
      <c r="R795" s="9"/>
    </row>
    <row r="796">
      <c r="P796" s="9"/>
      <c r="Q796" s="9"/>
      <c r="R796" s="9"/>
    </row>
    <row r="797">
      <c r="P797" s="9"/>
      <c r="Q797" s="9"/>
      <c r="R797" s="9"/>
    </row>
    <row r="798">
      <c r="P798" s="9"/>
      <c r="Q798" s="9"/>
      <c r="R798" s="9"/>
    </row>
    <row r="799">
      <c r="P799" s="9"/>
      <c r="Q799" s="9"/>
      <c r="R799" s="9"/>
    </row>
    <row r="800">
      <c r="P800" s="9"/>
      <c r="Q800" s="9"/>
      <c r="R800" s="9"/>
    </row>
    <row r="801">
      <c r="P801" s="9"/>
      <c r="Q801" s="9"/>
      <c r="R801" s="9"/>
    </row>
    <row r="802">
      <c r="P802" s="9"/>
      <c r="Q802" s="9"/>
      <c r="R802" s="9"/>
    </row>
    <row r="803">
      <c r="P803" s="9"/>
      <c r="Q803" s="9"/>
      <c r="R803" s="9"/>
    </row>
    <row r="804">
      <c r="P804" s="9"/>
      <c r="Q804" s="9"/>
      <c r="R804" s="9"/>
    </row>
    <row r="805">
      <c r="P805" s="9"/>
      <c r="Q805" s="9"/>
      <c r="R805" s="9"/>
    </row>
    <row r="806">
      <c r="P806" s="9"/>
      <c r="Q806" s="9"/>
      <c r="R806" s="9"/>
    </row>
    <row r="807">
      <c r="P807" s="9"/>
      <c r="Q807" s="9"/>
      <c r="R807" s="9"/>
    </row>
    <row r="808">
      <c r="P808" s="9"/>
      <c r="Q808" s="9"/>
      <c r="R808" s="9"/>
    </row>
    <row r="809">
      <c r="P809" s="9"/>
      <c r="Q809" s="9"/>
      <c r="R809" s="9"/>
    </row>
    <row r="810">
      <c r="P810" s="9"/>
      <c r="Q810" s="9"/>
      <c r="R810" s="9"/>
    </row>
    <row r="811">
      <c r="P811" s="9"/>
      <c r="Q811" s="9"/>
      <c r="R811" s="9"/>
    </row>
    <row r="812">
      <c r="P812" s="9"/>
      <c r="Q812" s="9"/>
      <c r="R812" s="9"/>
    </row>
    <row r="813">
      <c r="P813" s="9"/>
      <c r="Q813" s="9"/>
      <c r="R813" s="9"/>
    </row>
    <row r="814">
      <c r="P814" s="9"/>
      <c r="Q814" s="9"/>
      <c r="R814" s="9"/>
    </row>
    <row r="815">
      <c r="P815" s="9"/>
      <c r="Q815" s="9"/>
      <c r="R815" s="9"/>
    </row>
    <row r="816">
      <c r="P816" s="9"/>
      <c r="Q816" s="9"/>
      <c r="R816" s="9"/>
    </row>
    <row r="817">
      <c r="P817" s="9"/>
      <c r="Q817" s="9"/>
      <c r="R817" s="9"/>
    </row>
    <row r="818">
      <c r="P818" s="9"/>
      <c r="Q818" s="9"/>
      <c r="R818" s="9"/>
    </row>
    <row r="819">
      <c r="P819" s="9"/>
      <c r="Q819" s="9"/>
      <c r="R819" s="9"/>
    </row>
    <row r="820">
      <c r="P820" s="9"/>
      <c r="Q820" s="9"/>
      <c r="R820" s="9"/>
    </row>
    <row r="821">
      <c r="P821" s="9"/>
      <c r="Q821" s="9"/>
      <c r="R821" s="9"/>
    </row>
    <row r="822">
      <c r="P822" s="9"/>
      <c r="Q822" s="9"/>
      <c r="R822" s="9"/>
    </row>
    <row r="823">
      <c r="P823" s="9"/>
      <c r="Q823" s="9"/>
      <c r="R823" s="9"/>
    </row>
    <row r="824">
      <c r="P824" s="9"/>
      <c r="Q824" s="9"/>
      <c r="R824" s="9"/>
    </row>
    <row r="825">
      <c r="P825" s="9"/>
      <c r="Q825" s="9"/>
      <c r="R825" s="9"/>
    </row>
    <row r="826">
      <c r="P826" s="9"/>
      <c r="Q826" s="9"/>
      <c r="R826" s="9"/>
    </row>
    <row r="827">
      <c r="P827" s="9"/>
      <c r="Q827" s="9"/>
      <c r="R827" s="9"/>
    </row>
    <row r="828">
      <c r="P828" s="9"/>
      <c r="Q828" s="9"/>
      <c r="R828" s="9"/>
    </row>
    <row r="829">
      <c r="P829" s="9"/>
      <c r="Q829" s="9"/>
      <c r="R829" s="9"/>
    </row>
    <row r="830">
      <c r="P830" s="9"/>
      <c r="Q830" s="9"/>
      <c r="R830" s="9"/>
    </row>
    <row r="831">
      <c r="P831" s="9"/>
      <c r="Q831" s="9"/>
      <c r="R831" s="9"/>
    </row>
    <row r="832">
      <c r="P832" s="9"/>
      <c r="Q832" s="9"/>
      <c r="R832" s="9"/>
    </row>
    <row r="833">
      <c r="P833" s="9"/>
      <c r="Q833" s="9"/>
      <c r="R833" s="9"/>
    </row>
    <row r="834">
      <c r="P834" s="9"/>
      <c r="Q834" s="9"/>
      <c r="R834" s="9"/>
    </row>
    <row r="835">
      <c r="P835" s="9"/>
      <c r="Q835" s="9"/>
      <c r="R835" s="9"/>
    </row>
    <row r="836">
      <c r="P836" s="9"/>
      <c r="Q836" s="9"/>
      <c r="R836" s="9"/>
    </row>
    <row r="837">
      <c r="P837" s="9"/>
      <c r="Q837" s="9"/>
      <c r="R837" s="9"/>
    </row>
    <row r="838">
      <c r="P838" s="9"/>
      <c r="Q838" s="9"/>
      <c r="R838" s="9"/>
    </row>
    <row r="839">
      <c r="P839" s="9"/>
      <c r="Q839" s="9"/>
      <c r="R839" s="9"/>
    </row>
    <row r="840">
      <c r="P840" s="9"/>
      <c r="Q840" s="9"/>
      <c r="R840" s="9"/>
    </row>
    <row r="841">
      <c r="P841" s="9"/>
      <c r="Q841" s="9"/>
      <c r="R841" s="9"/>
    </row>
    <row r="842">
      <c r="P842" s="9"/>
      <c r="Q842" s="9"/>
      <c r="R842" s="9"/>
    </row>
    <row r="843">
      <c r="P843" s="9"/>
      <c r="Q843" s="9"/>
      <c r="R843" s="9"/>
    </row>
    <row r="844">
      <c r="P844" s="9"/>
      <c r="Q844" s="9"/>
      <c r="R844" s="9"/>
    </row>
    <row r="845">
      <c r="P845" s="9"/>
      <c r="Q845" s="9"/>
      <c r="R845" s="9"/>
    </row>
    <row r="846">
      <c r="P846" s="9"/>
      <c r="Q846" s="9"/>
      <c r="R846" s="9"/>
    </row>
    <row r="847">
      <c r="P847" s="9"/>
      <c r="Q847" s="9"/>
      <c r="R847" s="9"/>
    </row>
    <row r="848">
      <c r="P848" s="9"/>
      <c r="Q848" s="9"/>
      <c r="R848" s="9"/>
    </row>
    <row r="849">
      <c r="P849" s="9"/>
      <c r="Q849" s="9"/>
      <c r="R849" s="9"/>
    </row>
    <row r="850">
      <c r="P850" s="9"/>
      <c r="Q850" s="9"/>
      <c r="R850" s="9"/>
    </row>
    <row r="851">
      <c r="P851" s="9"/>
      <c r="Q851" s="9"/>
      <c r="R851" s="9"/>
    </row>
    <row r="852">
      <c r="P852" s="9"/>
      <c r="Q852" s="9"/>
      <c r="R852" s="9"/>
    </row>
    <row r="853">
      <c r="P853" s="9"/>
      <c r="Q853" s="9"/>
      <c r="R853" s="9"/>
    </row>
    <row r="854">
      <c r="P854" s="9"/>
      <c r="Q854" s="9"/>
      <c r="R854" s="9"/>
    </row>
    <row r="855">
      <c r="P855" s="9"/>
      <c r="Q855" s="9"/>
      <c r="R855" s="9"/>
    </row>
    <row r="856">
      <c r="P856" s="9"/>
      <c r="Q856" s="9"/>
      <c r="R856" s="9"/>
    </row>
    <row r="857">
      <c r="P857" s="9"/>
      <c r="Q857" s="9"/>
      <c r="R857" s="9"/>
    </row>
    <row r="858">
      <c r="P858" s="9"/>
      <c r="Q858" s="9"/>
      <c r="R858" s="9"/>
    </row>
    <row r="859">
      <c r="P859" s="9"/>
      <c r="Q859" s="9"/>
      <c r="R859" s="9"/>
    </row>
    <row r="860">
      <c r="P860" s="9"/>
      <c r="Q860" s="9"/>
      <c r="R860" s="9"/>
    </row>
    <row r="861">
      <c r="P861" s="9"/>
      <c r="Q861" s="9"/>
      <c r="R861" s="9"/>
    </row>
    <row r="862">
      <c r="P862" s="9"/>
      <c r="Q862" s="9"/>
      <c r="R862" s="9"/>
    </row>
    <row r="863">
      <c r="P863" s="9"/>
      <c r="Q863" s="9"/>
      <c r="R863" s="9"/>
    </row>
    <row r="864">
      <c r="P864" s="9"/>
      <c r="Q864" s="9"/>
      <c r="R864" s="9"/>
    </row>
    <row r="865">
      <c r="P865" s="9"/>
      <c r="Q865" s="9"/>
      <c r="R865" s="9"/>
    </row>
    <row r="866">
      <c r="P866" s="9"/>
      <c r="Q866" s="9"/>
      <c r="R866" s="9"/>
    </row>
    <row r="867">
      <c r="P867" s="9"/>
      <c r="Q867" s="9"/>
      <c r="R867" s="9"/>
    </row>
    <row r="868">
      <c r="P868" s="9"/>
      <c r="Q868" s="9"/>
      <c r="R868" s="9"/>
    </row>
    <row r="869">
      <c r="P869" s="9"/>
      <c r="Q869" s="9"/>
      <c r="R869" s="9"/>
    </row>
    <row r="870">
      <c r="P870" s="9"/>
      <c r="Q870" s="9"/>
      <c r="R870" s="9"/>
    </row>
    <row r="871">
      <c r="P871" s="9"/>
      <c r="Q871" s="9"/>
      <c r="R871" s="9"/>
    </row>
    <row r="872">
      <c r="P872" s="9"/>
      <c r="Q872" s="9"/>
      <c r="R872" s="9"/>
    </row>
    <row r="873">
      <c r="P873" s="9"/>
      <c r="Q873" s="9"/>
      <c r="R873" s="9"/>
    </row>
    <row r="874">
      <c r="P874" s="9"/>
      <c r="Q874" s="9"/>
      <c r="R874" s="9"/>
    </row>
    <row r="875">
      <c r="P875" s="9"/>
      <c r="Q875" s="9"/>
      <c r="R875" s="9"/>
    </row>
    <row r="876">
      <c r="P876" s="9"/>
      <c r="Q876" s="9"/>
      <c r="R876" s="9"/>
    </row>
    <row r="877">
      <c r="P877" s="9"/>
      <c r="Q877" s="9"/>
      <c r="R877" s="9"/>
    </row>
    <row r="878">
      <c r="P878" s="9"/>
      <c r="Q878" s="9"/>
      <c r="R878" s="9"/>
    </row>
    <row r="879">
      <c r="P879" s="9"/>
      <c r="Q879" s="9"/>
      <c r="R879" s="9"/>
    </row>
    <row r="880">
      <c r="P880" s="9"/>
      <c r="Q880" s="9"/>
      <c r="R880" s="9"/>
    </row>
    <row r="881">
      <c r="P881" s="9"/>
      <c r="Q881" s="9"/>
      <c r="R881" s="9"/>
    </row>
    <row r="882">
      <c r="P882" s="9"/>
      <c r="Q882" s="9"/>
      <c r="R882" s="9"/>
    </row>
    <row r="883">
      <c r="P883" s="9"/>
      <c r="Q883" s="9"/>
      <c r="R883" s="9"/>
    </row>
    <row r="884">
      <c r="P884" s="9"/>
      <c r="Q884" s="9"/>
      <c r="R884" s="9"/>
    </row>
    <row r="885">
      <c r="P885" s="9"/>
      <c r="Q885" s="9"/>
      <c r="R885" s="9"/>
    </row>
    <row r="886">
      <c r="P886" s="9"/>
      <c r="Q886" s="9"/>
      <c r="R886" s="9"/>
    </row>
    <row r="887">
      <c r="P887" s="9"/>
      <c r="Q887" s="9"/>
      <c r="R887" s="9"/>
    </row>
    <row r="888">
      <c r="P888" s="9"/>
      <c r="Q888" s="9"/>
      <c r="R888" s="9"/>
    </row>
    <row r="889">
      <c r="P889" s="9"/>
      <c r="Q889" s="9"/>
      <c r="R889" s="9"/>
    </row>
    <row r="890">
      <c r="P890" s="9"/>
      <c r="Q890" s="9"/>
      <c r="R890" s="9"/>
    </row>
    <row r="891">
      <c r="P891" s="9"/>
      <c r="Q891" s="9"/>
      <c r="R891" s="9"/>
    </row>
    <row r="892">
      <c r="P892" s="9"/>
      <c r="Q892" s="9"/>
      <c r="R892" s="9"/>
    </row>
    <row r="893">
      <c r="P893" s="9"/>
      <c r="Q893" s="9"/>
      <c r="R893" s="9"/>
    </row>
    <row r="894">
      <c r="P894" s="9"/>
      <c r="Q894" s="9"/>
      <c r="R894" s="9"/>
    </row>
    <row r="895">
      <c r="P895" s="9"/>
      <c r="Q895" s="9"/>
      <c r="R895" s="9"/>
    </row>
    <row r="896">
      <c r="P896" s="9"/>
      <c r="Q896" s="9"/>
      <c r="R896" s="9"/>
    </row>
    <row r="897">
      <c r="P897" s="9"/>
      <c r="Q897" s="9"/>
      <c r="R897" s="9"/>
    </row>
    <row r="898">
      <c r="P898" s="9"/>
      <c r="Q898" s="9"/>
      <c r="R898" s="9"/>
    </row>
    <row r="899">
      <c r="P899" s="9"/>
      <c r="Q899" s="9"/>
      <c r="R899" s="9"/>
    </row>
    <row r="900">
      <c r="P900" s="9"/>
      <c r="Q900" s="9"/>
      <c r="R900" s="9"/>
    </row>
    <row r="901">
      <c r="P901" s="9"/>
      <c r="Q901" s="9"/>
      <c r="R901" s="9"/>
    </row>
    <row r="902">
      <c r="P902" s="9"/>
      <c r="Q902" s="9"/>
      <c r="R902" s="9"/>
    </row>
    <row r="903">
      <c r="P903" s="9"/>
      <c r="Q903" s="9"/>
      <c r="R903" s="9"/>
    </row>
    <row r="904">
      <c r="P904" s="9"/>
      <c r="Q904" s="9"/>
      <c r="R904" s="9"/>
    </row>
    <row r="905">
      <c r="P905" s="9"/>
      <c r="Q905" s="9"/>
      <c r="R905" s="9"/>
    </row>
    <row r="906">
      <c r="P906" s="9"/>
      <c r="Q906" s="9"/>
      <c r="R906" s="9"/>
    </row>
    <row r="907">
      <c r="P907" s="9"/>
      <c r="Q907" s="9"/>
      <c r="R907" s="9"/>
    </row>
    <row r="908">
      <c r="P908" s="9"/>
      <c r="Q908" s="9"/>
      <c r="R908" s="9"/>
    </row>
    <row r="909">
      <c r="P909" s="9"/>
      <c r="Q909" s="9"/>
      <c r="R909" s="9"/>
    </row>
    <row r="910">
      <c r="P910" s="9"/>
      <c r="Q910" s="9"/>
      <c r="R910" s="9"/>
    </row>
    <row r="911">
      <c r="P911" s="9"/>
      <c r="Q911" s="9"/>
      <c r="R911" s="9"/>
    </row>
    <row r="912">
      <c r="P912" s="9"/>
      <c r="Q912" s="9"/>
      <c r="R912" s="9"/>
    </row>
    <row r="913">
      <c r="P913" s="9"/>
      <c r="Q913" s="9"/>
      <c r="R913" s="9"/>
    </row>
    <row r="914">
      <c r="P914" s="9"/>
      <c r="Q914" s="9"/>
      <c r="R914" s="9"/>
    </row>
    <row r="915">
      <c r="P915" s="9"/>
      <c r="Q915" s="9"/>
      <c r="R915" s="9"/>
    </row>
    <row r="916">
      <c r="P916" s="9"/>
      <c r="Q916" s="9"/>
      <c r="R916" s="9"/>
    </row>
    <row r="917">
      <c r="P917" s="9"/>
      <c r="Q917" s="9"/>
      <c r="R917" s="9"/>
    </row>
    <row r="918">
      <c r="P918" s="9"/>
      <c r="Q918" s="9"/>
      <c r="R918" s="9"/>
    </row>
    <row r="919">
      <c r="P919" s="9"/>
      <c r="Q919" s="9"/>
      <c r="R919" s="9"/>
    </row>
    <row r="920">
      <c r="P920" s="9"/>
      <c r="Q920" s="9"/>
      <c r="R920" s="9"/>
    </row>
    <row r="921">
      <c r="P921" s="9"/>
      <c r="Q921" s="9"/>
      <c r="R921" s="9"/>
    </row>
    <row r="922">
      <c r="P922" s="9"/>
      <c r="Q922" s="9"/>
      <c r="R922" s="9"/>
    </row>
    <row r="923">
      <c r="P923" s="9"/>
      <c r="Q923" s="9"/>
      <c r="R923" s="9"/>
    </row>
    <row r="924">
      <c r="P924" s="9"/>
      <c r="Q924" s="9"/>
      <c r="R924" s="9"/>
    </row>
    <row r="925">
      <c r="P925" s="9"/>
      <c r="Q925" s="9"/>
      <c r="R925" s="9"/>
    </row>
    <row r="926">
      <c r="P926" s="9"/>
      <c r="Q926" s="9"/>
      <c r="R926" s="9"/>
    </row>
    <row r="927">
      <c r="P927" s="9"/>
      <c r="Q927" s="9"/>
      <c r="R927" s="9"/>
    </row>
    <row r="928">
      <c r="P928" s="9"/>
      <c r="Q928" s="9"/>
      <c r="R928" s="9"/>
    </row>
    <row r="929">
      <c r="P929" s="9"/>
      <c r="Q929" s="9"/>
      <c r="R929" s="9"/>
    </row>
    <row r="930">
      <c r="P930" s="9"/>
      <c r="Q930" s="9"/>
      <c r="R930" s="9"/>
    </row>
    <row r="931">
      <c r="P931" s="9"/>
      <c r="Q931" s="9"/>
      <c r="R931" s="9"/>
    </row>
    <row r="932">
      <c r="P932" s="9"/>
      <c r="Q932" s="9"/>
      <c r="R932" s="9"/>
    </row>
    <row r="933">
      <c r="P933" s="9"/>
      <c r="Q933" s="9"/>
      <c r="R933" s="9"/>
    </row>
    <row r="934">
      <c r="P934" s="9"/>
      <c r="Q934" s="9"/>
      <c r="R934" s="9"/>
    </row>
    <row r="935">
      <c r="P935" s="9"/>
      <c r="Q935" s="9"/>
      <c r="R935" s="9"/>
    </row>
    <row r="936">
      <c r="P936" s="9"/>
      <c r="Q936" s="9"/>
      <c r="R936" s="9"/>
    </row>
    <row r="937">
      <c r="P937" s="9"/>
      <c r="Q937" s="9"/>
      <c r="R937" s="9"/>
    </row>
    <row r="938">
      <c r="P938" s="9"/>
      <c r="Q938" s="9"/>
      <c r="R938" s="9"/>
    </row>
    <row r="939">
      <c r="P939" s="9"/>
      <c r="Q939" s="9"/>
      <c r="R939" s="9"/>
    </row>
    <row r="940">
      <c r="P940" s="9"/>
      <c r="Q940" s="9"/>
      <c r="R940" s="9"/>
    </row>
    <row r="941">
      <c r="P941" s="9"/>
      <c r="Q941" s="9"/>
      <c r="R941" s="9"/>
    </row>
    <row r="942">
      <c r="P942" s="9"/>
      <c r="Q942" s="9"/>
      <c r="R942" s="9"/>
    </row>
    <row r="943">
      <c r="P943" s="9"/>
      <c r="Q943" s="9"/>
      <c r="R943" s="9"/>
    </row>
    <row r="944">
      <c r="P944" s="9"/>
      <c r="Q944" s="9"/>
      <c r="R944" s="9"/>
    </row>
    <row r="945">
      <c r="P945" s="9"/>
      <c r="Q945" s="9"/>
      <c r="R945" s="9"/>
    </row>
    <row r="946">
      <c r="P946" s="9"/>
      <c r="Q946" s="9"/>
      <c r="R946" s="9"/>
    </row>
    <row r="947">
      <c r="P947" s="9"/>
      <c r="Q947" s="9"/>
      <c r="R947" s="9"/>
    </row>
    <row r="948">
      <c r="P948" s="9"/>
      <c r="Q948" s="9"/>
      <c r="R948" s="9"/>
    </row>
    <row r="949">
      <c r="P949" s="9"/>
      <c r="Q949" s="9"/>
      <c r="R949" s="9"/>
    </row>
    <row r="950">
      <c r="P950" s="9"/>
      <c r="Q950" s="9"/>
      <c r="R950" s="9"/>
    </row>
    <row r="951">
      <c r="P951" s="9"/>
      <c r="Q951" s="9"/>
      <c r="R951" s="9"/>
    </row>
    <row r="952">
      <c r="P952" s="9"/>
      <c r="Q952" s="9"/>
      <c r="R952" s="9"/>
    </row>
    <row r="953">
      <c r="P953" s="9"/>
      <c r="Q953" s="9"/>
      <c r="R953" s="9"/>
    </row>
    <row r="954">
      <c r="P954" s="9"/>
      <c r="Q954" s="9"/>
      <c r="R954" s="9"/>
    </row>
    <row r="955">
      <c r="P955" s="9"/>
      <c r="Q955" s="9"/>
      <c r="R955" s="9"/>
    </row>
    <row r="956">
      <c r="P956" s="9"/>
      <c r="Q956" s="9"/>
      <c r="R956" s="9"/>
    </row>
    <row r="957">
      <c r="P957" s="9"/>
      <c r="Q957" s="9"/>
      <c r="R957" s="9"/>
    </row>
    <row r="958">
      <c r="P958" s="9"/>
      <c r="Q958" s="9"/>
      <c r="R958" s="9"/>
    </row>
    <row r="959">
      <c r="P959" s="9"/>
      <c r="Q959" s="9"/>
      <c r="R959" s="9"/>
    </row>
    <row r="960">
      <c r="P960" s="9"/>
      <c r="Q960" s="9"/>
      <c r="R960" s="9"/>
    </row>
    <row r="961">
      <c r="P961" s="9"/>
      <c r="Q961" s="9"/>
      <c r="R961" s="9"/>
    </row>
    <row r="962">
      <c r="P962" s="9"/>
      <c r="Q962" s="9"/>
      <c r="R962" s="9"/>
    </row>
    <row r="963">
      <c r="P963" s="9"/>
      <c r="Q963" s="9"/>
      <c r="R963" s="9"/>
    </row>
    <row r="964">
      <c r="P964" s="9"/>
      <c r="Q964" s="9"/>
      <c r="R964" s="9"/>
    </row>
    <row r="965">
      <c r="P965" s="9"/>
      <c r="Q965" s="9"/>
      <c r="R965" s="9"/>
    </row>
    <row r="966">
      <c r="P966" s="9"/>
      <c r="Q966" s="9"/>
      <c r="R966" s="9"/>
    </row>
    <row r="967">
      <c r="P967" s="9"/>
      <c r="Q967" s="9"/>
      <c r="R967" s="9"/>
    </row>
    <row r="968">
      <c r="P968" s="9"/>
      <c r="Q968" s="9"/>
      <c r="R968" s="9"/>
    </row>
    <row r="969">
      <c r="P969" s="9"/>
      <c r="Q969" s="9"/>
      <c r="R969" s="9"/>
    </row>
    <row r="970">
      <c r="P970" s="9"/>
      <c r="Q970" s="9"/>
      <c r="R970" s="9"/>
    </row>
    <row r="971">
      <c r="P971" s="9"/>
      <c r="Q971" s="9"/>
      <c r="R971" s="9"/>
    </row>
    <row r="972">
      <c r="P972" s="9"/>
      <c r="Q972" s="9"/>
      <c r="R972" s="9"/>
    </row>
    <row r="973">
      <c r="P973" s="9"/>
      <c r="Q973" s="9"/>
      <c r="R973" s="9"/>
    </row>
    <row r="974">
      <c r="P974" s="9"/>
      <c r="Q974" s="9"/>
      <c r="R974" s="9"/>
    </row>
    <row r="975">
      <c r="P975" s="9"/>
      <c r="Q975" s="9"/>
      <c r="R975" s="9"/>
    </row>
    <row r="976">
      <c r="P976" s="9"/>
      <c r="Q976" s="9"/>
      <c r="R976" s="9"/>
    </row>
    <row r="977">
      <c r="P977" s="9"/>
      <c r="Q977" s="9"/>
      <c r="R977" s="9"/>
    </row>
    <row r="978">
      <c r="P978" s="9"/>
      <c r="Q978" s="9"/>
      <c r="R978" s="9"/>
    </row>
    <row r="979">
      <c r="P979" s="9"/>
      <c r="Q979" s="9"/>
      <c r="R979" s="9"/>
    </row>
    <row r="980">
      <c r="P980" s="9"/>
      <c r="Q980" s="9"/>
      <c r="R980" s="9"/>
    </row>
    <row r="981">
      <c r="P981" s="9"/>
      <c r="Q981" s="9"/>
      <c r="R981" s="9"/>
    </row>
    <row r="982">
      <c r="P982" s="9"/>
      <c r="Q982" s="9"/>
      <c r="R982" s="9"/>
    </row>
    <row r="983">
      <c r="P983" s="9"/>
      <c r="Q983" s="9"/>
      <c r="R983" s="9"/>
    </row>
    <row r="984">
      <c r="P984" s="9"/>
      <c r="Q984" s="9"/>
      <c r="R984" s="9"/>
    </row>
    <row r="985">
      <c r="P985" s="9"/>
      <c r="Q985" s="9"/>
      <c r="R985" s="9"/>
    </row>
    <row r="986">
      <c r="P986" s="9"/>
      <c r="Q986" s="9"/>
      <c r="R986" s="9"/>
    </row>
    <row r="987">
      <c r="P987" s="9"/>
      <c r="Q987" s="9"/>
      <c r="R987" s="9"/>
    </row>
    <row r="988">
      <c r="P988" s="9"/>
      <c r="Q988" s="9"/>
      <c r="R988" s="9"/>
    </row>
    <row r="989">
      <c r="P989" s="9"/>
      <c r="Q989" s="9"/>
      <c r="R989" s="9"/>
    </row>
    <row r="990">
      <c r="P990" s="9"/>
      <c r="Q990" s="9"/>
      <c r="R990" s="9"/>
    </row>
    <row r="991">
      <c r="P991" s="9"/>
      <c r="Q991" s="9"/>
      <c r="R991" s="9"/>
    </row>
    <row r="992">
      <c r="P992" s="9"/>
      <c r="Q992" s="9"/>
      <c r="R992" s="9"/>
    </row>
    <row r="993">
      <c r="P993" s="9"/>
      <c r="Q993" s="9"/>
      <c r="R993" s="9"/>
    </row>
    <row r="994">
      <c r="P994" s="9"/>
      <c r="Q994" s="9"/>
      <c r="R994" s="9"/>
    </row>
    <row r="995">
      <c r="P995" s="9"/>
      <c r="Q995" s="9"/>
      <c r="R995" s="9"/>
    </row>
    <row r="996">
      <c r="P996" s="9"/>
      <c r="Q996" s="9"/>
      <c r="R996" s="9"/>
    </row>
    <row r="997">
      <c r="P997" s="9"/>
      <c r="Q997" s="9"/>
      <c r="R997" s="9"/>
    </row>
    <row r="998">
      <c r="P998" s="9"/>
      <c r="Q998" s="9"/>
      <c r="R998" s="9"/>
    </row>
    <row r="999">
      <c r="P999" s="9"/>
      <c r="Q999" s="9"/>
      <c r="R999" s="9"/>
    </row>
  </sheetData>
  <mergeCells count="7">
    <mergeCell ref="B1:C1"/>
    <mergeCell ref="D1:E1"/>
    <mergeCell ref="F1:G1"/>
    <mergeCell ref="H1:I1"/>
    <mergeCell ref="J1:K1"/>
    <mergeCell ref="L1:M1"/>
    <mergeCell ref="Q1:R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63"/>
  </cols>
  <sheetData>
    <row r="1">
      <c r="A1" s="16" t="s">
        <v>166</v>
      </c>
      <c r="B1" s="21" t="s">
        <v>145</v>
      </c>
      <c r="C1" s="3"/>
      <c r="D1" s="21" t="s">
        <v>146</v>
      </c>
      <c r="E1" s="3"/>
      <c r="F1" s="21" t="s">
        <v>147</v>
      </c>
      <c r="G1" s="3"/>
      <c r="H1" s="21" t="s">
        <v>148</v>
      </c>
      <c r="I1" s="3"/>
      <c r="J1" s="21" t="s">
        <v>149</v>
      </c>
      <c r="K1" s="3"/>
      <c r="L1" s="21" t="s">
        <v>150</v>
      </c>
      <c r="M1" s="3"/>
      <c r="O1" s="4" t="s">
        <v>167</v>
      </c>
      <c r="P1" s="54">
        <v>46082.0</v>
      </c>
      <c r="Q1" s="4" t="s">
        <v>168</v>
      </c>
    </row>
    <row r="2">
      <c r="A2" s="16" t="s">
        <v>151</v>
      </c>
      <c r="B2" s="16" t="s">
        <v>169</v>
      </c>
      <c r="C2" s="16" t="s">
        <v>170</v>
      </c>
      <c r="D2" s="16" t="s">
        <v>169</v>
      </c>
      <c r="E2" s="16" t="s">
        <v>170</v>
      </c>
      <c r="F2" s="16" t="s">
        <v>169</v>
      </c>
      <c r="G2" s="16" t="s">
        <v>170</v>
      </c>
      <c r="H2" s="16" t="s">
        <v>169</v>
      </c>
      <c r="I2" s="16" t="s">
        <v>170</v>
      </c>
      <c r="J2" s="16" t="s">
        <v>169</v>
      </c>
      <c r="K2" s="16" t="s">
        <v>170</v>
      </c>
      <c r="L2" s="16" t="s">
        <v>169</v>
      </c>
      <c r="M2" s="16" t="s">
        <v>170</v>
      </c>
      <c r="O2" s="5" t="s">
        <v>140</v>
      </c>
      <c r="P2" s="55">
        <v>34.0</v>
      </c>
      <c r="Q2" s="55">
        <v>564.0</v>
      </c>
    </row>
    <row r="3">
      <c r="A3" s="18" t="s">
        <v>140</v>
      </c>
      <c r="B3" s="42">
        <v>1026.0</v>
      </c>
      <c r="C3" s="42">
        <v>19.0</v>
      </c>
      <c r="D3" s="18">
        <v>363.0</v>
      </c>
      <c r="E3" s="28">
        <v>25.0</v>
      </c>
      <c r="F3" s="18">
        <v>564.0</v>
      </c>
      <c r="G3" s="18">
        <v>34.0</v>
      </c>
      <c r="H3" s="19"/>
      <c r="I3" s="18"/>
      <c r="J3" s="18"/>
      <c r="K3" s="18"/>
      <c r="L3" s="18"/>
      <c r="M3" s="18"/>
      <c r="O3" s="5" t="s">
        <v>131</v>
      </c>
      <c r="P3" s="55">
        <v>115.0</v>
      </c>
      <c r="Q3" s="51">
        <v>1423.0</v>
      </c>
    </row>
    <row r="4">
      <c r="A4" s="18" t="s">
        <v>131</v>
      </c>
      <c r="B4" s="42">
        <v>2280.0</v>
      </c>
      <c r="C4" s="42">
        <v>22.0</v>
      </c>
      <c r="D4" s="28">
        <v>1010.0</v>
      </c>
      <c r="E4" s="28">
        <v>32.0</v>
      </c>
      <c r="F4" s="28">
        <v>1423.0</v>
      </c>
      <c r="G4" s="18">
        <v>115.0</v>
      </c>
      <c r="H4" s="18"/>
      <c r="I4" s="18"/>
      <c r="J4" s="18"/>
      <c r="K4" s="18"/>
      <c r="L4" s="18"/>
      <c r="M4" s="18"/>
      <c r="O4" s="5" t="s">
        <v>136</v>
      </c>
      <c r="P4" s="55">
        <v>69.0</v>
      </c>
      <c r="Q4" s="55">
        <v>816.0</v>
      </c>
      <c r="S4" s="47"/>
    </row>
    <row r="5">
      <c r="A5" s="18" t="s">
        <v>136</v>
      </c>
      <c r="B5" s="42">
        <v>1475.0</v>
      </c>
      <c r="C5" s="42">
        <v>29.0</v>
      </c>
      <c r="D5" s="18">
        <v>862.0</v>
      </c>
      <c r="E5" s="18">
        <v>9.0</v>
      </c>
      <c r="F5" s="18">
        <v>816.0</v>
      </c>
      <c r="G5" s="18">
        <v>69.0</v>
      </c>
      <c r="H5" s="18"/>
      <c r="I5" s="18"/>
      <c r="J5" s="18"/>
      <c r="K5" s="18"/>
      <c r="L5" s="18"/>
      <c r="M5" s="18"/>
      <c r="O5" s="5" t="s">
        <v>135</v>
      </c>
      <c r="P5" s="51">
        <v>33.0</v>
      </c>
      <c r="Q5" s="55">
        <v>382.0</v>
      </c>
    </row>
    <row r="6">
      <c r="A6" s="18" t="s">
        <v>135</v>
      </c>
      <c r="B6" s="42">
        <v>838.0</v>
      </c>
      <c r="C6" s="42">
        <v>6.0</v>
      </c>
      <c r="D6" s="18">
        <v>296.0</v>
      </c>
      <c r="E6" s="18">
        <v>11.0</v>
      </c>
      <c r="F6" s="18">
        <v>382.0</v>
      </c>
      <c r="G6" s="28">
        <v>33.0</v>
      </c>
      <c r="H6" s="18"/>
      <c r="I6" s="18"/>
      <c r="J6" s="18"/>
      <c r="K6" s="18"/>
      <c r="L6" s="18"/>
      <c r="M6" s="18"/>
      <c r="O6" s="5" t="s">
        <v>122</v>
      </c>
      <c r="P6" s="51">
        <v>91.0</v>
      </c>
      <c r="Q6" s="51">
        <v>1468.0</v>
      </c>
    </row>
    <row r="7">
      <c r="A7" s="18" t="s">
        <v>122</v>
      </c>
      <c r="B7" s="42">
        <v>2624.0</v>
      </c>
      <c r="C7" s="42">
        <v>46.0</v>
      </c>
      <c r="D7" s="18">
        <v>935.0</v>
      </c>
      <c r="E7" s="18">
        <v>28.0</v>
      </c>
      <c r="F7" s="28">
        <v>1468.0</v>
      </c>
      <c r="G7" s="28">
        <v>91.0</v>
      </c>
      <c r="H7" s="18"/>
      <c r="I7" s="18"/>
      <c r="J7" s="18"/>
      <c r="K7" s="18"/>
      <c r="L7" s="18"/>
      <c r="M7" s="18"/>
      <c r="O7" s="5" t="s">
        <v>116</v>
      </c>
      <c r="P7" s="51">
        <v>52.0</v>
      </c>
      <c r="Q7" s="51">
        <v>1794.0</v>
      </c>
    </row>
    <row r="8">
      <c r="A8" s="18" t="s">
        <v>116</v>
      </c>
      <c r="B8" s="42">
        <v>2749.0</v>
      </c>
      <c r="C8" s="42">
        <v>39.0</v>
      </c>
      <c r="D8" s="28">
        <v>1109.0</v>
      </c>
      <c r="E8" s="28">
        <v>29.0</v>
      </c>
      <c r="F8" s="28">
        <v>1794.0</v>
      </c>
      <c r="G8" s="28">
        <v>52.0</v>
      </c>
      <c r="H8" s="18"/>
      <c r="I8" s="18"/>
      <c r="J8" s="18"/>
      <c r="K8" s="18"/>
      <c r="L8" s="18"/>
      <c r="M8" s="18"/>
      <c r="O8" s="5" t="s">
        <v>133</v>
      </c>
      <c r="P8" s="51">
        <v>63.0</v>
      </c>
      <c r="Q8" s="55">
        <v>829.0</v>
      </c>
      <c r="S8" s="47"/>
    </row>
    <row r="9">
      <c r="A9" s="18" t="s">
        <v>133</v>
      </c>
      <c r="B9" s="42">
        <v>1578.0</v>
      </c>
      <c r="C9" s="42">
        <v>47.0</v>
      </c>
      <c r="D9" s="18">
        <v>710.0</v>
      </c>
      <c r="E9" s="28">
        <v>21.0</v>
      </c>
      <c r="F9" s="18">
        <v>829.0</v>
      </c>
      <c r="G9" s="28">
        <v>63.0</v>
      </c>
      <c r="H9" s="18"/>
      <c r="I9" s="18"/>
      <c r="J9" s="18"/>
      <c r="K9" s="18"/>
      <c r="L9" s="18"/>
      <c r="M9" s="18"/>
      <c r="O9" s="5" t="s">
        <v>138</v>
      </c>
      <c r="P9" s="51">
        <v>58.0</v>
      </c>
      <c r="Q9" s="55">
        <v>580.0</v>
      </c>
    </row>
    <row r="10">
      <c r="A10" s="18" t="s">
        <v>138</v>
      </c>
      <c r="B10" s="42">
        <v>1090.0</v>
      </c>
      <c r="C10" s="42">
        <v>21.0</v>
      </c>
      <c r="D10" s="18">
        <v>533.0</v>
      </c>
      <c r="E10" s="28">
        <v>13.0</v>
      </c>
      <c r="F10" s="18">
        <v>580.0</v>
      </c>
      <c r="G10" s="28">
        <v>58.0</v>
      </c>
      <c r="H10" s="18"/>
      <c r="I10" s="18"/>
      <c r="J10" s="18"/>
      <c r="K10" s="18"/>
      <c r="L10" s="18"/>
      <c r="M10" s="18"/>
      <c r="O10" s="5" t="s">
        <v>143</v>
      </c>
      <c r="P10" s="51">
        <v>39.0</v>
      </c>
      <c r="Q10" s="51">
        <v>1051.0</v>
      </c>
    </row>
    <row r="11">
      <c r="A11" s="18" t="s">
        <v>143</v>
      </c>
      <c r="B11" s="42">
        <v>1655.0</v>
      </c>
      <c r="C11" s="42">
        <v>4.0</v>
      </c>
      <c r="D11" s="18">
        <v>587.0</v>
      </c>
      <c r="E11" s="28">
        <v>13.0</v>
      </c>
      <c r="F11" s="28">
        <v>1051.0</v>
      </c>
      <c r="G11" s="28">
        <v>39.0</v>
      </c>
      <c r="H11" s="18"/>
      <c r="I11" s="18"/>
      <c r="J11" s="18"/>
      <c r="K11" s="18"/>
      <c r="L11" s="18"/>
      <c r="M11" s="18"/>
      <c r="O11" s="5" t="s">
        <v>137</v>
      </c>
      <c r="P11" s="51">
        <v>68.0</v>
      </c>
      <c r="Q11" s="51">
        <v>1234.0</v>
      </c>
    </row>
    <row r="12">
      <c r="A12" s="18" t="s">
        <v>137</v>
      </c>
      <c r="B12" s="42">
        <v>1829.0</v>
      </c>
      <c r="C12" s="42">
        <v>37.0</v>
      </c>
      <c r="D12" s="18">
        <v>658.0</v>
      </c>
      <c r="E12" s="28">
        <v>40.0</v>
      </c>
      <c r="F12" s="28">
        <v>1234.0</v>
      </c>
      <c r="G12" s="28">
        <v>68.0</v>
      </c>
      <c r="H12" s="18"/>
      <c r="I12" s="18"/>
      <c r="J12" s="18"/>
      <c r="K12" s="18"/>
      <c r="L12" s="18"/>
      <c r="M12" s="18"/>
      <c r="O12" s="5" t="s">
        <v>128</v>
      </c>
      <c r="P12" s="51">
        <v>153.0</v>
      </c>
      <c r="Q12" s="55">
        <v>782.0</v>
      </c>
    </row>
    <row r="13">
      <c r="A13" s="18" t="s">
        <v>128</v>
      </c>
      <c r="B13" s="42">
        <v>1247.0</v>
      </c>
      <c r="C13" s="42">
        <v>27.0</v>
      </c>
      <c r="D13" s="18">
        <v>938.0</v>
      </c>
      <c r="E13" s="28">
        <v>25.0</v>
      </c>
      <c r="F13" s="18">
        <v>782.0</v>
      </c>
      <c r="G13" s="28">
        <v>153.0</v>
      </c>
      <c r="H13" s="18"/>
      <c r="I13" s="18"/>
      <c r="J13" s="18"/>
      <c r="K13" s="18"/>
      <c r="L13" s="18"/>
      <c r="M13" s="18"/>
      <c r="O13" s="5" t="s">
        <v>121</v>
      </c>
      <c r="P13" s="51">
        <v>188.0</v>
      </c>
      <c r="Q13" s="51">
        <v>1774.0</v>
      </c>
    </row>
    <row r="14">
      <c r="A14" s="18" t="s">
        <v>121</v>
      </c>
      <c r="B14" s="42">
        <v>3486.0</v>
      </c>
      <c r="C14" s="42">
        <v>46.0</v>
      </c>
      <c r="D14" s="28">
        <v>1725.0</v>
      </c>
      <c r="E14" s="28">
        <v>55.0</v>
      </c>
      <c r="F14" s="28">
        <v>1774.0</v>
      </c>
      <c r="G14" s="28">
        <v>188.0</v>
      </c>
      <c r="H14" s="18"/>
      <c r="I14" s="18"/>
      <c r="J14" s="18"/>
      <c r="K14" s="18"/>
      <c r="L14" s="18"/>
      <c r="M14" s="18"/>
      <c r="O14" s="5" t="s">
        <v>139</v>
      </c>
      <c r="P14" s="51">
        <v>30.0</v>
      </c>
      <c r="Q14" s="55">
        <v>629.0</v>
      </c>
      <c r="S14" s="47"/>
    </row>
    <row r="15">
      <c r="A15" s="18" t="s">
        <v>139</v>
      </c>
      <c r="B15" s="42">
        <v>1320.0</v>
      </c>
      <c r="C15" s="42">
        <v>16.0</v>
      </c>
      <c r="D15" s="18">
        <v>585.0</v>
      </c>
      <c r="E15" s="28">
        <v>9.0</v>
      </c>
      <c r="F15" s="18">
        <v>629.0</v>
      </c>
      <c r="G15" s="28">
        <v>30.0</v>
      </c>
      <c r="H15" s="18"/>
      <c r="I15" s="18"/>
      <c r="J15" s="18"/>
      <c r="K15" s="18"/>
      <c r="L15" s="18"/>
      <c r="M15" s="18"/>
      <c r="O15" s="5" t="s">
        <v>142</v>
      </c>
      <c r="P15" s="51">
        <v>28.0</v>
      </c>
      <c r="Q15" s="55">
        <v>615.0</v>
      </c>
    </row>
    <row r="16">
      <c r="A16" s="18" t="s">
        <v>142</v>
      </c>
      <c r="B16" s="42">
        <v>1141.0</v>
      </c>
      <c r="C16" s="42">
        <v>14.0</v>
      </c>
      <c r="D16" s="18">
        <v>372.0</v>
      </c>
      <c r="E16" s="28">
        <v>7.0</v>
      </c>
      <c r="F16" s="18">
        <v>615.0</v>
      </c>
      <c r="G16" s="28">
        <v>28.0</v>
      </c>
      <c r="H16" s="18"/>
      <c r="I16" s="18"/>
      <c r="J16" s="18"/>
      <c r="K16" s="18"/>
      <c r="L16" s="18"/>
      <c r="M16" s="18"/>
      <c r="O16" s="5" t="s">
        <v>132</v>
      </c>
      <c r="P16" s="51">
        <v>115.0</v>
      </c>
      <c r="Q16" s="51">
        <v>1361.0</v>
      </c>
    </row>
    <row r="17">
      <c r="A17" s="18" t="s">
        <v>132</v>
      </c>
      <c r="B17" s="42">
        <v>2925.0</v>
      </c>
      <c r="C17" s="42">
        <v>64.0</v>
      </c>
      <c r="D17" s="28">
        <v>1174.0</v>
      </c>
      <c r="E17" s="28">
        <v>41.0</v>
      </c>
      <c r="F17" s="28">
        <v>1361.0</v>
      </c>
      <c r="G17" s="28">
        <v>115.0</v>
      </c>
      <c r="H17" s="18"/>
      <c r="I17" s="18"/>
      <c r="J17" s="18"/>
      <c r="K17" s="18"/>
      <c r="L17" s="18"/>
      <c r="M17" s="18"/>
      <c r="O17" s="5" t="s">
        <v>114</v>
      </c>
      <c r="P17" s="51">
        <v>95.0</v>
      </c>
      <c r="Q17" s="51">
        <v>1217.0</v>
      </c>
      <c r="S17" s="47"/>
    </row>
    <row r="18">
      <c r="A18" s="18" t="s">
        <v>114</v>
      </c>
      <c r="B18" s="42">
        <v>1563.0</v>
      </c>
      <c r="C18" s="42">
        <v>38.0</v>
      </c>
      <c r="D18" s="18">
        <v>509.0</v>
      </c>
      <c r="E18" s="28">
        <v>19.0</v>
      </c>
      <c r="F18" s="28">
        <v>1217.0</v>
      </c>
      <c r="G18" s="28">
        <v>95.0</v>
      </c>
      <c r="H18" s="18"/>
      <c r="I18" s="18"/>
      <c r="J18" s="18"/>
      <c r="K18" s="18"/>
      <c r="L18" s="18"/>
      <c r="M18" s="18"/>
      <c r="O18" s="5" t="s">
        <v>111</v>
      </c>
      <c r="P18" s="51">
        <v>128.0</v>
      </c>
      <c r="Q18" s="55">
        <v>832.0</v>
      </c>
    </row>
    <row r="19">
      <c r="A19" s="18" t="s">
        <v>111</v>
      </c>
      <c r="B19" s="42">
        <v>1289.0</v>
      </c>
      <c r="C19" s="42">
        <v>55.0</v>
      </c>
      <c r="D19" s="18">
        <v>376.0</v>
      </c>
      <c r="E19" s="28">
        <v>46.0</v>
      </c>
      <c r="F19" s="18">
        <v>832.0</v>
      </c>
      <c r="G19" s="28">
        <v>128.0</v>
      </c>
      <c r="H19" s="18"/>
      <c r="I19" s="18"/>
      <c r="J19" s="18"/>
      <c r="K19" s="18"/>
      <c r="L19" s="18"/>
      <c r="M19" s="18"/>
      <c r="O19" s="5" t="s">
        <v>109</v>
      </c>
      <c r="P19" s="51">
        <v>233.0</v>
      </c>
      <c r="Q19" s="51">
        <v>1534.0</v>
      </c>
    </row>
    <row r="20">
      <c r="A20" s="18" t="s">
        <v>109</v>
      </c>
      <c r="B20" s="42">
        <v>2709.0</v>
      </c>
      <c r="C20" s="42">
        <v>144.0</v>
      </c>
      <c r="D20" s="28">
        <v>1194.0</v>
      </c>
      <c r="E20" s="28">
        <v>52.0</v>
      </c>
      <c r="F20" s="28">
        <v>1534.0</v>
      </c>
      <c r="G20" s="28">
        <v>233.0</v>
      </c>
      <c r="H20" s="18"/>
      <c r="I20" s="18"/>
      <c r="J20" s="18"/>
      <c r="K20" s="18"/>
      <c r="L20" s="18"/>
      <c r="M20" s="18"/>
      <c r="O20" s="5" t="s">
        <v>124</v>
      </c>
      <c r="P20" s="51">
        <v>25.0</v>
      </c>
      <c r="Q20" s="55">
        <v>715.0</v>
      </c>
      <c r="S20" s="47"/>
    </row>
    <row r="21">
      <c r="A21" s="18" t="s">
        <v>124</v>
      </c>
      <c r="B21" s="42">
        <v>1040.0</v>
      </c>
      <c r="C21" s="17">
        <v>0.0</v>
      </c>
      <c r="D21" s="18">
        <v>361.0</v>
      </c>
      <c r="E21" s="28">
        <v>22.0</v>
      </c>
      <c r="F21" s="18">
        <v>715.0</v>
      </c>
      <c r="G21" s="28">
        <v>25.0</v>
      </c>
      <c r="H21" s="18"/>
      <c r="I21" s="18"/>
      <c r="J21" s="18"/>
      <c r="K21" s="18"/>
      <c r="L21" s="18"/>
      <c r="M21" s="18"/>
      <c r="O21" s="5" t="s">
        <v>127</v>
      </c>
      <c r="P21" s="51">
        <v>129.0</v>
      </c>
      <c r="Q21" s="51">
        <v>1078.0</v>
      </c>
    </row>
    <row r="22">
      <c r="A22" s="18" t="s">
        <v>127</v>
      </c>
      <c r="B22" s="42">
        <v>2166.0</v>
      </c>
      <c r="C22" s="42">
        <v>34.0</v>
      </c>
      <c r="D22" s="18">
        <v>858.0</v>
      </c>
      <c r="E22" s="28">
        <v>34.0</v>
      </c>
      <c r="F22" s="28">
        <v>1078.0</v>
      </c>
      <c r="G22" s="28">
        <v>129.0</v>
      </c>
      <c r="H22" s="18"/>
      <c r="I22" s="18"/>
      <c r="J22" s="18"/>
      <c r="K22" s="18"/>
      <c r="L22" s="18"/>
      <c r="M22" s="18"/>
      <c r="O22" s="5" t="s">
        <v>130</v>
      </c>
      <c r="P22" s="51">
        <v>166.0</v>
      </c>
      <c r="Q22" s="51">
        <v>1380.0</v>
      </c>
    </row>
    <row r="23">
      <c r="A23" s="18" t="s">
        <v>130</v>
      </c>
      <c r="B23" s="42">
        <v>2072.0</v>
      </c>
      <c r="C23" s="42">
        <v>60.0</v>
      </c>
      <c r="D23" s="18">
        <v>966.0</v>
      </c>
      <c r="E23" s="28">
        <v>50.0</v>
      </c>
      <c r="F23" s="28">
        <v>1380.0</v>
      </c>
      <c r="G23" s="28">
        <v>166.0</v>
      </c>
      <c r="H23" s="18"/>
      <c r="I23" s="18"/>
      <c r="J23" s="18"/>
      <c r="K23" s="18"/>
      <c r="L23" s="18"/>
      <c r="M23" s="18"/>
      <c r="O23" s="5" t="s">
        <v>141</v>
      </c>
      <c r="P23" s="51">
        <v>24.0</v>
      </c>
      <c r="Q23" s="55">
        <v>339.0</v>
      </c>
    </row>
    <row r="24">
      <c r="A24" s="18" t="s">
        <v>141</v>
      </c>
      <c r="B24" s="42">
        <v>658.0</v>
      </c>
      <c r="C24" s="42">
        <v>5.0</v>
      </c>
      <c r="D24" s="18">
        <v>157.0</v>
      </c>
      <c r="E24" s="28">
        <v>8.0</v>
      </c>
      <c r="F24" s="18">
        <v>339.0</v>
      </c>
      <c r="G24" s="28">
        <v>24.0</v>
      </c>
      <c r="H24" s="18"/>
      <c r="I24" s="18"/>
      <c r="J24" s="18"/>
      <c r="K24" s="18"/>
      <c r="L24" s="18"/>
      <c r="M24" s="18"/>
      <c r="O24" s="5" t="s">
        <v>123</v>
      </c>
      <c r="P24" s="51">
        <v>36.0</v>
      </c>
      <c r="Q24" s="55">
        <v>990.0</v>
      </c>
    </row>
    <row r="25">
      <c r="A25" s="18" t="s">
        <v>123</v>
      </c>
      <c r="B25" s="42">
        <v>1389.0</v>
      </c>
      <c r="C25" s="42">
        <v>25.0</v>
      </c>
      <c r="D25" s="18">
        <v>302.0</v>
      </c>
      <c r="E25" s="28">
        <v>14.0</v>
      </c>
      <c r="F25" s="18">
        <v>990.0</v>
      </c>
      <c r="G25" s="28">
        <v>36.0</v>
      </c>
      <c r="H25" s="18"/>
      <c r="I25" s="18"/>
      <c r="J25" s="18"/>
      <c r="K25" s="18"/>
      <c r="L25" s="18"/>
      <c r="M25" s="18"/>
      <c r="O25" s="5" t="s">
        <v>112</v>
      </c>
      <c r="P25" s="51">
        <v>75.0</v>
      </c>
      <c r="Q25" s="55">
        <v>793.0</v>
      </c>
    </row>
    <row r="26">
      <c r="A26" s="18" t="s">
        <v>112</v>
      </c>
      <c r="B26" s="42">
        <v>1391.0</v>
      </c>
      <c r="C26" s="42">
        <v>31.0</v>
      </c>
      <c r="D26" s="18">
        <v>464.0</v>
      </c>
      <c r="E26" s="28">
        <v>15.0</v>
      </c>
      <c r="F26" s="18">
        <v>793.0</v>
      </c>
      <c r="G26" s="28">
        <v>75.0</v>
      </c>
      <c r="H26" s="18"/>
      <c r="I26" s="18"/>
      <c r="J26" s="18"/>
      <c r="K26" s="18"/>
      <c r="L26" s="18"/>
      <c r="M26" s="18"/>
      <c r="O26" s="5" t="s">
        <v>134</v>
      </c>
      <c r="P26" s="51">
        <v>75.0</v>
      </c>
      <c r="Q26" s="55">
        <v>829.0</v>
      </c>
    </row>
    <row r="27">
      <c r="A27" s="18" t="s">
        <v>134</v>
      </c>
      <c r="B27" s="42">
        <v>1488.0</v>
      </c>
      <c r="C27" s="42">
        <v>22.0</v>
      </c>
      <c r="D27" s="18">
        <v>593.0</v>
      </c>
      <c r="E27" s="28">
        <v>12.0</v>
      </c>
      <c r="F27" s="18">
        <v>829.0</v>
      </c>
      <c r="G27" s="28">
        <v>75.0</v>
      </c>
      <c r="H27" s="18"/>
      <c r="I27" s="18"/>
      <c r="J27" s="18"/>
      <c r="K27" s="18"/>
      <c r="L27" s="18"/>
      <c r="M27" s="18"/>
      <c r="O27" s="5" t="s">
        <v>125</v>
      </c>
      <c r="P27" s="51">
        <v>78.0</v>
      </c>
      <c r="Q27" s="51">
        <v>1003.0</v>
      </c>
    </row>
    <row r="28">
      <c r="A28" s="18" t="s">
        <v>125</v>
      </c>
      <c r="B28" s="42">
        <v>1678.0</v>
      </c>
      <c r="C28" s="42">
        <v>41.0</v>
      </c>
      <c r="D28" s="18">
        <v>823.0</v>
      </c>
      <c r="E28" s="28">
        <v>19.0</v>
      </c>
      <c r="F28" s="28">
        <v>1003.0</v>
      </c>
      <c r="G28" s="28">
        <v>78.0</v>
      </c>
      <c r="H28" s="18"/>
      <c r="I28" s="18"/>
      <c r="J28" s="18"/>
      <c r="K28" s="18"/>
      <c r="L28" s="18"/>
      <c r="M28" s="18"/>
      <c r="O28" s="5" t="s">
        <v>129</v>
      </c>
      <c r="P28" s="51">
        <v>87.0</v>
      </c>
      <c r="Q28" s="55">
        <v>978.0</v>
      </c>
    </row>
    <row r="29">
      <c r="A29" s="18" t="s">
        <v>129</v>
      </c>
      <c r="B29" s="42">
        <v>1475.0</v>
      </c>
      <c r="C29" s="42">
        <v>19.0</v>
      </c>
      <c r="D29" s="18">
        <v>688.0</v>
      </c>
      <c r="E29" s="28">
        <v>37.0</v>
      </c>
      <c r="F29" s="18">
        <v>978.0</v>
      </c>
      <c r="G29" s="28">
        <v>87.0</v>
      </c>
      <c r="H29" s="18"/>
      <c r="I29" s="18"/>
      <c r="J29" s="18"/>
      <c r="K29" s="18"/>
      <c r="L29" s="18"/>
      <c r="M29" s="18"/>
      <c r="O29" s="5" t="s">
        <v>120</v>
      </c>
      <c r="P29" s="51">
        <v>127.0</v>
      </c>
      <c r="Q29" s="51">
        <v>1671.0</v>
      </c>
    </row>
    <row r="30">
      <c r="A30" s="18" t="s">
        <v>120</v>
      </c>
      <c r="B30" s="42">
        <v>2445.0</v>
      </c>
      <c r="C30" s="42">
        <v>46.0</v>
      </c>
      <c r="D30" s="28">
        <v>1118.0</v>
      </c>
      <c r="E30" s="28">
        <v>49.0</v>
      </c>
      <c r="F30" s="28">
        <v>1671.0</v>
      </c>
      <c r="G30" s="28">
        <v>127.0</v>
      </c>
      <c r="H30" s="18"/>
      <c r="I30" s="18"/>
      <c r="J30" s="18"/>
      <c r="K30" s="18"/>
      <c r="L30" s="18"/>
      <c r="M30" s="18"/>
      <c r="O30" s="5" t="s">
        <v>126</v>
      </c>
      <c r="P30" s="51">
        <v>56.0</v>
      </c>
      <c r="Q30" s="51">
        <v>1081.0</v>
      </c>
      <c r="S30" s="47"/>
    </row>
    <row r="31">
      <c r="A31" s="18" t="s">
        <v>126</v>
      </c>
      <c r="B31" s="42">
        <v>1806.0</v>
      </c>
      <c r="C31" s="42">
        <v>27.0</v>
      </c>
      <c r="D31" s="18">
        <v>753.0</v>
      </c>
      <c r="E31" s="28">
        <v>21.0</v>
      </c>
      <c r="F31" s="28">
        <v>1081.0</v>
      </c>
      <c r="G31" s="28">
        <v>56.0</v>
      </c>
      <c r="H31" s="18"/>
      <c r="I31" s="18"/>
      <c r="J31" s="18"/>
      <c r="K31" s="18"/>
      <c r="L31" s="18"/>
      <c r="M31" s="18"/>
      <c r="O31" s="5" t="s">
        <v>118</v>
      </c>
      <c r="P31" s="51">
        <v>140.0</v>
      </c>
      <c r="Q31" s="51">
        <v>1431.0</v>
      </c>
    </row>
    <row r="32">
      <c r="A32" s="18" t="s">
        <v>118</v>
      </c>
      <c r="B32" s="42">
        <v>2322.0</v>
      </c>
      <c r="C32" s="42">
        <v>51.0</v>
      </c>
      <c r="D32" s="18">
        <v>968.0</v>
      </c>
      <c r="E32" s="28">
        <v>36.0</v>
      </c>
      <c r="F32" s="28">
        <v>1431.0</v>
      </c>
      <c r="G32" s="28">
        <v>140.0</v>
      </c>
      <c r="H32" s="18"/>
      <c r="I32" s="18"/>
      <c r="J32" s="18"/>
      <c r="K32" s="18"/>
      <c r="L32" s="18"/>
      <c r="M32" s="18"/>
      <c r="O32" s="9"/>
      <c r="P32" s="53"/>
      <c r="Q32" s="9"/>
    </row>
    <row r="33">
      <c r="O33" s="9"/>
      <c r="P33" s="53"/>
      <c r="Q33" s="9"/>
    </row>
    <row r="34">
      <c r="O34" s="9"/>
      <c r="P34" s="53"/>
      <c r="Q34" s="9"/>
    </row>
    <row r="35">
      <c r="O35" s="9"/>
      <c r="P35" s="9"/>
      <c r="Q35" s="9"/>
    </row>
    <row r="36">
      <c r="O36" s="9"/>
      <c r="P36" s="9"/>
      <c r="Q36" s="9"/>
    </row>
    <row r="37">
      <c r="O37" s="9"/>
      <c r="P37" s="9"/>
      <c r="Q37" s="9"/>
    </row>
    <row r="38">
      <c r="O38" s="9"/>
      <c r="P38" s="9"/>
      <c r="Q38" s="9"/>
    </row>
    <row r="39">
      <c r="O39" s="9"/>
      <c r="P39" s="9"/>
      <c r="Q39" s="9"/>
    </row>
    <row r="40">
      <c r="O40" s="9"/>
      <c r="P40" s="9"/>
      <c r="Q40" s="9"/>
    </row>
    <row r="41">
      <c r="O41" s="9"/>
      <c r="P41" s="9"/>
      <c r="Q41" s="9"/>
    </row>
    <row r="42">
      <c r="O42" s="9"/>
      <c r="P42" s="9"/>
      <c r="Q42" s="9"/>
    </row>
    <row r="43">
      <c r="O43" s="9"/>
      <c r="P43" s="9"/>
      <c r="Q43" s="9"/>
    </row>
    <row r="44">
      <c r="O44" s="9"/>
      <c r="P44" s="9"/>
      <c r="Q44" s="9"/>
    </row>
    <row r="45">
      <c r="O45" s="9"/>
      <c r="P45" s="9"/>
      <c r="Q45" s="9"/>
    </row>
    <row r="46">
      <c r="O46" s="9"/>
      <c r="P46" s="9"/>
      <c r="Q46" s="9"/>
    </row>
    <row r="47">
      <c r="O47" s="9"/>
      <c r="P47" s="9"/>
      <c r="Q47" s="9"/>
    </row>
    <row r="48">
      <c r="O48" s="9"/>
      <c r="P48" s="9"/>
      <c r="Q48" s="9"/>
    </row>
    <row r="49">
      <c r="O49" s="9"/>
      <c r="P49" s="9"/>
      <c r="Q49" s="9"/>
    </row>
    <row r="50">
      <c r="O50" s="9"/>
      <c r="P50" s="9"/>
      <c r="Q50" s="9"/>
    </row>
    <row r="51">
      <c r="O51" s="9"/>
      <c r="P51" s="9"/>
      <c r="Q51" s="9"/>
    </row>
    <row r="52">
      <c r="O52" s="9"/>
      <c r="P52" s="9"/>
      <c r="Q52" s="9"/>
    </row>
    <row r="53">
      <c r="O53" s="9"/>
      <c r="P53" s="9"/>
      <c r="Q53" s="9"/>
    </row>
    <row r="54">
      <c r="O54" s="9"/>
      <c r="P54" s="9"/>
      <c r="Q54" s="9"/>
    </row>
    <row r="55">
      <c r="O55" s="9"/>
      <c r="P55" s="9"/>
      <c r="Q55" s="9"/>
    </row>
    <row r="56">
      <c r="O56" s="9"/>
      <c r="P56" s="9"/>
      <c r="Q56" s="9"/>
    </row>
    <row r="57">
      <c r="O57" s="9"/>
      <c r="P57" s="9"/>
      <c r="Q57" s="9"/>
    </row>
    <row r="58">
      <c r="O58" s="9"/>
      <c r="P58" s="9"/>
      <c r="Q58" s="9"/>
    </row>
    <row r="59">
      <c r="O59" s="9"/>
      <c r="P59" s="9"/>
      <c r="Q59" s="9"/>
    </row>
    <row r="60">
      <c r="O60" s="9"/>
      <c r="P60" s="9"/>
      <c r="Q60" s="9"/>
    </row>
    <row r="61">
      <c r="O61" s="9"/>
      <c r="P61" s="9"/>
      <c r="Q61" s="9"/>
    </row>
    <row r="62">
      <c r="O62" s="9"/>
      <c r="P62" s="9"/>
      <c r="Q62" s="9"/>
    </row>
    <row r="63">
      <c r="O63" s="9"/>
      <c r="P63" s="9"/>
      <c r="Q63" s="9"/>
    </row>
    <row r="64">
      <c r="O64" s="9"/>
      <c r="P64" s="9"/>
      <c r="Q64" s="9"/>
    </row>
    <row r="65">
      <c r="O65" s="9"/>
      <c r="P65" s="9"/>
      <c r="Q65" s="9"/>
    </row>
    <row r="66">
      <c r="O66" s="9"/>
      <c r="P66" s="9"/>
      <c r="Q66" s="9"/>
    </row>
    <row r="67">
      <c r="O67" s="9"/>
      <c r="P67" s="9"/>
      <c r="Q67" s="9"/>
    </row>
    <row r="68">
      <c r="O68" s="9"/>
      <c r="P68" s="9"/>
      <c r="Q68" s="9"/>
    </row>
    <row r="69">
      <c r="O69" s="9"/>
      <c r="P69" s="9"/>
      <c r="Q69" s="9"/>
    </row>
    <row r="70">
      <c r="O70" s="9"/>
      <c r="P70" s="9"/>
      <c r="Q70" s="9"/>
    </row>
    <row r="71">
      <c r="O71" s="9"/>
      <c r="P71" s="9"/>
      <c r="Q71" s="9"/>
    </row>
    <row r="72">
      <c r="O72" s="9"/>
      <c r="P72" s="9"/>
      <c r="Q72" s="9"/>
    </row>
    <row r="73">
      <c r="O73" s="9"/>
      <c r="P73" s="9"/>
      <c r="Q73" s="9"/>
    </row>
    <row r="74">
      <c r="O74" s="9"/>
      <c r="P74" s="9"/>
      <c r="Q74" s="9"/>
    </row>
    <row r="75">
      <c r="O75" s="9"/>
      <c r="P75" s="9"/>
      <c r="Q75" s="9"/>
    </row>
    <row r="76">
      <c r="O76" s="9"/>
      <c r="P76" s="9"/>
      <c r="Q76" s="9"/>
    </row>
    <row r="77">
      <c r="O77" s="9"/>
      <c r="P77" s="9"/>
      <c r="Q77" s="9"/>
    </row>
    <row r="78">
      <c r="O78" s="9"/>
      <c r="P78" s="9"/>
      <c r="Q78" s="9"/>
    </row>
    <row r="79">
      <c r="O79" s="9"/>
      <c r="P79" s="9"/>
      <c r="Q79" s="9"/>
    </row>
    <row r="80">
      <c r="O80" s="9"/>
      <c r="P80" s="9"/>
      <c r="Q80" s="9"/>
    </row>
    <row r="81">
      <c r="O81" s="9"/>
      <c r="P81" s="9"/>
      <c r="Q81" s="9"/>
    </row>
    <row r="82">
      <c r="O82" s="9"/>
      <c r="P82" s="9"/>
      <c r="Q82" s="9"/>
    </row>
    <row r="83">
      <c r="O83" s="9"/>
      <c r="P83" s="9"/>
      <c r="Q83" s="9"/>
    </row>
    <row r="84">
      <c r="O84" s="9"/>
      <c r="P84" s="9"/>
      <c r="Q84" s="9"/>
    </row>
    <row r="85">
      <c r="O85" s="9"/>
      <c r="P85" s="9"/>
      <c r="Q85" s="9"/>
    </row>
    <row r="86">
      <c r="O86" s="9"/>
      <c r="P86" s="9"/>
      <c r="Q86" s="9"/>
    </row>
    <row r="87">
      <c r="O87" s="9"/>
      <c r="P87" s="9"/>
      <c r="Q87" s="9"/>
    </row>
    <row r="88">
      <c r="O88" s="9"/>
      <c r="P88" s="9"/>
      <c r="Q88" s="9"/>
    </row>
    <row r="89">
      <c r="O89" s="9"/>
      <c r="P89" s="9"/>
      <c r="Q89" s="9"/>
    </row>
    <row r="90">
      <c r="O90" s="9"/>
      <c r="P90" s="9"/>
      <c r="Q90" s="9"/>
    </row>
    <row r="91">
      <c r="O91" s="9"/>
      <c r="P91" s="9"/>
      <c r="Q91" s="9"/>
    </row>
    <row r="92">
      <c r="O92" s="9"/>
      <c r="P92" s="9"/>
      <c r="Q92" s="9"/>
    </row>
    <row r="93">
      <c r="O93" s="9"/>
      <c r="P93" s="9"/>
      <c r="Q93" s="9"/>
    </row>
    <row r="94">
      <c r="O94" s="9"/>
      <c r="P94" s="9"/>
      <c r="Q94" s="9"/>
    </row>
    <row r="95">
      <c r="O95" s="9"/>
      <c r="P95" s="9"/>
      <c r="Q95" s="9"/>
    </row>
    <row r="96">
      <c r="O96" s="9"/>
      <c r="P96" s="9"/>
      <c r="Q96" s="9"/>
    </row>
    <row r="97">
      <c r="O97" s="9"/>
      <c r="P97" s="9"/>
      <c r="Q97" s="9"/>
    </row>
    <row r="98">
      <c r="O98" s="9"/>
      <c r="P98" s="9"/>
      <c r="Q98" s="9"/>
    </row>
    <row r="99">
      <c r="O99" s="9"/>
      <c r="P99" s="9"/>
      <c r="Q99" s="9"/>
    </row>
    <row r="100">
      <c r="O100" s="9"/>
      <c r="P100" s="9"/>
      <c r="Q100" s="9"/>
    </row>
    <row r="101">
      <c r="O101" s="9"/>
      <c r="P101" s="9"/>
      <c r="Q101" s="9"/>
    </row>
    <row r="102">
      <c r="O102" s="9"/>
      <c r="P102" s="9"/>
      <c r="Q102" s="9"/>
    </row>
    <row r="103">
      <c r="O103" s="9"/>
      <c r="P103" s="9"/>
      <c r="Q103" s="9"/>
    </row>
    <row r="104">
      <c r="O104" s="9"/>
      <c r="P104" s="9"/>
      <c r="Q104" s="9"/>
    </row>
    <row r="105">
      <c r="O105" s="9"/>
      <c r="P105" s="9"/>
      <c r="Q105" s="9"/>
    </row>
    <row r="106">
      <c r="O106" s="9"/>
      <c r="P106" s="9"/>
      <c r="Q106" s="9"/>
    </row>
    <row r="107">
      <c r="O107" s="9"/>
      <c r="P107" s="9"/>
      <c r="Q107" s="9"/>
    </row>
    <row r="108">
      <c r="O108" s="9"/>
      <c r="P108" s="9"/>
      <c r="Q108" s="9"/>
    </row>
    <row r="109">
      <c r="O109" s="9"/>
      <c r="P109" s="9"/>
      <c r="Q109" s="9"/>
    </row>
    <row r="110">
      <c r="O110" s="9"/>
      <c r="P110" s="9"/>
      <c r="Q110" s="9"/>
    </row>
    <row r="111">
      <c r="O111" s="9"/>
      <c r="P111" s="9"/>
      <c r="Q111" s="9"/>
    </row>
    <row r="112">
      <c r="O112" s="9"/>
      <c r="P112" s="9"/>
      <c r="Q112" s="9"/>
    </row>
    <row r="113">
      <c r="O113" s="9"/>
      <c r="P113" s="9"/>
      <c r="Q113" s="9"/>
    </row>
    <row r="114">
      <c r="O114" s="9"/>
      <c r="P114" s="9"/>
      <c r="Q114" s="9"/>
    </row>
    <row r="115">
      <c r="O115" s="9"/>
      <c r="P115" s="9"/>
      <c r="Q115" s="9"/>
    </row>
    <row r="116">
      <c r="O116" s="9"/>
      <c r="P116" s="9"/>
      <c r="Q116" s="9"/>
    </row>
    <row r="117">
      <c r="O117" s="9"/>
      <c r="P117" s="9"/>
      <c r="Q117" s="9"/>
    </row>
    <row r="118">
      <c r="O118" s="9"/>
      <c r="P118" s="9"/>
      <c r="Q118" s="9"/>
    </row>
    <row r="119">
      <c r="O119" s="9"/>
      <c r="P119" s="9"/>
      <c r="Q119" s="9"/>
    </row>
    <row r="120">
      <c r="O120" s="9"/>
      <c r="P120" s="9"/>
      <c r="Q120" s="9"/>
    </row>
    <row r="121">
      <c r="O121" s="9"/>
      <c r="P121" s="9"/>
      <c r="Q121" s="9"/>
    </row>
    <row r="122">
      <c r="O122" s="9"/>
      <c r="P122" s="9"/>
      <c r="Q122" s="9"/>
    </row>
    <row r="123">
      <c r="O123" s="9"/>
      <c r="P123" s="9"/>
      <c r="Q123" s="9"/>
    </row>
    <row r="124">
      <c r="O124" s="9"/>
      <c r="P124" s="9"/>
      <c r="Q124" s="9"/>
    </row>
    <row r="125">
      <c r="O125" s="9"/>
      <c r="P125" s="9"/>
      <c r="Q125" s="9"/>
    </row>
    <row r="126">
      <c r="O126" s="9"/>
      <c r="P126" s="9"/>
      <c r="Q126" s="9"/>
    </row>
    <row r="127">
      <c r="O127" s="9"/>
      <c r="P127" s="9"/>
      <c r="Q127" s="9"/>
    </row>
    <row r="128">
      <c r="O128" s="9"/>
      <c r="P128" s="9"/>
      <c r="Q128" s="9"/>
    </row>
    <row r="129">
      <c r="O129" s="9"/>
      <c r="P129" s="9"/>
      <c r="Q129" s="9"/>
    </row>
    <row r="130">
      <c r="O130" s="9"/>
      <c r="P130" s="9"/>
      <c r="Q130" s="9"/>
    </row>
    <row r="131">
      <c r="O131" s="9"/>
      <c r="P131" s="9"/>
      <c r="Q131" s="9"/>
    </row>
    <row r="132">
      <c r="O132" s="9"/>
      <c r="P132" s="9"/>
      <c r="Q132" s="9"/>
    </row>
    <row r="133">
      <c r="O133" s="9"/>
      <c r="P133" s="9"/>
      <c r="Q133" s="9"/>
    </row>
    <row r="134">
      <c r="O134" s="9"/>
      <c r="P134" s="9"/>
      <c r="Q134" s="9"/>
    </row>
    <row r="135">
      <c r="O135" s="9"/>
      <c r="P135" s="9"/>
      <c r="Q135" s="9"/>
    </row>
    <row r="136">
      <c r="O136" s="9"/>
      <c r="P136" s="9"/>
      <c r="Q136" s="9"/>
    </row>
    <row r="137">
      <c r="O137" s="9"/>
      <c r="P137" s="9"/>
      <c r="Q137" s="9"/>
    </row>
    <row r="138">
      <c r="O138" s="9"/>
      <c r="P138" s="9"/>
      <c r="Q138" s="9"/>
    </row>
    <row r="139">
      <c r="O139" s="9"/>
      <c r="P139" s="9"/>
      <c r="Q139" s="9"/>
    </row>
    <row r="140">
      <c r="O140" s="9"/>
      <c r="P140" s="9"/>
      <c r="Q140" s="9"/>
    </row>
    <row r="141">
      <c r="O141" s="9"/>
      <c r="P141" s="9"/>
      <c r="Q141" s="9"/>
    </row>
    <row r="142">
      <c r="O142" s="9"/>
      <c r="P142" s="9"/>
      <c r="Q142" s="9"/>
    </row>
    <row r="143">
      <c r="O143" s="9"/>
      <c r="P143" s="9"/>
      <c r="Q143" s="9"/>
    </row>
    <row r="144">
      <c r="O144" s="9"/>
      <c r="P144" s="9"/>
      <c r="Q144" s="9"/>
    </row>
    <row r="145">
      <c r="O145" s="9"/>
      <c r="P145" s="9"/>
      <c r="Q145" s="9"/>
    </row>
    <row r="146">
      <c r="O146" s="9"/>
      <c r="P146" s="9"/>
      <c r="Q146" s="9"/>
    </row>
    <row r="147">
      <c r="O147" s="9"/>
      <c r="P147" s="9"/>
      <c r="Q147" s="9"/>
    </row>
    <row r="148">
      <c r="O148" s="9"/>
      <c r="P148" s="9"/>
      <c r="Q148" s="9"/>
    </row>
    <row r="149">
      <c r="O149" s="9"/>
      <c r="P149" s="9"/>
      <c r="Q149" s="9"/>
    </row>
    <row r="150">
      <c r="O150" s="9"/>
      <c r="P150" s="9"/>
      <c r="Q150" s="9"/>
    </row>
    <row r="151">
      <c r="O151" s="9"/>
      <c r="P151" s="9"/>
      <c r="Q151" s="9"/>
    </row>
    <row r="152">
      <c r="O152" s="9"/>
      <c r="P152" s="9"/>
      <c r="Q152" s="9"/>
    </row>
    <row r="153">
      <c r="O153" s="9"/>
      <c r="P153" s="9"/>
      <c r="Q153" s="9"/>
    </row>
    <row r="154">
      <c r="O154" s="9"/>
      <c r="P154" s="9"/>
      <c r="Q154" s="9"/>
    </row>
    <row r="155">
      <c r="O155" s="9"/>
      <c r="P155" s="9"/>
      <c r="Q155" s="9"/>
    </row>
    <row r="156">
      <c r="O156" s="9"/>
      <c r="P156" s="9"/>
      <c r="Q156" s="9"/>
    </row>
    <row r="157">
      <c r="O157" s="9"/>
      <c r="P157" s="9"/>
      <c r="Q157" s="9"/>
    </row>
    <row r="158">
      <c r="O158" s="9"/>
      <c r="P158" s="9"/>
      <c r="Q158" s="9"/>
    </row>
    <row r="159">
      <c r="O159" s="9"/>
      <c r="P159" s="9"/>
      <c r="Q159" s="9"/>
    </row>
    <row r="160">
      <c r="O160" s="9"/>
      <c r="P160" s="9"/>
      <c r="Q160" s="9"/>
    </row>
    <row r="161">
      <c r="O161" s="9"/>
      <c r="P161" s="9"/>
      <c r="Q161" s="9"/>
    </row>
    <row r="162">
      <c r="O162" s="9"/>
      <c r="P162" s="9"/>
      <c r="Q162" s="9"/>
    </row>
    <row r="163">
      <c r="O163" s="9"/>
      <c r="P163" s="9"/>
      <c r="Q163" s="9"/>
    </row>
    <row r="164">
      <c r="O164" s="9"/>
      <c r="P164" s="9"/>
      <c r="Q164" s="9"/>
    </row>
    <row r="165">
      <c r="O165" s="9"/>
      <c r="P165" s="9"/>
      <c r="Q165" s="9"/>
    </row>
    <row r="166">
      <c r="O166" s="9"/>
      <c r="P166" s="9"/>
      <c r="Q166" s="9"/>
    </row>
    <row r="167">
      <c r="O167" s="9"/>
      <c r="P167" s="9"/>
      <c r="Q167" s="9"/>
    </row>
    <row r="168">
      <c r="O168" s="9"/>
      <c r="P168" s="9"/>
      <c r="Q168" s="9"/>
    </row>
    <row r="169">
      <c r="O169" s="9"/>
      <c r="P169" s="9"/>
      <c r="Q169" s="9"/>
    </row>
    <row r="170">
      <c r="O170" s="9"/>
      <c r="P170" s="9"/>
      <c r="Q170" s="9"/>
    </row>
    <row r="171">
      <c r="O171" s="9"/>
      <c r="P171" s="9"/>
      <c r="Q171" s="9"/>
    </row>
    <row r="172">
      <c r="O172" s="9"/>
      <c r="P172" s="9"/>
      <c r="Q172" s="9"/>
    </row>
    <row r="173">
      <c r="O173" s="9"/>
      <c r="P173" s="9"/>
      <c r="Q173" s="9"/>
    </row>
    <row r="174">
      <c r="O174" s="9"/>
      <c r="P174" s="9"/>
      <c r="Q174" s="9"/>
    </row>
    <row r="175">
      <c r="O175" s="9"/>
      <c r="P175" s="9"/>
      <c r="Q175" s="9"/>
    </row>
    <row r="176">
      <c r="O176" s="9"/>
      <c r="P176" s="9"/>
      <c r="Q176" s="9"/>
    </row>
    <row r="177">
      <c r="O177" s="9"/>
      <c r="P177" s="9"/>
      <c r="Q177" s="9"/>
    </row>
    <row r="178">
      <c r="O178" s="9"/>
      <c r="P178" s="9"/>
      <c r="Q178" s="9"/>
    </row>
    <row r="179">
      <c r="O179" s="9"/>
      <c r="P179" s="9"/>
      <c r="Q179" s="9"/>
    </row>
    <row r="180">
      <c r="O180" s="9"/>
      <c r="P180" s="9"/>
      <c r="Q180" s="9"/>
    </row>
    <row r="181">
      <c r="O181" s="9"/>
      <c r="P181" s="9"/>
      <c r="Q181" s="9"/>
    </row>
    <row r="182">
      <c r="O182" s="9"/>
      <c r="P182" s="9"/>
      <c r="Q182" s="9"/>
    </row>
    <row r="183">
      <c r="O183" s="9"/>
      <c r="P183" s="9"/>
      <c r="Q183" s="9"/>
    </row>
    <row r="184">
      <c r="O184" s="9"/>
      <c r="P184" s="9"/>
      <c r="Q184" s="9"/>
    </row>
    <row r="185">
      <c r="O185" s="9"/>
      <c r="P185" s="9"/>
      <c r="Q185" s="9"/>
    </row>
    <row r="186">
      <c r="O186" s="9"/>
      <c r="P186" s="9"/>
      <c r="Q186" s="9"/>
    </row>
    <row r="187">
      <c r="O187" s="9"/>
      <c r="P187" s="9"/>
      <c r="Q187" s="9"/>
    </row>
    <row r="188">
      <c r="O188" s="9"/>
      <c r="P188" s="9"/>
      <c r="Q188" s="9"/>
    </row>
    <row r="189">
      <c r="O189" s="9"/>
      <c r="P189" s="9"/>
      <c r="Q189" s="9"/>
    </row>
    <row r="190">
      <c r="O190" s="9"/>
      <c r="P190" s="9"/>
      <c r="Q190" s="9"/>
    </row>
    <row r="191">
      <c r="O191" s="9"/>
      <c r="P191" s="9"/>
      <c r="Q191" s="9"/>
    </row>
    <row r="192">
      <c r="O192" s="9"/>
      <c r="P192" s="9"/>
      <c r="Q192" s="9"/>
    </row>
    <row r="193">
      <c r="O193" s="9"/>
      <c r="P193" s="9"/>
      <c r="Q193" s="9"/>
    </row>
    <row r="194">
      <c r="O194" s="9"/>
      <c r="P194" s="9"/>
      <c r="Q194" s="9"/>
    </row>
    <row r="195">
      <c r="O195" s="9"/>
      <c r="P195" s="9"/>
      <c r="Q195" s="9"/>
    </row>
    <row r="196">
      <c r="O196" s="9"/>
      <c r="P196" s="9"/>
      <c r="Q196" s="9"/>
    </row>
    <row r="197">
      <c r="O197" s="9"/>
      <c r="P197" s="9"/>
      <c r="Q197" s="9"/>
    </row>
    <row r="198">
      <c r="O198" s="9"/>
      <c r="P198" s="9"/>
      <c r="Q198" s="9"/>
    </row>
    <row r="199">
      <c r="O199" s="9"/>
      <c r="P199" s="9"/>
      <c r="Q199" s="9"/>
    </row>
    <row r="200">
      <c r="O200" s="9"/>
      <c r="P200" s="9"/>
      <c r="Q200" s="9"/>
    </row>
    <row r="201">
      <c r="O201" s="9"/>
      <c r="P201" s="9"/>
      <c r="Q201" s="9"/>
    </row>
    <row r="202">
      <c r="O202" s="9"/>
      <c r="P202" s="9"/>
      <c r="Q202" s="9"/>
    </row>
    <row r="203">
      <c r="O203" s="9"/>
      <c r="P203" s="9"/>
      <c r="Q203" s="9"/>
    </row>
    <row r="204">
      <c r="O204" s="9"/>
      <c r="P204" s="9"/>
      <c r="Q204" s="9"/>
    </row>
    <row r="205">
      <c r="O205" s="9"/>
      <c r="P205" s="9"/>
      <c r="Q205" s="9"/>
    </row>
    <row r="206">
      <c r="O206" s="9"/>
      <c r="P206" s="9"/>
      <c r="Q206" s="9"/>
    </row>
    <row r="207">
      <c r="O207" s="9"/>
      <c r="P207" s="9"/>
      <c r="Q207" s="9"/>
    </row>
    <row r="208">
      <c r="O208" s="9"/>
      <c r="P208" s="9"/>
      <c r="Q208" s="9"/>
    </row>
    <row r="209">
      <c r="O209" s="9"/>
      <c r="P209" s="9"/>
      <c r="Q209" s="9"/>
    </row>
    <row r="210">
      <c r="O210" s="9"/>
      <c r="P210" s="9"/>
      <c r="Q210" s="9"/>
    </row>
    <row r="211">
      <c r="O211" s="9"/>
      <c r="P211" s="9"/>
      <c r="Q211" s="9"/>
    </row>
    <row r="212">
      <c r="O212" s="9"/>
      <c r="P212" s="9"/>
      <c r="Q212" s="9"/>
    </row>
    <row r="213">
      <c r="O213" s="9"/>
      <c r="P213" s="9"/>
      <c r="Q213" s="9"/>
    </row>
    <row r="214">
      <c r="O214" s="9"/>
      <c r="P214" s="9"/>
      <c r="Q214" s="9"/>
    </row>
    <row r="215">
      <c r="O215" s="9"/>
      <c r="P215" s="9"/>
      <c r="Q215" s="9"/>
    </row>
    <row r="216">
      <c r="O216" s="9"/>
      <c r="P216" s="9"/>
      <c r="Q216" s="9"/>
    </row>
    <row r="217">
      <c r="O217" s="9"/>
      <c r="P217" s="9"/>
      <c r="Q217" s="9"/>
    </row>
    <row r="218">
      <c r="O218" s="9"/>
      <c r="P218" s="9"/>
      <c r="Q218" s="9"/>
    </row>
    <row r="219">
      <c r="O219" s="9"/>
      <c r="P219" s="9"/>
      <c r="Q219" s="9"/>
    </row>
    <row r="220">
      <c r="O220" s="9"/>
      <c r="P220" s="9"/>
      <c r="Q220" s="9"/>
    </row>
    <row r="221">
      <c r="O221" s="9"/>
      <c r="P221" s="9"/>
      <c r="Q221" s="9"/>
    </row>
    <row r="222">
      <c r="O222" s="9"/>
      <c r="P222" s="9"/>
      <c r="Q222" s="9"/>
    </row>
    <row r="223">
      <c r="O223" s="9"/>
      <c r="P223" s="9"/>
      <c r="Q223" s="9"/>
    </row>
    <row r="224">
      <c r="O224" s="9"/>
      <c r="P224" s="9"/>
      <c r="Q224" s="9"/>
    </row>
    <row r="225">
      <c r="O225" s="9"/>
      <c r="P225" s="9"/>
      <c r="Q225" s="9"/>
    </row>
    <row r="226">
      <c r="O226" s="9"/>
      <c r="P226" s="9"/>
      <c r="Q226" s="9"/>
    </row>
    <row r="227">
      <c r="O227" s="9"/>
      <c r="P227" s="9"/>
      <c r="Q227" s="9"/>
    </row>
    <row r="228">
      <c r="O228" s="9"/>
      <c r="P228" s="9"/>
      <c r="Q228" s="9"/>
    </row>
    <row r="229">
      <c r="O229" s="9"/>
      <c r="P229" s="9"/>
      <c r="Q229" s="9"/>
    </row>
    <row r="230">
      <c r="O230" s="9"/>
      <c r="P230" s="9"/>
      <c r="Q230" s="9"/>
    </row>
    <row r="231">
      <c r="O231" s="9"/>
      <c r="P231" s="9"/>
      <c r="Q231" s="9"/>
    </row>
    <row r="232">
      <c r="O232" s="9"/>
      <c r="P232" s="9"/>
      <c r="Q232" s="9"/>
    </row>
    <row r="233">
      <c r="O233" s="9"/>
      <c r="P233" s="9"/>
      <c r="Q233" s="9"/>
    </row>
    <row r="234">
      <c r="O234" s="9"/>
      <c r="P234" s="9"/>
      <c r="Q234" s="9"/>
    </row>
    <row r="235">
      <c r="O235" s="9"/>
      <c r="P235" s="9"/>
      <c r="Q235" s="9"/>
    </row>
    <row r="236">
      <c r="O236" s="9"/>
      <c r="P236" s="9"/>
      <c r="Q236" s="9"/>
    </row>
    <row r="237">
      <c r="O237" s="9"/>
      <c r="P237" s="9"/>
      <c r="Q237" s="9"/>
    </row>
    <row r="238">
      <c r="O238" s="9"/>
      <c r="P238" s="9"/>
      <c r="Q238" s="9"/>
    </row>
    <row r="239">
      <c r="O239" s="9"/>
      <c r="P239" s="9"/>
      <c r="Q239" s="9"/>
    </row>
    <row r="240">
      <c r="O240" s="9"/>
      <c r="P240" s="9"/>
      <c r="Q240" s="9"/>
    </row>
    <row r="241">
      <c r="O241" s="9"/>
      <c r="P241" s="9"/>
      <c r="Q241" s="9"/>
    </row>
    <row r="242">
      <c r="O242" s="9"/>
      <c r="P242" s="9"/>
      <c r="Q242" s="9"/>
    </row>
    <row r="243">
      <c r="O243" s="9"/>
      <c r="P243" s="9"/>
      <c r="Q243" s="9"/>
    </row>
    <row r="244">
      <c r="O244" s="9"/>
      <c r="P244" s="9"/>
      <c r="Q244" s="9"/>
    </row>
    <row r="245">
      <c r="O245" s="9"/>
      <c r="P245" s="9"/>
      <c r="Q245" s="9"/>
    </row>
    <row r="246">
      <c r="O246" s="9"/>
      <c r="P246" s="9"/>
      <c r="Q246" s="9"/>
    </row>
    <row r="247">
      <c r="O247" s="9"/>
      <c r="P247" s="9"/>
      <c r="Q247" s="9"/>
    </row>
    <row r="248">
      <c r="O248" s="9"/>
      <c r="P248" s="9"/>
      <c r="Q248" s="9"/>
    </row>
    <row r="249">
      <c r="O249" s="9"/>
      <c r="P249" s="9"/>
      <c r="Q249" s="9"/>
    </row>
    <row r="250">
      <c r="O250" s="9"/>
      <c r="P250" s="9"/>
      <c r="Q250" s="9"/>
    </row>
    <row r="251">
      <c r="O251" s="9"/>
      <c r="P251" s="9"/>
      <c r="Q251" s="9"/>
    </row>
    <row r="252">
      <c r="O252" s="9"/>
      <c r="P252" s="9"/>
      <c r="Q252" s="9"/>
    </row>
    <row r="253">
      <c r="O253" s="9"/>
      <c r="P253" s="9"/>
      <c r="Q253" s="9"/>
    </row>
    <row r="254">
      <c r="O254" s="9"/>
      <c r="P254" s="9"/>
      <c r="Q254" s="9"/>
    </row>
    <row r="255">
      <c r="O255" s="9"/>
      <c r="P255" s="9"/>
      <c r="Q255" s="9"/>
    </row>
    <row r="256">
      <c r="O256" s="9"/>
      <c r="P256" s="9"/>
      <c r="Q256" s="9"/>
    </row>
    <row r="257">
      <c r="O257" s="9"/>
      <c r="P257" s="9"/>
      <c r="Q257" s="9"/>
    </row>
    <row r="258">
      <c r="O258" s="9"/>
      <c r="P258" s="9"/>
      <c r="Q258" s="9"/>
    </row>
    <row r="259">
      <c r="O259" s="9"/>
      <c r="P259" s="9"/>
      <c r="Q259" s="9"/>
    </row>
    <row r="260">
      <c r="O260" s="9"/>
      <c r="P260" s="9"/>
      <c r="Q260" s="9"/>
    </row>
    <row r="261">
      <c r="O261" s="9"/>
      <c r="P261" s="9"/>
      <c r="Q261" s="9"/>
    </row>
    <row r="262">
      <c r="O262" s="9"/>
      <c r="P262" s="9"/>
      <c r="Q262" s="9"/>
    </row>
    <row r="263">
      <c r="O263" s="9"/>
      <c r="P263" s="9"/>
      <c r="Q263" s="9"/>
    </row>
    <row r="264">
      <c r="O264" s="9"/>
      <c r="P264" s="9"/>
      <c r="Q264" s="9"/>
    </row>
    <row r="265">
      <c r="O265" s="9"/>
      <c r="P265" s="9"/>
      <c r="Q265" s="9"/>
    </row>
    <row r="266">
      <c r="O266" s="9"/>
      <c r="P266" s="9"/>
      <c r="Q266" s="9"/>
    </row>
    <row r="267">
      <c r="O267" s="9"/>
      <c r="P267" s="9"/>
      <c r="Q267" s="9"/>
    </row>
    <row r="268">
      <c r="O268" s="9"/>
      <c r="P268" s="9"/>
      <c r="Q268" s="9"/>
    </row>
    <row r="269">
      <c r="O269" s="9"/>
      <c r="P269" s="9"/>
      <c r="Q269" s="9"/>
    </row>
    <row r="270">
      <c r="O270" s="9"/>
      <c r="P270" s="9"/>
      <c r="Q270" s="9"/>
    </row>
    <row r="271">
      <c r="O271" s="9"/>
      <c r="P271" s="9"/>
      <c r="Q271" s="9"/>
    </row>
    <row r="272">
      <c r="O272" s="9"/>
      <c r="P272" s="9"/>
      <c r="Q272" s="9"/>
    </row>
    <row r="273">
      <c r="O273" s="9"/>
      <c r="P273" s="9"/>
      <c r="Q273" s="9"/>
    </row>
    <row r="274">
      <c r="O274" s="9"/>
      <c r="P274" s="9"/>
      <c r="Q274" s="9"/>
    </row>
    <row r="275">
      <c r="O275" s="9"/>
      <c r="P275" s="9"/>
      <c r="Q275" s="9"/>
    </row>
    <row r="276">
      <c r="O276" s="9"/>
      <c r="P276" s="9"/>
      <c r="Q276" s="9"/>
    </row>
    <row r="277">
      <c r="O277" s="9"/>
      <c r="P277" s="9"/>
      <c r="Q277" s="9"/>
    </row>
    <row r="278">
      <c r="O278" s="9"/>
      <c r="P278" s="9"/>
      <c r="Q278" s="9"/>
    </row>
    <row r="279">
      <c r="O279" s="9"/>
      <c r="P279" s="9"/>
      <c r="Q279" s="9"/>
    </row>
    <row r="280">
      <c r="O280" s="9"/>
      <c r="P280" s="9"/>
      <c r="Q280" s="9"/>
    </row>
    <row r="281">
      <c r="O281" s="9"/>
      <c r="P281" s="9"/>
      <c r="Q281" s="9"/>
    </row>
    <row r="282">
      <c r="O282" s="9"/>
      <c r="P282" s="9"/>
      <c r="Q282" s="9"/>
    </row>
    <row r="283">
      <c r="O283" s="9"/>
      <c r="P283" s="9"/>
      <c r="Q283" s="9"/>
    </row>
    <row r="284">
      <c r="O284" s="9"/>
      <c r="P284" s="9"/>
      <c r="Q284" s="9"/>
    </row>
    <row r="285">
      <c r="O285" s="9"/>
      <c r="P285" s="9"/>
      <c r="Q285" s="9"/>
    </row>
    <row r="286">
      <c r="O286" s="9"/>
      <c r="P286" s="9"/>
      <c r="Q286" s="9"/>
    </row>
    <row r="287">
      <c r="O287" s="9"/>
      <c r="P287" s="9"/>
      <c r="Q287" s="9"/>
    </row>
    <row r="288">
      <c r="O288" s="9"/>
      <c r="P288" s="9"/>
      <c r="Q288" s="9"/>
    </row>
    <row r="289">
      <c r="O289" s="9"/>
      <c r="P289" s="9"/>
      <c r="Q289" s="9"/>
    </row>
    <row r="290">
      <c r="O290" s="9"/>
      <c r="P290" s="9"/>
      <c r="Q290" s="9"/>
    </row>
    <row r="291">
      <c r="O291" s="9"/>
      <c r="P291" s="9"/>
      <c r="Q291" s="9"/>
    </row>
    <row r="292">
      <c r="O292" s="9"/>
      <c r="P292" s="9"/>
      <c r="Q292" s="9"/>
    </row>
    <row r="293">
      <c r="O293" s="9"/>
      <c r="P293" s="9"/>
      <c r="Q293" s="9"/>
    </row>
    <row r="294">
      <c r="O294" s="9"/>
      <c r="P294" s="9"/>
      <c r="Q294" s="9"/>
    </row>
    <row r="295">
      <c r="O295" s="9"/>
      <c r="P295" s="9"/>
      <c r="Q295" s="9"/>
    </row>
    <row r="296">
      <c r="O296" s="9"/>
      <c r="P296" s="9"/>
      <c r="Q296" s="9"/>
    </row>
    <row r="297">
      <c r="O297" s="9"/>
      <c r="P297" s="9"/>
      <c r="Q297" s="9"/>
    </row>
    <row r="298">
      <c r="O298" s="9"/>
      <c r="P298" s="9"/>
      <c r="Q298" s="9"/>
    </row>
    <row r="299">
      <c r="O299" s="9"/>
      <c r="P299" s="9"/>
      <c r="Q299" s="9"/>
    </row>
    <row r="300">
      <c r="O300" s="9"/>
      <c r="P300" s="9"/>
      <c r="Q300" s="9"/>
    </row>
    <row r="301">
      <c r="O301" s="9"/>
      <c r="P301" s="9"/>
      <c r="Q301" s="9"/>
    </row>
    <row r="302">
      <c r="O302" s="9"/>
      <c r="P302" s="9"/>
      <c r="Q302" s="9"/>
    </row>
    <row r="303">
      <c r="O303" s="9"/>
      <c r="P303" s="9"/>
      <c r="Q303" s="9"/>
    </row>
    <row r="304">
      <c r="O304" s="9"/>
      <c r="P304" s="9"/>
      <c r="Q304" s="9"/>
    </row>
    <row r="305">
      <c r="O305" s="9"/>
      <c r="P305" s="9"/>
      <c r="Q305" s="9"/>
    </row>
    <row r="306">
      <c r="O306" s="9"/>
      <c r="P306" s="9"/>
      <c r="Q306" s="9"/>
    </row>
    <row r="307">
      <c r="O307" s="9"/>
      <c r="P307" s="9"/>
      <c r="Q307" s="9"/>
    </row>
    <row r="308">
      <c r="O308" s="9"/>
      <c r="P308" s="9"/>
      <c r="Q308" s="9"/>
    </row>
    <row r="309">
      <c r="O309" s="9"/>
      <c r="P309" s="9"/>
      <c r="Q309" s="9"/>
    </row>
    <row r="310">
      <c r="O310" s="9"/>
      <c r="P310" s="9"/>
      <c r="Q310" s="9"/>
    </row>
    <row r="311">
      <c r="O311" s="9"/>
      <c r="P311" s="9"/>
      <c r="Q311" s="9"/>
    </row>
    <row r="312">
      <c r="O312" s="9"/>
      <c r="P312" s="9"/>
      <c r="Q312" s="9"/>
    </row>
    <row r="313">
      <c r="O313" s="9"/>
      <c r="P313" s="9"/>
      <c r="Q313" s="9"/>
    </row>
    <row r="314">
      <c r="O314" s="9"/>
      <c r="P314" s="9"/>
      <c r="Q314" s="9"/>
    </row>
    <row r="315">
      <c r="O315" s="9"/>
      <c r="P315" s="9"/>
      <c r="Q315" s="9"/>
    </row>
    <row r="316">
      <c r="O316" s="9"/>
      <c r="P316" s="9"/>
      <c r="Q316" s="9"/>
    </row>
    <row r="317">
      <c r="O317" s="9"/>
      <c r="P317" s="9"/>
      <c r="Q317" s="9"/>
    </row>
    <row r="318">
      <c r="O318" s="9"/>
      <c r="P318" s="9"/>
      <c r="Q318" s="9"/>
    </row>
    <row r="319">
      <c r="O319" s="9"/>
      <c r="P319" s="9"/>
      <c r="Q319" s="9"/>
    </row>
    <row r="320">
      <c r="O320" s="9"/>
      <c r="P320" s="9"/>
      <c r="Q320" s="9"/>
    </row>
    <row r="321">
      <c r="O321" s="9"/>
      <c r="P321" s="9"/>
      <c r="Q321" s="9"/>
    </row>
    <row r="322">
      <c r="O322" s="9"/>
      <c r="P322" s="9"/>
      <c r="Q322" s="9"/>
    </row>
    <row r="323">
      <c r="O323" s="9"/>
      <c r="P323" s="9"/>
      <c r="Q323" s="9"/>
    </row>
    <row r="324">
      <c r="O324" s="9"/>
      <c r="P324" s="9"/>
      <c r="Q324" s="9"/>
    </row>
    <row r="325">
      <c r="O325" s="9"/>
      <c r="P325" s="9"/>
      <c r="Q325" s="9"/>
    </row>
    <row r="326">
      <c r="O326" s="9"/>
      <c r="P326" s="9"/>
      <c r="Q326" s="9"/>
    </row>
    <row r="327">
      <c r="O327" s="9"/>
      <c r="P327" s="9"/>
      <c r="Q327" s="9"/>
    </row>
    <row r="328">
      <c r="O328" s="9"/>
      <c r="P328" s="9"/>
      <c r="Q328" s="9"/>
    </row>
    <row r="329">
      <c r="O329" s="9"/>
      <c r="P329" s="9"/>
      <c r="Q329" s="9"/>
    </row>
    <row r="330">
      <c r="O330" s="9"/>
      <c r="P330" s="9"/>
      <c r="Q330" s="9"/>
    </row>
    <row r="331">
      <c r="O331" s="9"/>
      <c r="P331" s="9"/>
      <c r="Q331" s="9"/>
    </row>
    <row r="332">
      <c r="O332" s="9"/>
      <c r="P332" s="9"/>
      <c r="Q332" s="9"/>
    </row>
    <row r="333">
      <c r="O333" s="9"/>
      <c r="P333" s="9"/>
      <c r="Q333" s="9"/>
    </row>
    <row r="334">
      <c r="O334" s="9"/>
      <c r="P334" s="9"/>
      <c r="Q334" s="9"/>
    </row>
    <row r="335">
      <c r="O335" s="9"/>
      <c r="P335" s="9"/>
      <c r="Q335" s="9"/>
    </row>
    <row r="336">
      <c r="O336" s="9"/>
      <c r="P336" s="9"/>
      <c r="Q336" s="9"/>
    </row>
    <row r="337">
      <c r="O337" s="9"/>
      <c r="P337" s="9"/>
      <c r="Q337" s="9"/>
    </row>
    <row r="338">
      <c r="O338" s="9"/>
      <c r="P338" s="9"/>
      <c r="Q338" s="9"/>
    </row>
    <row r="339">
      <c r="O339" s="9"/>
      <c r="P339" s="9"/>
      <c r="Q339" s="9"/>
    </row>
    <row r="340">
      <c r="O340" s="9"/>
      <c r="P340" s="9"/>
      <c r="Q340" s="9"/>
    </row>
    <row r="341">
      <c r="O341" s="9"/>
      <c r="P341" s="9"/>
      <c r="Q341" s="9"/>
    </row>
    <row r="342">
      <c r="O342" s="9"/>
      <c r="P342" s="9"/>
      <c r="Q342" s="9"/>
    </row>
    <row r="343">
      <c r="O343" s="9"/>
      <c r="P343" s="9"/>
      <c r="Q343" s="9"/>
    </row>
    <row r="344">
      <c r="O344" s="9"/>
      <c r="P344" s="9"/>
      <c r="Q344" s="9"/>
    </row>
    <row r="345">
      <c r="O345" s="9"/>
      <c r="P345" s="9"/>
      <c r="Q345" s="9"/>
    </row>
    <row r="346">
      <c r="O346" s="9"/>
      <c r="P346" s="9"/>
      <c r="Q346" s="9"/>
    </row>
    <row r="347">
      <c r="O347" s="9"/>
      <c r="P347" s="9"/>
      <c r="Q347" s="9"/>
    </row>
    <row r="348">
      <c r="O348" s="9"/>
      <c r="P348" s="9"/>
      <c r="Q348" s="9"/>
    </row>
    <row r="349">
      <c r="O349" s="9"/>
      <c r="P349" s="9"/>
      <c r="Q349" s="9"/>
    </row>
    <row r="350">
      <c r="O350" s="9"/>
      <c r="P350" s="9"/>
      <c r="Q350" s="9"/>
    </row>
    <row r="351">
      <c r="O351" s="9"/>
      <c r="P351" s="9"/>
      <c r="Q351" s="9"/>
    </row>
    <row r="352">
      <c r="O352" s="9"/>
      <c r="P352" s="9"/>
      <c r="Q352" s="9"/>
    </row>
    <row r="353">
      <c r="O353" s="9"/>
      <c r="P353" s="9"/>
      <c r="Q353" s="9"/>
    </row>
    <row r="354">
      <c r="O354" s="9"/>
      <c r="P354" s="9"/>
      <c r="Q354" s="9"/>
    </row>
    <row r="355">
      <c r="O355" s="9"/>
      <c r="P355" s="9"/>
      <c r="Q355" s="9"/>
    </row>
    <row r="356">
      <c r="O356" s="9"/>
      <c r="P356" s="9"/>
      <c r="Q356" s="9"/>
    </row>
    <row r="357">
      <c r="O357" s="9"/>
      <c r="P357" s="9"/>
      <c r="Q357" s="9"/>
    </row>
    <row r="358">
      <c r="O358" s="9"/>
      <c r="P358" s="9"/>
      <c r="Q358" s="9"/>
    </row>
    <row r="359">
      <c r="O359" s="9"/>
      <c r="P359" s="9"/>
      <c r="Q359" s="9"/>
    </row>
    <row r="360">
      <c r="O360" s="9"/>
      <c r="P360" s="9"/>
      <c r="Q360" s="9"/>
    </row>
    <row r="361">
      <c r="O361" s="9"/>
      <c r="P361" s="9"/>
      <c r="Q361" s="9"/>
    </row>
    <row r="362">
      <c r="O362" s="9"/>
      <c r="P362" s="9"/>
      <c r="Q362" s="9"/>
    </row>
    <row r="363">
      <c r="O363" s="9"/>
      <c r="P363" s="9"/>
      <c r="Q363" s="9"/>
    </row>
    <row r="364">
      <c r="O364" s="9"/>
      <c r="P364" s="9"/>
      <c r="Q364" s="9"/>
    </row>
    <row r="365">
      <c r="O365" s="9"/>
      <c r="P365" s="9"/>
      <c r="Q365" s="9"/>
    </row>
    <row r="366">
      <c r="O366" s="9"/>
      <c r="P366" s="9"/>
      <c r="Q366" s="9"/>
    </row>
    <row r="367">
      <c r="O367" s="9"/>
      <c r="P367" s="9"/>
      <c r="Q367" s="9"/>
    </row>
    <row r="368">
      <c r="O368" s="9"/>
      <c r="P368" s="9"/>
      <c r="Q368" s="9"/>
    </row>
    <row r="369">
      <c r="O369" s="9"/>
      <c r="P369" s="9"/>
      <c r="Q369" s="9"/>
    </row>
    <row r="370">
      <c r="O370" s="9"/>
      <c r="P370" s="9"/>
      <c r="Q370" s="9"/>
    </row>
    <row r="371">
      <c r="O371" s="9"/>
      <c r="P371" s="9"/>
      <c r="Q371" s="9"/>
    </row>
    <row r="372">
      <c r="O372" s="9"/>
      <c r="P372" s="9"/>
      <c r="Q372" s="9"/>
    </row>
    <row r="373">
      <c r="O373" s="9"/>
      <c r="P373" s="9"/>
      <c r="Q373" s="9"/>
    </row>
    <row r="374">
      <c r="O374" s="9"/>
      <c r="P374" s="9"/>
      <c r="Q374" s="9"/>
    </row>
    <row r="375">
      <c r="O375" s="9"/>
      <c r="P375" s="9"/>
      <c r="Q375" s="9"/>
    </row>
    <row r="376">
      <c r="O376" s="9"/>
      <c r="P376" s="9"/>
      <c r="Q376" s="9"/>
    </row>
    <row r="377">
      <c r="O377" s="9"/>
      <c r="P377" s="9"/>
      <c r="Q377" s="9"/>
    </row>
    <row r="378">
      <c r="O378" s="9"/>
      <c r="P378" s="9"/>
      <c r="Q378" s="9"/>
    </row>
    <row r="379">
      <c r="O379" s="9"/>
      <c r="P379" s="9"/>
      <c r="Q379" s="9"/>
    </row>
    <row r="380">
      <c r="O380" s="9"/>
      <c r="P380" s="9"/>
      <c r="Q380" s="9"/>
    </row>
    <row r="381">
      <c r="O381" s="9"/>
      <c r="P381" s="9"/>
      <c r="Q381" s="9"/>
    </row>
    <row r="382">
      <c r="O382" s="9"/>
      <c r="P382" s="9"/>
      <c r="Q382" s="9"/>
    </row>
    <row r="383">
      <c r="O383" s="9"/>
      <c r="P383" s="9"/>
      <c r="Q383" s="9"/>
    </row>
    <row r="384">
      <c r="O384" s="9"/>
      <c r="P384" s="9"/>
      <c r="Q384" s="9"/>
    </row>
    <row r="385">
      <c r="O385" s="9"/>
      <c r="P385" s="9"/>
      <c r="Q385" s="9"/>
    </row>
    <row r="386">
      <c r="O386" s="9"/>
      <c r="P386" s="9"/>
      <c r="Q386" s="9"/>
    </row>
    <row r="387">
      <c r="O387" s="9"/>
      <c r="P387" s="9"/>
      <c r="Q387" s="9"/>
    </row>
    <row r="388">
      <c r="O388" s="9"/>
      <c r="P388" s="9"/>
      <c r="Q388" s="9"/>
    </row>
    <row r="389">
      <c r="O389" s="9"/>
      <c r="P389" s="9"/>
      <c r="Q389" s="9"/>
    </row>
    <row r="390">
      <c r="O390" s="9"/>
      <c r="P390" s="9"/>
      <c r="Q390" s="9"/>
    </row>
    <row r="391">
      <c r="O391" s="9"/>
      <c r="P391" s="9"/>
      <c r="Q391" s="9"/>
    </row>
    <row r="392">
      <c r="O392" s="9"/>
      <c r="P392" s="9"/>
      <c r="Q392" s="9"/>
    </row>
    <row r="393">
      <c r="O393" s="9"/>
      <c r="P393" s="9"/>
      <c r="Q393" s="9"/>
    </row>
    <row r="394">
      <c r="O394" s="9"/>
      <c r="P394" s="9"/>
      <c r="Q394" s="9"/>
    </row>
    <row r="395">
      <c r="O395" s="9"/>
      <c r="P395" s="9"/>
      <c r="Q395" s="9"/>
    </row>
    <row r="396">
      <c r="O396" s="9"/>
      <c r="P396" s="9"/>
      <c r="Q396" s="9"/>
    </row>
    <row r="397">
      <c r="O397" s="9"/>
      <c r="P397" s="9"/>
      <c r="Q397" s="9"/>
    </row>
    <row r="398">
      <c r="O398" s="9"/>
      <c r="P398" s="9"/>
      <c r="Q398" s="9"/>
    </row>
    <row r="399">
      <c r="O399" s="9"/>
      <c r="P399" s="9"/>
      <c r="Q399" s="9"/>
    </row>
    <row r="400">
      <c r="O400" s="9"/>
      <c r="P400" s="9"/>
      <c r="Q400" s="9"/>
    </row>
    <row r="401">
      <c r="O401" s="9"/>
      <c r="P401" s="9"/>
      <c r="Q401" s="9"/>
    </row>
    <row r="402">
      <c r="O402" s="9"/>
      <c r="P402" s="9"/>
      <c r="Q402" s="9"/>
    </row>
    <row r="403">
      <c r="O403" s="9"/>
      <c r="P403" s="9"/>
      <c r="Q403" s="9"/>
    </row>
    <row r="404">
      <c r="O404" s="9"/>
      <c r="P404" s="9"/>
      <c r="Q404" s="9"/>
    </row>
    <row r="405">
      <c r="O405" s="9"/>
      <c r="P405" s="9"/>
      <c r="Q405" s="9"/>
    </row>
    <row r="406">
      <c r="O406" s="9"/>
      <c r="P406" s="9"/>
      <c r="Q406" s="9"/>
    </row>
    <row r="407">
      <c r="O407" s="9"/>
      <c r="P407" s="9"/>
      <c r="Q407" s="9"/>
    </row>
    <row r="408">
      <c r="O408" s="9"/>
      <c r="P408" s="9"/>
      <c r="Q408" s="9"/>
    </row>
    <row r="409">
      <c r="O409" s="9"/>
      <c r="P409" s="9"/>
      <c r="Q409" s="9"/>
    </row>
    <row r="410">
      <c r="O410" s="9"/>
      <c r="P410" s="9"/>
      <c r="Q410" s="9"/>
    </row>
    <row r="411">
      <c r="O411" s="9"/>
      <c r="P411" s="9"/>
      <c r="Q411" s="9"/>
    </row>
    <row r="412">
      <c r="O412" s="9"/>
      <c r="P412" s="9"/>
      <c r="Q412" s="9"/>
    </row>
    <row r="413">
      <c r="O413" s="9"/>
      <c r="P413" s="9"/>
      <c r="Q413" s="9"/>
    </row>
    <row r="414">
      <c r="O414" s="9"/>
      <c r="P414" s="9"/>
      <c r="Q414" s="9"/>
    </row>
    <row r="415">
      <c r="O415" s="9"/>
      <c r="P415" s="9"/>
      <c r="Q415" s="9"/>
    </row>
    <row r="416">
      <c r="O416" s="9"/>
      <c r="P416" s="9"/>
      <c r="Q416" s="9"/>
    </row>
    <row r="417">
      <c r="O417" s="9"/>
      <c r="P417" s="9"/>
      <c r="Q417" s="9"/>
    </row>
    <row r="418">
      <c r="O418" s="9"/>
      <c r="P418" s="9"/>
      <c r="Q418" s="9"/>
    </row>
    <row r="419">
      <c r="O419" s="9"/>
      <c r="P419" s="9"/>
      <c r="Q419" s="9"/>
    </row>
    <row r="420">
      <c r="O420" s="9"/>
      <c r="P420" s="9"/>
      <c r="Q420" s="9"/>
    </row>
    <row r="421">
      <c r="O421" s="9"/>
      <c r="P421" s="9"/>
      <c r="Q421" s="9"/>
    </row>
    <row r="422">
      <c r="O422" s="9"/>
      <c r="P422" s="9"/>
      <c r="Q422" s="9"/>
    </row>
    <row r="423">
      <c r="O423" s="9"/>
      <c r="P423" s="9"/>
      <c r="Q423" s="9"/>
    </row>
    <row r="424">
      <c r="O424" s="9"/>
      <c r="P424" s="9"/>
      <c r="Q424" s="9"/>
    </row>
    <row r="425">
      <c r="O425" s="9"/>
      <c r="P425" s="9"/>
      <c r="Q425" s="9"/>
    </row>
    <row r="426">
      <c r="O426" s="9"/>
      <c r="P426" s="9"/>
      <c r="Q426" s="9"/>
    </row>
    <row r="427">
      <c r="O427" s="9"/>
      <c r="P427" s="9"/>
      <c r="Q427" s="9"/>
    </row>
    <row r="428">
      <c r="O428" s="9"/>
      <c r="P428" s="9"/>
      <c r="Q428" s="9"/>
    </row>
    <row r="429">
      <c r="O429" s="9"/>
      <c r="P429" s="9"/>
      <c r="Q429" s="9"/>
    </row>
    <row r="430">
      <c r="O430" s="9"/>
      <c r="P430" s="9"/>
      <c r="Q430" s="9"/>
    </row>
    <row r="431">
      <c r="O431" s="9"/>
      <c r="P431" s="9"/>
      <c r="Q431" s="9"/>
    </row>
    <row r="432">
      <c r="O432" s="9"/>
      <c r="P432" s="9"/>
      <c r="Q432" s="9"/>
    </row>
    <row r="433">
      <c r="O433" s="9"/>
      <c r="P433" s="9"/>
      <c r="Q433" s="9"/>
    </row>
    <row r="434">
      <c r="O434" s="9"/>
      <c r="P434" s="9"/>
      <c r="Q434" s="9"/>
    </row>
    <row r="435">
      <c r="O435" s="9"/>
      <c r="P435" s="9"/>
      <c r="Q435" s="9"/>
    </row>
    <row r="436">
      <c r="O436" s="9"/>
      <c r="P436" s="9"/>
      <c r="Q436" s="9"/>
    </row>
    <row r="437">
      <c r="O437" s="9"/>
      <c r="P437" s="9"/>
      <c r="Q437" s="9"/>
    </row>
    <row r="438">
      <c r="O438" s="9"/>
      <c r="P438" s="9"/>
      <c r="Q438" s="9"/>
    </row>
    <row r="439">
      <c r="O439" s="9"/>
      <c r="P439" s="9"/>
      <c r="Q439" s="9"/>
    </row>
    <row r="440">
      <c r="O440" s="9"/>
      <c r="P440" s="9"/>
      <c r="Q440" s="9"/>
    </row>
    <row r="441">
      <c r="O441" s="9"/>
      <c r="P441" s="9"/>
      <c r="Q441" s="9"/>
    </row>
    <row r="442">
      <c r="O442" s="9"/>
      <c r="P442" s="9"/>
      <c r="Q442" s="9"/>
    </row>
    <row r="443">
      <c r="O443" s="9"/>
      <c r="P443" s="9"/>
      <c r="Q443" s="9"/>
    </row>
    <row r="444">
      <c r="O444" s="9"/>
      <c r="P444" s="9"/>
      <c r="Q444" s="9"/>
    </row>
    <row r="445">
      <c r="O445" s="9"/>
      <c r="P445" s="9"/>
      <c r="Q445" s="9"/>
    </row>
    <row r="446">
      <c r="O446" s="9"/>
      <c r="P446" s="9"/>
      <c r="Q446" s="9"/>
    </row>
    <row r="447">
      <c r="O447" s="9"/>
      <c r="P447" s="9"/>
      <c r="Q447" s="9"/>
    </row>
    <row r="448">
      <c r="O448" s="9"/>
      <c r="P448" s="9"/>
      <c r="Q448" s="9"/>
    </row>
    <row r="449">
      <c r="O449" s="9"/>
      <c r="P449" s="9"/>
      <c r="Q449" s="9"/>
    </row>
    <row r="450">
      <c r="O450" s="9"/>
      <c r="P450" s="9"/>
      <c r="Q450" s="9"/>
    </row>
    <row r="451">
      <c r="O451" s="9"/>
      <c r="P451" s="9"/>
      <c r="Q451" s="9"/>
    </row>
    <row r="452">
      <c r="O452" s="9"/>
      <c r="P452" s="9"/>
      <c r="Q452" s="9"/>
    </row>
    <row r="453">
      <c r="O453" s="9"/>
      <c r="P453" s="9"/>
      <c r="Q453" s="9"/>
    </row>
    <row r="454">
      <c r="O454" s="9"/>
      <c r="P454" s="9"/>
      <c r="Q454" s="9"/>
    </row>
    <row r="455">
      <c r="O455" s="9"/>
      <c r="P455" s="9"/>
      <c r="Q455" s="9"/>
    </row>
    <row r="456">
      <c r="O456" s="9"/>
      <c r="P456" s="9"/>
      <c r="Q456" s="9"/>
    </row>
    <row r="457">
      <c r="O457" s="9"/>
      <c r="P457" s="9"/>
      <c r="Q457" s="9"/>
    </row>
    <row r="458">
      <c r="O458" s="9"/>
      <c r="P458" s="9"/>
      <c r="Q458" s="9"/>
    </row>
    <row r="459">
      <c r="O459" s="9"/>
      <c r="P459" s="9"/>
      <c r="Q459" s="9"/>
    </row>
    <row r="460">
      <c r="O460" s="9"/>
      <c r="P460" s="9"/>
      <c r="Q460" s="9"/>
    </row>
    <row r="461">
      <c r="O461" s="9"/>
      <c r="P461" s="9"/>
      <c r="Q461" s="9"/>
    </row>
    <row r="462">
      <c r="O462" s="9"/>
      <c r="P462" s="9"/>
      <c r="Q462" s="9"/>
    </row>
    <row r="463">
      <c r="O463" s="9"/>
      <c r="P463" s="9"/>
      <c r="Q463" s="9"/>
    </row>
    <row r="464">
      <c r="O464" s="9"/>
      <c r="P464" s="9"/>
      <c r="Q464" s="9"/>
    </row>
    <row r="465">
      <c r="O465" s="9"/>
      <c r="P465" s="9"/>
      <c r="Q465" s="9"/>
    </row>
    <row r="466">
      <c r="O466" s="9"/>
      <c r="P466" s="9"/>
      <c r="Q466" s="9"/>
    </row>
    <row r="467">
      <c r="O467" s="9"/>
      <c r="P467" s="9"/>
      <c r="Q467" s="9"/>
    </row>
    <row r="468">
      <c r="O468" s="9"/>
      <c r="P468" s="9"/>
      <c r="Q468" s="9"/>
    </row>
    <row r="469">
      <c r="O469" s="9"/>
      <c r="P469" s="9"/>
      <c r="Q469" s="9"/>
    </row>
    <row r="470">
      <c r="O470" s="9"/>
      <c r="P470" s="9"/>
      <c r="Q470" s="9"/>
    </row>
    <row r="471">
      <c r="O471" s="9"/>
      <c r="P471" s="9"/>
      <c r="Q471" s="9"/>
    </row>
    <row r="472">
      <c r="O472" s="9"/>
      <c r="P472" s="9"/>
      <c r="Q472" s="9"/>
    </row>
    <row r="473">
      <c r="O473" s="9"/>
      <c r="P473" s="9"/>
      <c r="Q473" s="9"/>
    </row>
    <row r="474">
      <c r="O474" s="9"/>
      <c r="P474" s="9"/>
      <c r="Q474" s="9"/>
    </row>
    <row r="475">
      <c r="O475" s="9"/>
      <c r="P475" s="9"/>
      <c r="Q475" s="9"/>
    </row>
    <row r="476">
      <c r="O476" s="9"/>
      <c r="P476" s="9"/>
      <c r="Q476" s="9"/>
    </row>
    <row r="477">
      <c r="O477" s="9"/>
      <c r="P477" s="9"/>
      <c r="Q477" s="9"/>
    </row>
    <row r="478">
      <c r="O478" s="9"/>
      <c r="P478" s="9"/>
      <c r="Q478" s="9"/>
    </row>
    <row r="479">
      <c r="O479" s="9"/>
      <c r="P479" s="9"/>
      <c r="Q479" s="9"/>
    </row>
    <row r="480">
      <c r="O480" s="9"/>
      <c r="P480" s="9"/>
      <c r="Q480" s="9"/>
    </row>
    <row r="481">
      <c r="O481" s="9"/>
      <c r="P481" s="9"/>
      <c r="Q481" s="9"/>
    </row>
    <row r="482">
      <c r="O482" s="9"/>
      <c r="P482" s="9"/>
      <c r="Q482" s="9"/>
    </row>
    <row r="483">
      <c r="O483" s="9"/>
      <c r="P483" s="9"/>
      <c r="Q483" s="9"/>
    </row>
    <row r="484">
      <c r="O484" s="9"/>
      <c r="P484" s="9"/>
      <c r="Q484" s="9"/>
    </row>
    <row r="485">
      <c r="O485" s="9"/>
      <c r="P485" s="9"/>
      <c r="Q485" s="9"/>
    </row>
    <row r="486">
      <c r="O486" s="9"/>
      <c r="P486" s="9"/>
      <c r="Q486" s="9"/>
    </row>
    <row r="487">
      <c r="O487" s="9"/>
      <c r="P487" s="9"/>
      <c r="Q487" s="9"/>
    </row>
    <row r="488">
      <c r="O488" s="9"/>
      <c r="P488" s="9"/>
      <c r="Q488" s="9"/>
    </row>
    <row r="489">
      <c r="O489" s="9"/>
      <c r="P489" s="9"/>
      <c r="Q489" s="9"/>
    </row>
    <row r="490">
      <c r="O490" s="9"/>
      <c r="P490" s="9"/>
      <c r="Q490" s="9"/>
    </row>
    <row r="491">
      <c r="O491" s="9"/>
      <c r="P491" s="9"/>
      <c r="Q491" s="9"/>
    </row>
    <row r="492">
      <c r="O492" s="9"/>
      <c r="P492" s="9"/>
      <c r="Q492" s="9"/>
    </row>
    <row r="493">
      <c r="O493" s="9"/>
      <c r="P493" s="9"/>
      <c r="Q493" s="9"/>
    </row>
    <row r="494">
      <c r="O494" s="9"/>
      <c r="P494" s="9"/>
      <c r="Q494" s="9"/>
    </row>
    <row r="495">
      <c r="O495" s="9"/>
      <c r="P495" s="9"/>
      <c r="Q495" s="9"/>
    </row>
    <row r="496">
      <c r="O496" s="9"/>
      <c r="P496" s="9"/>
      <c r="Q496" s="9"/>
    </row>
    <row r="497">
      <c r="O497" s="9"/>
      <c r="P497" s="9"/>
      <c r="Q497" s="9"/>
    </row>
    <row r="498">
      <c r="O498" s="9"/>
      <c r="P498" s="9"/>
      <c r="Q498" s="9"/>
    </row>
    <row r="499">
      <c r="O499" s="9"/>
      <c r="P499" s="9"/>
      <c r="Q499" s="9"/>
    </row>
    <row r="500">
      <c r="O500" s="9"/>
      <c r="P500" s="9"/>
      <c r="Q500" s="9"/>
    </row>
    <row r="501">
      <c r="O501" s="9"/>
      <c r="P501" s="9"/>
      <c r="Q501" s="9"/>
    </row>
    <row r="502">
      <c r="O502" s="9"/>
      <c r="P502" s="9"/>
      <c r="Q502" s="9"/>
    </row>
    <row r="503">
      <c r="O503" s="9"/>
      <c r="P503" s="9"/>
      <c r="Q503" s="9"/>
    </row>
    <row r="504">
      <c r="O504" s="9"/>
      <c r="P504" s="9"/>
      <c r="Q504" s="9"/>
    </row>
    <row r="505">
      <c r="O505" s="9"/>
      <c r="P505" s="9"/>
      <c r="Q505" s="9"/>
    </row>
    <row r="506">
      <c r="O506" s="9"/>
      <c r="P506" s="9"/>
      <c r="Q506" s="9"/>
    </row>
    <row r="507">
      <c r="O507" s="9"/>
      <c r="P507" s="9"/>
      <c r="Q507" s="9"/>
    </row>
    <row r="508">
      <c r="O508" s="9"/>
      <c r="P508" s="9"/>
      <c r="Q508" s="9"/>
    </row>
    <row r="509">
      <c r="O509" s="9"/>
      <c r="P509" s="9"/>
      <c r="Q509" s="9"/>
    </row>
    <row r="510">
      <c r="O510" s="9"/>
      <c r="P510" s="9"/>
      <c r="Q510" s="9"/>
    </row>
    <row r="511">
      <c r="O511" s="9"/>
      <c r="P511" s="9"/>
      <c r="Q511" s="9"/>
    </row>
    <row r="512">
      <c r="O512" s="9"/>
      <c r="P512" s="9"/>
      <c r="Q512" s="9"/>
    </row>
    <row r="513">
      <c r="O513" s="9"/>
      <c r="P513" s="9"/>
      <c r="Q513" s="9"/>
    </row>
    <row r="514">
      <c r="O514" s="9"/>
      <c r="P514" s="9"/>
      <c r="Q514" s="9"/>
    </row>
    <row r="515">
      <c r="O515" s="9"/>
      <c r="P515" s="9"/>
      <c r="Q515" s="9"/>
    </row>
    <row r="516">
      <c r="O516" s="9"/>
      <c r="P516" s="9"/>
      <c r="Q516" s="9"/>
    </row>
    <row r="517">
      <c r="O517" s="9"/>
      <c r="P517" s="9"/>
      <c r="Q517" s="9"/>
    </row>
    <row r="518">
      <c r="O518" s="9"/>
      <c r="P518" s="9"/>
      <c r="Q518" s="9"/>
    </row>
    <row r="519">
      <c r="O519" s="9"/>
      <c r="P519" s="9"/>
      <c r="Q519" s="9"/>
    </row>
    <row r="520">
      <c r="O520" s="9"/>
      <c r="P520" s="9"/>
      <c r="Q520" s="9"/>
    </row>
    <row r="521">
      <c r="O521" s="9"/>
      <c r="P521" s="9"/>
      <c r="Q521" s="9"/>
    </row>
    <row r="522">
      <c r="O522" s="9"/>
      <c r="P522" s="9"/>
      <c r="Q522" s="9"/>
    </row>
    <row r="523">
      <c r="O523" s="9"/>
      <c r="P523" s="9"/>
      <c r="Q523" s="9"/>
    </row>
    <row r="524">
      <c r="O524" s="9"/>
      <c r="P524" s="9"/>
      <c r="Q524" s="9"/>
    </row>
    <row r="525">
      <c r="O525" s="9"/>
      <c r="P525" s="9"/>
      <c r="Q525" s="9"/>
    </row>
    <row r="526">
      <c r="O526" s="9"/>
      <c r="P526" s="9"/>
      <c r="Q526" s="9"/>
    </row>
    <row r="527">
      <c r="O527" s="9"/>
      <c r="P527" s="9"/>
      <c r="Q527" s="9"/>
    </row>
    <row r="528">
      <c r="O528" s="9"/>
      <c r="P528" s="9"/>
      <c r="Q528" s="9"/>
    </row>
    <row r="529">
      <c r="O529" s="9"/>
      <c r="P529" s="9"/>
      <c r="Q529" s="9"/>
    </row>
    <row r="530">
      <c r="O530" s="9"/>
      <c r="P530" s="9"/>
      <c r="Q530" s="9"/>
    </row>
    <row r="531">
      <c r="O531" s="9"/>
      <c r="P531" s="9"/>
      <c r="Q531" s="9"/>
    </row>
    <row r="532">
      <c r="O532" s="9"/>
      <c r="P532" s="9"/>
      <c r="Q532" s="9"/>
    </row>
    <row r="533">
      <c r="O533" s="9"/>
      <c r="P533" s="9"/>
      <c r="Q533" s="9"/>
    </row>
    <row r="534">
      <c r="O534" s="9"/>
      <c r="P534" s="9"/>
      <c r="Q534" s="9"/>
    </row>
    <row r="535">
      <c r="O535" s="9"/>
      <c r="P535" s="9"/>
      <c r="Q535" s="9"/>
    </row>
    <row r="536">
      <c r="O536" s="9"/>
      <c r="P536" s="9"/>
      <c r="Q536" s="9"/>
    </row>
    <row r="537">
      <c r="O537" s="9"/>
      <c r="P537" s="9"/>
      <c r="Q537" s="9"/>
    </row>
    <row r="538">
      <c r="O538" s="9"/>
      <c r="P538" s="9"/>
      <c r="Q538" s="9"/>
    </row>
    <row r="539">
      <c r="O539" s="9"/>
      <c r="P539" s="9"/>
      <c r="Q539" s="9"/>
    </row>
    <row r="540">
      <c r="O540" s="9"/>
      <c r="P540" s="9"/>
      <c r="Q540" s="9"/>
    </row>
    <row r="541">
      <c r="O541" s="9"/>
      <c r="P541" s="9"/>
      <c r="Q541" s="9"/>
    </row>
    <row r="542">
      <c r="O542" s="9"/>
      <c r="P542" s="9"/>
      <c r="Q542" s="9"/>
    </row>
    <row r="543">
      <c r="O543" s="9"/>
      <c r="P543" s="9"/>
      <c r="Q543" s="9"/>
    </row>
    <row r="544">
      <c r="O544" s="9"/>
      <c r="P544" s="9"/>
      <c r="Q544" s="9"/>
    </row>
    <row r="545">
      <c r="O545" s="9"/>
      <c r="P545" s="9"/>
      <c r="Q545" s="9"/>
    </row>
    <row r="546">
      <c r="O546" s="9"/>
      <c r="P546" s="9"/>
      <c r="Q546" s="9"/>
    </row>
    <row r="547">
      <c r="O547" s="9"/>
      <c r="P547" s="9"/>
      <c r="Q547" s="9"/>
    </row>
    <row r="548">
      <c r="O548" s="9"/>
      <c r="P548" s="9"/>
      <c r="Q548" s="9"/>
    </row>
    <row r="549">
      <c r="O549" s="9"/>
      <c r="P549" s="9"/>
      <c r="Q549" s="9"/>
    </row>
    <row r="550">
      <c r="O550" s="9"/>
      <c r="P550" s="9"/>
      <c r="Q550" s="9"/>
    </row>
    <row r="551">
      <c r="O551" s="9"/>
      <c r="P551" s="9"/>
      <c r="Q551" s="9"/>
    </row>
    <row r="552">
      <c r="O552" s="9"/>
      <c r="P552" s="9"/>
      <c r="Q552" s="9"/>
    </row>
    <row r="553">
      <c r="O553" s="9"/>
      <c r="P553" s="9"/>
      <c r="Q553" s="9"/>
    </row>
    <row r="554">
      <c r="O554" s="9"/>
      <c r="P554" s="9"/>
      <c r="Q554" s="9"/>
    </row>
    <row r="555">
      <c r="O555" s="9"/>
      <c r="P555" s="9"/>
      <c r="Q555" s="9"/>
    </row>
    <row r="556">
      <c r="O556" s="9"/>
      <c r="P556" s="9"/>
      <c r="Q556" s="9"/>
    </row>
    <row r="557">
      <c r="O557" s="9"/>
      <c r="P557" s="9"/>
      <c r="Q557" s="9"/>
    </row>
    <row r="558">
      <c r="O558" s="9"/>
      <c r="P558" s="9"/>
      <c r="Q558" s="9"/>
    </row>
    <row r="559">
      <c r="O559" s="9"/>
      <c r="P559" s="9"/>
      <c r="Q559" s="9"/>
    </row>
    <row r="560">
      <c r="O560" s="9"/>
      <c r="P560" s="9"/>
      <c r="Q560" s="9"/>
    </row>
    <row r="561">
      <c r="O561" s="9"/>
      <c r="P561" s="9"/>
      <c r="Q561" s="9"/>
    </row>
    <row r="562">
      <c r="O562" s="9"/>
      <c r="P562" s="9"/>
      <c r="Q562" s="9"/>
    </row>
    <row r="563">
      <c r="O563" s="9"/>
      <c r="P563" s="9"/>
      <c r="Q563" s="9"/>
    </row>
    <row r="564">
      <c r="O564" s="9"/>
      <c r="P564" s="9"/>
      <c r="Q564" s="9"/>
    </row>
    <row r="565">
      <c r="O565" s="9"/>
      <c r="P565" s="9"/>
      <c r="Q565" s="9"/>
    </row>
    <row r="566">
      <c r="O566" s="9"/>
      <c r="P566" s="9"/>
      <c r="Q566" s="9"/>
    </row>
    <row r="567">
      <c r="O567" s="9"/>
      <c r="P567" s="9"/>
      <c r="Q567" s="9"/>
    </row>
    <row r="568">
      <c r="O568" s="9"/>
      <c r="P568" s="9"/>
      <c r="Q568" s="9"/>
    </row>
    <row r="569">
      <c r="O569" s="9"/>
      <c r="P569" s="9"/>
      <c r="Q569" s="9"/>
    </row>
    <row r="570">
      <c r="O570" s="9"/>
      <c r="P570" s="9"/>
      <c r="Q570" s="9"/>
    </row>
    <row r="571">
      <c r="O571" s="9"/>
      <c r="P571" s="9"/>
      <c r="Q571" s="9"/>
    </row>
    <row r="572">
      <c r="O572" s="9"/>
      <c r="P572" s="9"/>
      <c r="Q572" s="9"/>
    </row>
    <row r="573">
      <c r="O573" s="9"/>
      <c r="P573" s="9"/>
      <c r="Q573" s="9"/>
    </row>
    <row r="574">
      <c r="O574" s="9"/>
      <c r="P574" s="9"/>
      <c r="Q574" s="9"/>
    </row>
    <row r="575">
      <c r="O575" s="9"/>
      <c r="P575" s="9"/>
      <c r="Q575" s="9"/>
    </row>
    <row r="576">
      <c r="O576" s="9"/>
      <c r="P576" s="9"/>
      <c r="Q576" s="9"/>
    </row>
    <row r="577">
      <c r="O577" s="9"/>
      <c r="P577" s="9"/>
      <c r="Q577" s="9"/>
    </row>
    <row r="578">
      <c r="O578" s="9"/>
      <c r="P578" s="9"/>
      <c r="Q578" s="9"/>
    </row>
    <row r="579">
      <c r="O579" s="9"/>
      <c r="P579" s="9"/>
      <c r="Q579" s="9"/>
    </row>
    <row r="580">
      <c r="O580" s="9"/>
      <c r="P580" s="9"/>
      <c r="Q580" s="9"/>
    </row>
    <row r="581">
      <c r="O581" s="9"/>
      <c r="P581" s="9"/>
      <c r="Q581" s="9"/>
    </row>
    <row r="582">
      <c r="O582" s="9"/>
      <c r="P582" s="9"/>
      <c r="Q582" s="9"/>
    </row>
    <row r="583">
      <c r="O583" s="9"/>
      <c r="P583" s="9"/>
      <c r="Q583" s="9"/>
    </row>
    <row r="584">
      <c r="O584" s="9"/>
      <c r="P584" s="9"/>
      <c r="Q584" s="9"/>
    </row>
    <row r="585">
      <c r="O585" s="9"/>
      <c r="P585" s="9"/>
      <c r="Q585" s="9"/>
    </row>
    <row r="586">
      <c r="O586" s="9"/>
      <c r="P586" s="9"/>
      <c r="Q586" s="9"/>
    </row>
    <row r="587">
      <c r="O587" s="9"/>
      <c r="P587" s="9"/>
      <c r="Q587" s="9"/>
    </row>
    <row r="588">
      <c r="O588" s="9"/>
      <c r="P588" s="9"/>
      <c r="Q588" s="9"/>
    </row>
    <row r="589">
      <c r="O589" s="9"/>
      <c r="P589" s="9"/>
      <c r="Q589" s="9"/>
    </row>
    <row r="590">
      <c r="O590" s="9"/>
      <c r="P590" s="9"/>
      <c r="Q590" s="9"/>
    </row>
    <row r="591">
      <c r="O591" s="9"/>
      <c r="P591" s="9"/>
      <c r="Q591" s="9"/>
    </row>
    <row r="592">
      <c r="O592" s="9"/>
      <c r="P592" s="9"/>
      <c r="Q592" s="9"/>
    </row>
    <row r="593">
      <c r="O593" s="9"/>
      <c r="P593" s="9"/>
      <c r="Q593" s="9"/>
    </row>
    <row r="594">
      <c r="O594" s="9"/>
      <c r="P594" s="9"/>
      <c r="Q594" s="9"/>
    </row>
    <row r="595">
      <c r="O595" s="9"/>
      <c r="P595" s="9"/>
      <c r="Q595" s="9"/>
    </row>
    <row r="596">
      <c r="O596" s="9"/>
      <c r="P596" s="9"/>
      <c r="Q596" s="9"/>
    </row>
    <row r="597">
      <c r="O597" s="9"/>
      <c r="P597" s="9"/>
      <c r="Q597" s="9"/>
    </row>
    <row r="598">
      <c r="O598" s="9"/>
      <c r="P598" s="9"/>
      <c r="Q598" s="9"/>
    </row>
    <row r="599">
      <c r="O599" s="9"/>
      <c r="P599" s="9"/>
      <c r="Q599" s="9"/>
    </row>
    <row r="600">
      <c r="O600" s="9"/>
      <c r="P600" s="9"/>
      <c r="Q600" s="9"/>
    </row>
    <row r="601">
      <c r="O601" s="9"/>
      <c r="P601" s="9"/>
      <c r="Q601" s="9"/>
    </row>
    <row r="602">
      <c r="O602" s="9"/>
      <c r="P602" s="9"/>
      <c r="Q602" s="9"/>
    </row>
    <row r="603">
      <c r="O603" s="9"/>
      <c r="P603" s="9"/>
      <c r="Q603" s="9"/>
    </row>
    <row r="604">
      <c r="O604" s="9"/>
      <c r="P604" s="9"/>
      <c r="Q604" s="9"/>
    </row>
    <row r="605">
      <c r="O605" s="9"/>
      <c r="P605" s="9"/>
      <c r="Q605" s="9"/>
    </row>
    <row r="606">
      <c r="O606" s="9"/>
      <c r="P606" s="9"/>
      <c r="Q606" s="9"/>
    </row>
    <row r="607">
      <c r="O607" s="9"/>
      <c r="P607" s="9"/>
      <c r="Q607" s="9"/>
    </row>
    <row r="608">
      <c r="O608" s="9"/>
      <c r="P608" s="9"/>
      <c r="Q608" s="9"/>
    </row>
    <row r="609">
      <c r="O609" s="9"/>
      <c r="P609" s="9"/>
      <c r="Q609" s="9"/>
    </row>
    <row r="610">
      <c r="O610" s="9"/>
      <c r="P610" s="9"/>
      <c r="Q610" s="9"/>
    </row>
    <row r="611">
      <c r="O611" s="9"/>
      <c r="P611" s="9"/>
      <c r="Q611" s="9"/>
    </row>
    <row r="612">
      <c r="O612" s="9"/>
      <c r="P612" s="9"/>
      <c r="Q612" s="9"/>
    </row>
    <row r="613">
      <c r="O613" s="9"/>
      <c r="P613" s="9"/>
      <c r="Q613" s="9"/>
    </row>
    <row r="614">
      <c r="O614" s="9"/>
      <c r="P614" s="9"/>
      <c r="Q614" s="9"/>
    </row>
    <row r="615">
      <c r="O615" s="9"/>
      <c r="P615" s="9"/>
      <c r="Q615" s="9"/>
    </row>
    <row r="616">
      <c r="O616" s="9"/>
      <c r="P616" s="9"/>
      <c r="Q616" s="9"/>
    </row>
    <row r="617">
      <c r="O617" s="9"/>
      <c r="P617" s="9"/>
      <c r="Q617" s="9"/>
    </row>
    <row r="618">
      <c r="O618" s="9"/>
      <c r="P618" s="9"/>
      <c r="Q618" s="9"/>
    </row>
    <row r="619">
      <c r="O619" s="9"/>
      <c r="P619" s="9"/>
      <c r="Q619" s="9"/>
    </row>
    <row r="620">
      <c r="O620" s="9"/>
      <c r="P620" s="9"/>
      <c r="Q620" s="9"/>
    </row>
    <row r="621">
      <c r="O621" s="9"/>
      <c r="P621" s="9"/>
      <c r="Q621" s="9"/>
    </row>
    <row r="622">
      <c r="O622" s="9"/>
      <c r="P622" s="9"/>
      <c r="Q622" s="9"/>
    </row>
    <row r="623">
      <c r="O623" s="9"/>
      <c r="P623" s="9"/>
      <c r="Q623" s="9"/>
    </row>
    <row r="624">
      <c r="O624" s="9"/>
      <c r="P624" s="9"/>
      <c r="Q624" s="9"/>
    </row>
    <row r="625">
      <c r="O625" s="9"/>
      <c r="P625" s="9"/>
      <c r="Q625" s="9"/>
    </row>
    <row r="626">
      <c r="O626" s="9"/>
      <c r="P626" s="9"/>
      <c r="Q626" s="9"/>
    </row>
    <row r="627">
      <c r="O627" s="9"/>
      <c r="P627" s="9"/>
      <c r="Q627" s="9"/>
    </row>
    <row r="628">
      <c r="O628" s="9"/>
      <c r="P628" s="9"/>
      <c r="Q628" s="9"/>
    </row>
    <row r="629">
      <c r="O629" s="9"/>
      <c r="P629" s="9"/>
      <c r="Q629" s="9"/>
    </row>
    <row r="630">
      <c r="O630" s="9"/>
      <c r="P630" s="9"/>
      <c r="Q630" s="9"/>
    </row>
    <row r="631">
      <c r="O631" s="9"/>
      <c r="P631" s="9"/>
      <c r="Q631" s="9"/>
    </row>
    <row r="632">
      <c r="O632" s="9"/>
      <c r="P632" s="9"/>
      <c r="Q632" s="9"/>
    </row>
    <row r="633">
      <c r="O633" s="9"/>
      <c r="P633" s="9"/>
      <c r="Q633" s="9"/>
    </row>
    <row r="634">
      <c r="O634" s="9"/>
      <c r="P634" s="9"/>
      <c r="Q634" s="9"/>
    </row>
    <row r="635">
      <c r="O635" s="9"/>
      <c r="P635" s="9"/>
      <c r="Q635" s="9"/>
    </row>
    <row r="636">
      <c r="O636" s="9"/>
      <c r="P636" s="9"/>
      <c r="Q636" s="9"/>
    </row>
    <row r="637">
      <c r="O637" s="9"/>
      <c r="P637" s="9"/>
      <c r="Q637" s="9"/>
    </row>
    <row r="638">
      <c r="O638" s="9"/>
      <c r="P638" s="9"/>
      <c r="Q638" s="9"/>
    </row>
    <row r="639">
      <c r="O639" s="9"/>
      <c r="P639" s="9"/>
      <c r="Q639" s="9"/>
    </row>
    <row r="640">
      <c r="O640" s="9"/>
      <c r="P640" s="9"/>
      <c r="Q640" s="9"/>
    </row>
    <row r="641">
      <c r="O641" s="9"/>
      <c r="P641" s="9"/>
      <c r="Q641" s="9"/>
    </row>
    <row r="642">
      <c r="O642" s="9"/>
      <c r="P642" s="9"/>
      <c r="Q642" s="9"/>
    </row>
    <row r="643">
      <c r="O643" s="9"/>
      <c r="P643" s="9"/>
      <c r="Q643" s="9"/>
    </row>
    <row r="644">
      <c r="O644" s="9"/>
      <c r="P644" s="9"/>
      <c r="Q644" s="9"/>
    </row>
    <row r="645">
      <c r="O645" s="9"/>
      <c r="P645" s="9"/>
      <c r="Q645" s="9"/>
    </row>
    <row r="646">
      <c r="O646" s="9"/>
      <c r="P646" s="9"/>
      <c r="Q646" s="9"/>
    </row>
    <row r="647">
      <c r="O647" s="9"/>
      <c r="P647" s="9"/>
      <c r="Q647" s="9"/>
    </row>
    <row r="648">
      <c r="O648" s="9"/>
      <c r="P648" s="9"/>
      <c r="Q648" s="9"/>
    </row>
    <row r="649">
      <c r="O649" s="9"/>
      <c r="P649" s="9"/>
      <c r="Q649" s="9"/>
    </row>
    <row r="650">
      <c r="O650" s="9"/>
      <c r="P650" s="9"/>
      <c r="Q650" s="9"/>
    </row>
    <row r="651">
      <c r="O651" s="9"/>
      <c r="P651" s="9"/>
      <c r="Q651" s="9"/>
    </row>
    <row r="652">
      <c r="O652" s="9"/>
      <c r="P652" s="9"/>
      <c r="Q652" s="9"/>
    </row>
    <row r="653">
      <c r="O653" s="9"/>
      <c r="P653" s="9"/>
      <c r="Q653" s="9"/>
    </row>
    <row r="654">
      <c r="O654" s="9"/>
      <c r="P654" s="9"/>
      <c r="Q654" s="9"/>
    </row>
    <row r="655">
      <c r="O655" s="9"/>
      <c r="P655" s="9"/>
      <c r="Q655" s="9"/>
    </row>
    <row r="656">
      <c r="O656" s="9"/>
      <c r="P656" s="9"/>
      <c r="Q656" s="9"/>
    </row>
    <row r="657">
      <c r="O657" s="9"/>
      <c r="P657" s="9"/>
      <c r="Q657" s="9"/>
    </row>
    <row r="658">
      <c r="O658" s="9"/>
      <c r="P658" s="9"/>
      <c r="Q658" s="9"/>
    </row>
    <row r="659">
      <c r="O659" s="9"/>
      <c r="P659" s="9"/>
      <c r="Q659" s="9"/>
    </row>
    <row r="660">
      <c r="O660" s="9"/>
      <c r="P660" s="9"/>
      <c r="Q660" s="9"/>
    </row>
    <row r="661">
      <c r="O661" s="9"/>
      <c r="P661" s="9"/>
      <c r="Q661" s="9"/>
    </row>
    <row r="662">
      <c r="O662" s="9"/>
      <c r="P662" s="9"/>
      <c r="Q662" s="9"/>
    </row>
    <row r="663">
      <c r="O663" s="9"/>
      <c r="P663" s="9"/>
      <c r="Q663" s="9"/>
    </row>
    <row r="664">
      <c r="O664" s="9"/>
      <c r="P664" s="9"/>
      <c r="Q664" s="9"/>
    </row>
    <row r="665">
      <c r="O665" s="9"/>
      <c r="P665" s="9"/>
      <c r="Q665" s="9"/>
    </row>
    <row r="666">
      <c r="O666" s="9"/>
      <c r="P666" s="9"/>
      <c r="Q666" s="9"/>
    </row>
    <row r="667">
      <c r="O667" s="9"/>
      <c r="P667" s="9"/>
      <c r="Q667" s="9"/>
    </row>
    <row r="668">
      <c r="O668" s="9"/>
      <c r="P668" s="9"/>
      <c r="Q668" s="9"/>
    </row>
    <row r="669">
      <c r="O669" s="9"/>
      <c r="P669" s="9"/>
      <c r="Q669" s="9"/>
    </row>
    <row r="670">
      <c r="O670" s="9"/>
      <c r="P670" s="9"/>
      <c r="Q670" s="9"/>
    </row>
    <row r="671">
      <c r="O671" s="9"/>
      <c r="P671" s="9"/>
      <c r="Q671" s="9"/>
    </row>
    <row r="672">
      <c r="O672" s="9"/>
      <c r="P672" s="9"/>
      <c r="Q672" s="9"/>
    </row>
    <row r="673">
      <c r="O673" s="9"/>
      <c r="P673" s="9"/>
      <c r="Q673" s="9"/>
    </row>
    <row r="674">
      <c r="O674" s="9"/>
      <c r="P674" s="9"/>
      <c r="Q674" s="9"/>
    </row>
    <row r="675">
      <c r="O675" s="9"/>
      <c r="P675" s="9"/>
      <c r="Q675" s="9"/>
    </row>
    <row r="676">
      <c r="O676" s="9"/>
      <c r="P676" s="9"/>
      <c r="Q676" s="9"/>
    </row>
    <row r="677">
      <c r="O677" s="9"/>
      <c r="P677" s="9"/>
      <c r="Q677" s="9"/>
    </row>
    <row r="678">
      <c r="O678" s="9"/>
      <c r="P678" s="9"/>
      <c r="Q678" s="9"/>
    </row>
    <row r="679">
      <c r="O679" s="9"/>
      <c r="P679" s="9"/>
      <c r="Q679" s="9"/>
    </row>
    <row r="680">
      <c r="O680" s="9"/>
      <c r="P680" s="9"/>
      <c r="Q680" s="9"/>
    </row>
    <row r="681">
      <c r="O681" s="9"/>
      <c r="P681" s="9"/>
      <c r="Q681" s="9"/>
    </row>
    <row r="682">
      <c r="O682" s="9"/>
      <c r="P682" s="9"/>
      <c r="Q682" s="9"/>
    </row>
    <row r="683">
      <c r="O683" s="9"/>
      <c r="P683" s="9"/>
      <c r="Q683" s="9"/>
    </row>
    <row r="684">
      <c r="O684" s="9"/>
      <c r="P684" s="9"/>
      <c r="Q684" s="9"/>
    </row>
    <row r="685">
      <c r="O685" s="9"/>
      <c r="P685" s="9"/>
      <c r="Q685" s="9"/>
    </row>
    <row r="686">
      <c r="O686" s="9"/>
      <c r="P686" s="9"/>
      <c r="Q686" s="9"/>
    </row>
    <row r="687">
      <c r="O687" s="9"/>
      <c r="P687" s="9"/>
      <c r="Q687" s="9"/>
    </row>
    <row r="688">
      <c r="O688" s="9"/>
      <c r="P688" s="9"/>
      <c r="Q688" s="9"/>
    </row>
    <row r="689">
      <c r="O689" s="9"/>
      <c r="P689" s="9"/>
      <c r="Q689" s="9"/>
    </row>
    <row r="690">
      <c r="O690" s="9"/>
      <c r="P690" s="9"/>
      <c r="Q690" s="9"/>
    </row>
    <row r="691">
      <c r="O691" s="9"/>
      <c r="P691" s="9"/>
      <c r="Q691" s="9"/>
    </row>
    <row r="692">
      <c r="O692" s="9"/>
      <c r="P692" s="9"/>
      <c r="Q692" s="9"/>
    </row>
    <row r="693">
      <c r="O693" s="9"/>
      <c r="P693" s="9"/>
      <c r="Q693" s="9"/>
    </row>
    <row r="694">
      <c r="O694" s="9"/>
      <c r="P694" s="9"/>
      <c r="Q694" s="9"/>
    </row>
    <row r="695">
      <c r="O695" s="9"/>
      <c r="P695" s="9"/>
      <c r="Q695" s="9"/>
    </row>
    <row r="696">
      <c r="O696" s="9"/>
      <c r="P696" s="9"/>
      <c r="Q696" s="9"/>
    </row>
    <row r="697">
      <c r="O697" s="9"/>
      <c r="P697" s="9"/>
      <c r="Q697" s="9"/>
    </row>
    <row r="698">
      <c r="O698" s="9"/>
      <c r="P698" s="9"/>
      <c r="Q698" s="9"/>
    </row>
    <row r="699">
      <c r="O699" s="9"/>
      <c r="P699" s="9"/>
      <c r="Q699" s="9"/>
    </row>
    <row r="700">
      <c r="O700" s="9"/>
      <c r="P700" s="9"/>
      <c r="Q700" s="9"/>
    </row>
    <row r="701">
      <c r="O701" s="9"/>
      <c r="P701" s="9"/>
      <c r="Q701" s="9"/>
    </row>
    <row r="702">
      <c r="O702" s="9"/>
      <c r="P702" s="9"/>
      <c r="Q702" s="9"/>
    </row>
    <row r="703">
      <c r="O703" s="9"/>
      <c r="P703" s="9"/>
      <c r="Q703" s="9"/>
    </row>
    <row r="704">
      <c r="O704" s="9"/>
      <c r="P704" s="9"/>
      <c r="Q704" s="9"/>
    </row>
    <row r="705">
      <c r="O705" s="9"/>
      <c r="P705" s="9"/>
      <c r="Q705" s="9"/>
    </row>
    <row r="706">
      <c r="O706" s="9"/>
      <c r="P706" s="9"/>
      <c r="Q706" s="9"/>
    </row>
    <row r="707">
      <c r="O707" s="9"/>
      <c r="P707" s="9"/>
      <c r="Q707" s="9"/>
    </row>
    <row r="708">
      <c r="O708" s="9"/>
      <c r="P708" s="9"/>
      <c r="Q708" s="9"/>
    </row>
    <row r="709">
      <c r="O709" s="9"/>
      <c r="P709" s="9"/>
      <c r="Q709" s="9"/>
    </row>
    <row r="710">
      <c r="O710" s="9"/>
      <c r="P710" s="9"/>
      <c r="Q710" s="9"/>
    </row>
    <row r="711">
      <c r="O711" s="9"/>
      <c r="P711" s="9"/>
      <c r="Q711" s="9"/>
    </row>
    <row r="712">
      <c r="O712" s="9"/>
      <c r="P712" s="9"/>
      <c r="Q712" s="9"/>
    </row>
    <row r="713">
      <c r="O713" s="9"/>
      <c r="P713" s="9"/>
      <c r="Q713" s="9"/>
    </row>
    <row r="714">
      <c r="O714" s="9"/>
      <c r="P714" s="9"/>
      <c r="Q714" s="9"/>
    </row>
    <row r="715">
      <c r="O715" s="9"/>
      <c r="P715" s="9"/>
      <c r="Q715" s="9"/>
    </row>
    <row r="716">
      <c r="O716" s="9"/>
      <c r="P716" s="9"/>
      <c r="Q716" s="9"/>
    </row>
    <row r="717">
      <c r="O717" s="9"/>
      <c r="P717" s="9"/>
      <c r="Q717" s="9"/>
    </row>
    <row r="718">
      <c r="O718" s="9"/>
      <c r="P718" s="9"/>
      <c r="Q718" s="9"/>
    </row>
    <row r="719">
      <c r="O719" s="9"/>
      <c r="P719" s="9"/>
      <c r="Q719" s="9"/>
    </row>
    <row r="720">
      <c r="O720" s="9"/>
      <c r="P720" s="9"/>
      <c r="Q720" s="9"/>
    </row>
    <row r="721">
      <c r="O721" s="9"/>
      <c r="P721" s="9"/>
      <c r="Q721" s="9"/>
    </row>
    <row r="722">
      <c r="O722" s="9"/>
      <c r="P722" s="9"/>
      <c r="Q722" s="9"/>
    </row>
    <row r="723">
      <c r="O723" s="9"/>
      <c r="P723" s="9"/>
      <c r="Q723" s="9"/>
    </row>
    <row r="724">
      <c r="O724" s="9"/>
      <c r="P724" s="9"/>
      <c r="Q724" s="9"/>
    </row>
    <row r="725">
      <c r="O725" s="9"/>
      <c r="P725" s="9"/>
      <c r="Q725" s="9"/>
    </row>
    <row r="726">
      <c r="O726" s="9"/>
      <c r="P726" s="9"/>
      <c r="Q726" s="9"/>
    </row>
    <row r="727">
      <c r="O727" s="9"/>
      <c r="P727" s="9"/>
      <c r="Q727" s="9"/>
    </row>
    <row r="728">
      <c r="O728" s="9"/>
      <c r="P728" s="9"/>
      <c r="Q728" s="9"/>
    </row>
    <row r="729">
      <c r="O729" s="9"/>
      <c r="P729" s="9"/>
      <c r="Q729" s="9"/>
    </row>
    <row r="730">
      <c r="O730" s="9"/>
      <c r="P730" s="9"/>
      <c r="Q730" s="9"/>
    </row>
    <row r="731">
      <c r="O731" s="9"/>
      <c r="P731" s="9"/>
      <c r="Q731" s="9"/>
    </row>
    <row r="732">
      <c r="O732" s="9"/>
      <c r="P732" s="9"/>
      <c r="Q732" s="9"/>
    </row>
    <row r="733">
      <c r="O733" s="9"/>
      <c r="P733" s="9"/>
      <c r="Q733" s="9"/>
    </row>
    <row r="734">
      <c r="O734" s="9"/>
      <c r="P734" s="9"/>
      <c r="Q734" s="9"/>
    </row>
    <row r="735">
      <c r="O735" s="9"/>
      <c r="P735" s="9"/>
      <c r="Q735" s="9"/>
    </row>
    <row r="736">
      <c r="O736" s="9"/>
      <c r="P736" s="9"/>
      <c r="Q736" s="9"/>
    </row>
    <row r="737">
      <c r="O737" s="9"/>
      <c r="P737" s="9"/>
      <c r="Q737" s="9"/>
    </row>
    <row r="738">
      <c r="O738" s="9"/>
      <c r="P738" s="9"/>
      <c r="Q738" s="9"/>
    </row>
    <row r="739">
      <c r="O739" s="9"/>
      <c r="P739" s="9"/>
      <c r="Q739" s="9"/>
    </row>
    <row r="740">
      <c r="O740" s="9"/>
      <c r="P740" s="9"/>
      <c r="Q740" s="9"/>
    </row>
    <row r="741">
      <c r="O741" s="9"/>
      <c r="P741" s="9"/>
      <c r="Q741" s="9"/>
    </row>
    <row r="742">
      <c r="O742" s="9"/>
      <c r="P742" s="9"/>
      <c r="Q742" s="9"/>
    </row>
    <row r="743">
      <c r="O743" s="9"/>
      <c r="P743" s="9"/>
      <c r="Q743" s="9"/>
    </row>
    <row r="744">
      <c r="O744" s="9"/>
      <c r="P744" s="9"/>
      <c r="Q744" s="9"/>
    </row>
    <row r="745">
      <c r="O745" s="9"/>
      <c r="P745" s="9"/>
      <c r="Q745" s="9"/>
    </row>
    <row r="746">
      <c r="O746" s="9"/>
      <c r="P746" s="9"/>
      <c r="Q746" s="9"/>
    </row>
    <row r="747">
      <c r="O747" s="9"/>
      <c r="P747" s="9"/>
      <c r="Q747" s="9"/>
    </row>
    <row r="748">
      <c r="O748" s="9"/>
      <c r="P748" s="9"/>
      <c r="Q748" s="9"/>
    </row>
    <row r="749">
      <c r="O749" s="9"/>
      <c r="P749" s="9"/>
      <c r="Q749" s="9"/>
    </row>
    <row r="750">
      <c r="O750" s="9"/>
      <c r="P750" s="9"/>
      <c r="Q750" s="9"/>
    </row>
    <row r="751">
      <c r="O751" s="9"/>
      <c r="P751" s="9"/>
      <c r="Q751" s="9"/>
    </row>
    <row r="752">
      <c r="O752" s="9"/>
      <c r="P752" s="9"/>
      <c r="Q752" s="9"/>
    </row>
    <row r="753">
      <c r="O753" s="9"/>
      <c r="P753" s="9"/>
      <c r="Q753" s="9"/>
    </row>
    <row r="754">
      <c r="O754" s="9"/>
      <c r="P754" s="9"/>
      <c r="Q754" s="9"/>
    </row>
    <row r="755">
      <c r="O755" s="9"/>
      <c r="P755" s="9"/>
      <c r="Q755" s="9"/>
    </row>
    <row r="756">
      <c r="O756" s="9"/>
      <c r="P756" s="9"/>
      <c r="Q756" s="9"/>
    </row>
    <row r="757">
      <c r="O757" s="9"/>
      <c r="P757" s="9"/>
      <c r="Q757" s="9"/>
    </row>
    <row r="758">
      <c r="O758" s="9"/>
      <c r="P758" s="9"/>
      <c r="Q758" s="9"/>
    </row>
    <row r="759">
      <c r="O759" s="9"/>
      <c r="P759" s="9"/>
      <c r="Q759" s="9"/>
    </row>
    <row r="760">
      <c r="O760" s="9"/>
      <c r="P760" s="9"/>
      <c r="Q760" s="9"/>
    </row>
    <row r="761">
      <c r="O761" s="9"/>
      <c r="P761" s="9"/>
      <c r="Q761" s="9"/>
    </row>
    <row r="762">
      <c r="O762" s="9"/>
      <c r="P762" s="9"/>
      <c r="Q762" s="9"/>
    </row>
    <row r="763">
      <c r="O763" s="9"/>
      <c r="P763" s="9"/>
      <c r="Q763" s="9"/>
    </row>
    <row r="764">
      <c r="O764" s="9"/>
      <c r="P764" s="9"/>
      <c r="Q764" s="9"/>
    </row>
    <row r="765">
      <c r="O765" s="9"/>
      <c r="P765" s="9"/>
      <c r="Q765" s="9"/>
    </row>
    <row r="766">
      <c r="O766" s="9"/>
      <c r="P766" s="9"/>
      <c r="Q766" s="9"/>
    </row>
    <row r="767">
      <c r="O767" s="9"/>
      <c r="P767" s="9"/>
      <c r="Q767" s="9"/>
    </row>
    <row r="768">
      <c r="O768" s="9"/>
      <c r="P768" s="9"/>
      <c r="Q768" s="9"/>
    </row>
    <row r="769">
      <c r="O769" s="9"/>
      <c r="P769" s="9"/>
      <c r="Q769" s="9"/>
    </row>
    <row r="770">
      <c r="O770" s="9"/>
      <c r="P770" s="9"/>
      <c r="Q770" s="9"/>
    </row>
    <row r="771">
      <c r="O771" s="9"/>
      <c r="P771" s="9"/>
      <c r="Q771" s="9"/>
    </row>
    <row r="772">
      <c r="O772" s="9"/>
      <c r="P772" s="9"/>
      <c r="Q772" s="9"/>
    </row>
    <row r="773">
      <c r="O773" s="9"/>
      <c r="P773" s="9"/>
      <c r="Q773" s="9"/>
    </row>
    <row r="774">
      <c r="O774" s="9"/>
      <c r="P774" s="9"/>
      <c r="Q774" s="9"/>
    </row>
    <row r="775">
      <c r="O775" s="9"/>
      <c r="P775" s="9"/>
      <c r="Q775" s="9"/>
    </row>
    <row r="776">
      <c r="O776" s="9"/>
      <c r="P776" s="9"/>
      <c r="Q776" s="9"/>
    </row>
    <row r="777">
      <c r="O777" s="9"/>
      <c r="P777" s="9"/>
      <c r="Q777" s="9"/>
    </row>
    <row r="778">
      <c r="O778" s="9"/>
      <c r="P778" s="9"/>
      <c r="Q778" s="9"/>
    </row>
    <row r="779">
      <c r="O779" s="9"/>
      <c r="P779" s="9"/>
      <c r="Q779" s="9"/>
    </row>
    <row r="780">
      <c r="O780" s="9"/>
      <c r="P780" s="9"/>
      <c r="Q780" s="9"/>
    </row>
    <row r="781">
      <c r="O781" s="9"/>
      <c r="P781" s="9"/>
      <c r="Q781" s="9"/>
    </row>
    <row r="782">
      <c r="O782" s="9"/>
      <c r="P782" s="9"/>
      <c r="Q782" s="9"/>
    </row>
    <row r="783">
      <c r="O783" s="9"/>
      <c r="P783" s="9"/>
      <c r="Q783" s="9"/>
    </row>
    <row r="784">
      <c r="O784" s="9"/>
      <c r="P784" s="9"/>
      <c r="Q784" s="9"/>
    </row>
    <row r="785">
      <c r="O785" s="9"/>
      <c r="P785" s="9"/>
      <c r="Q785" s="9"/>
    </row>
    <row r="786">
      <c r="O786" s="9"/>
      <c r="P786" s="9"/>
      <c r="Q786" s="9"/>
    </row>
    <row r="787">
      <c r="O787" s="9"/>
      <c r="P787" s="9"/>
      <c r="Q787" s="9"/>
    </row>
    <row r="788">
      <c r="O788" s="9"/>
      <c r="P788" s="9"/>
      <c r="Q788" s="9"/>
    </row>
    <row r="789">
      <c r="O789" s="9"/>
      <c r="P789" s="9"/>
      <c r="Q789" s="9"/>
    </row>
    <row r="790">
      <c r="O790" s="9"/>
      <c r="P790" s="9"/>
      <c r="Q790" s="9"/>
    </row>
    <row r="791">
      <c r="O791" s="9"/>
      <c r="P791" s="9"/>
      <c r="Q791" s="9"/>
    </row>
    <row r="792">
      <c r="O792" s="9"/>
      <c r="P792" s="9"/>
      <c r="Q792" s="9"/>
    </row>
    <row r="793">
      <c r="O793" s="9"/>
      <c r="P793" s="9"/>
      <c r="Q793" s="9"/>
    </row>
    <row r="794">
      <c r="O794" s="9"/>
      <c r="P794" s="9"/>
      <c r="Q794" s="9"/>
    </row>
    <row r="795">
      <c r="O795" s="9"/>
      <c r="P795" s="9"/>
      <c r="Q795" s="9"/>
    </row>
    <row r="796">
      <c r="O796" s="9"/>
      <c r="P796" s="9"/>
      <c r="Q796" s="9"/>
    </row>
    <row r="797">
      <c r="O797" s="9"/>
      <c r="P797" s="9"/>
      <c r="Q797" s="9"/>
    </row>
    <row r="798">
      <c r="O798" s="9"/>
      <c r="P798" s="9"/>
      <c r="Q798" s="9"/>
    </row>
    <row r="799">
      <c r="O799" s="9"/>
      <c r="P799" s="9"/>
      <c r="Q799" s="9"/>
    </row>
    <row r="800">
      <c r="O800" s="9"/>
      <c r="P800" s="9"/>
      <c r="Q800" s="9"/>
    </row>
    <row r="801">
      <c r="O801" s="9"/>
      <c r="P801" s="9"/>
      <c r="Q801" s="9"/>
    </row>
    <row r="802">
      <c r="O802" s="9"/>
      <c r="P802" s="9"/>
      <c r="Q802" s="9"/>
    </row>
    <row r="803">
      <c r="O803" s="9"/>
      <c r="P803" s="9"/>
      <c r="Q803" s="9"/>
    </row>
    <row r="804">
      <c r="O804" s="9"/>
      <c r="P804" s="9"/>
      <c r="Q804" s="9"/>
    </row>
    <row r="805">
      <c r="O805" s="9"/>
      <c r="P805" s="9"/>
      <c r="Q805" s="9"/>
    </row>
    <row r="806">
      <c r="O806" s="9"/>
      <c r="P806" s="9"/>
      <c r="Q806" s="9"/>
    </row>
    <row r="807">
      <c r="O807" s="9"/>
      <c r="P807" s="9"/>
      <c r="Q807" s="9"/>
    </row>
    <row r="808">
      <c r="O808" s="9"/>
      <c r="P808" s="9"/>
      <c r="Q808" s="9"/>
    </row>
    <row r="809">
      <c r="O809" s="9"/>
      <c r="P809" s="9"/>
      <c r="Q809" s="9"/>
    </row>
    <row r="810">
      <c r="O810" s="9"/>
      <c r="P810" s="9"/>
      <c r="Q810" s="9"/>
    </row>
    <row r="811">
      <c r="O811" s="9"/>
      <c r="P811" s="9"/>
      <c r="Q811" s="9"/>
    </row>
    <row r="812">
      <c r="O812" s="9"/>
      <c r="P812" s="9"/>
      <c r="Q812" s="9"/>
    </row>
    <row r="813">
      <c r="O813" s="9"/>
      <c r="P813" s="9"/>
      <c r="Q813" s="9"/>
    </row>
    <row r="814">
      <c r="O814" s="9"/>
      <c r="P814" s="9"/>
      <c r="Q814" s="9"/>
    </row>
    <row r="815">
      <c r="O815" s="9"/>
      <c r="P815" s="9"/>
      <c r="Q815" s="9"/>
    </row>
    <row r="816">
      <c r="O816" s="9"/>
      <c r="P816" s="9"/>
      <c r="Q816" s="9"/>
    </row>
    <row r="817">
      <c r="O817" s="9"/>
      <c r="P817" s="9"/>
      <c r="Q817" s="9"/>
    </row>
    <row r="818">
      <c r="O818" s="9"/>
      <c r="P818" s="9"/>
      <c r="Q818" s="9"/>
    </row>
    <row r="819">
      <c r="O819" s="9"/>
      <c r="P819" s="9"/>
      <c r="Q819" s="9"/>
    </row>
    <row r="820">
      <c r="O820" s="9"/>
      <c r="P820" s="9"/>
      <c r="Q820" s="9"/>
    </row>
    <row r="821">
      <c r="O821" s="9"/>
      <c r="P821" s="9"/>
      <c r="Q821" s="9"/>
    </row>
    <row r="822">
      <c r="O822" s="9"/>
      <c r="P822" s="9"/>
      <c r="Q822" s="9"/>
    </row>
    <row r="823">
      <c r="O823" s="9"/>
      <c r="P823" s="9"/>
      <c r="Q823" s="9"/>
    </row>
    <row r="824">
      <c r="O824" s="9"/>
      <c r="P824" s="9"/>
      <c r="Q824" s="9"/>
    </row>
    <row r="825">
      <c r="O825" s="9"/>
      <c r="P825" s="9"/>
      <c r="Q825" s="9"/>
    </row>
    <row r="826">
      <c r="O826" s="9"/>
      <c r="P826" s="9"/>
      <c r="Q826" s="9"/>
    </row>
    <row r="827">
      <c r="O827" s="9"/>
      <c r="P827" s="9"/>
      <c r="Q827" s="9"/>
    </row>
    <row r="828">
      <c r="O828" s="9"/>
      <c r="P828" s="9"/>
      <c r="Q828" s="9"/>
    </row>
    <row r="829">
      <c r="O829" s="9"/>
      <c r="P829" s="9"/>
      <c r="Q829" s="9"/>
    </row>
    <row r="830">
      <c r="O830" s="9"/>
      <c r="P830" s="9"/>
      <c r="Q830" s="9"/>
    </row>
    <row r="831">
      <c r="O831" s="9"/>
      <c r="P831" s="9"/>
      <c r="Q831" s="9"/>
    </row>
    <row r="832">
      <c r="O832" s="9"/>
      <c r="P832" s="9"/>
      <c r="Q832" s="9"/>
    </row>
    <row r="833">
      <c r="O833" s="9"/>
      <c r="P833" s="9"/>
      <c r="Q833" s="9"/>
    </row>
    <row r="834">
      <c r="O834" s="9"/>
      <c r="P834" s="9"/>
      <c r="Q834" s="9"/>
    </row>
    <row r="835">
      <c r="O835" s="9"/>
      <c r="P835" s="9"/>
      <c r="Q835" s="9"/>
    </row>
    <row r="836">
      <c r="O836" s="9"/>
      <c r="P836" s="9"/>
      <c r="Q836" s="9"/>
    </row>
    <row r="837">
      <c r="O837" s="9"/>
      <c r="P837" s="9"/>
      <c r="Q837" s="9"/>
    </row>
    <row r="838">
      <c r="O838" s="9"/>
      <c r="P838" s="9"/>
      <c r="Q838" s="9"/>
    </row>
    <row r="839">
      <c r="O839" s="9"/>
      <c r="P839" s="9"/>
      <c r="Q839" s="9"/>
    </row>
    <row r="840">
      <c r="O840" s="9"/>
      <c r="P840" s="9"/>
      <c r="Q840" s="9"/>
    </row>
    <row r="841">
      <c r="O841" s="9"/>
      <c r="P841" s="9"/>
      <c r="Q841" s="9"/>
    </row>
    <row r="842">
      <c r="O842" s="9"/>
      <c r="P842" s="9"/>
      <c r="Q842" s="9"/>
    </row>
    <row r="843">
      <c r="O843" s="9"/>
      <c r="P843" s="9"/>
      <c r="Q843" s="9"/>
    </row>
    <row r="844">
      <c r="O844" s="9"/>
      <c r="P844" s="9"/>
      <c r="Q844" s="9"/>
    </row>
    <row r="845">
      <c r="O845" s="9"/>
      <c r="P845" s="9"/>
      <c r="Q845" s="9"/>
    </row>
    <row r="846">
      <c r="O846" s="9"/>
      <c r="P846" s="9"/>
      <c r="Q846" s="9"/>
    </row>
    <row r="847">
      <c r="O847" s="9"/>
      <c r="P847" s="9"/>
      <c r="Q847" s="9"/>
    </row>
    <row r="848">
      <c r="O848" s="9"/>
      <c r="P848" s="9"/>
      <c r="Q848" s="9"/>
    </row>
    <row r="849">
      <c r="O849" s="9"/>
      <c r="P849" s="9"/>
      <c r="Q849" s="9"/>
    </row>
    <row r="850">
      <c r="O850" s="9"/>
      <c r="P850" s="9"/>
      <c r="Q850" s="9"/>
    </row>
    <row r="851">
      <c r="O851" s="9"/>
      <c r="P851" s="9"/>
      <c r="Q851" s="9"/>
    </row>
    <row r="852">
      <c r="O852" s="9"/>
      <c r="P852" s="9"/>
      <c r="Q852" s="9"/>
    </row>
    <row r="853">
      <c r="O853" s="9"/>
      <c r="P853" s="9"/>
      <c r="Q853" s="9"/>
    </row>
    <row r="854">
      <c r="O854" s="9"/>
      <c r="P854" s="9"/>
      <c r="Q854" s="9"/>
    </row>
    <row r="855">
      <c r="O855" s="9"/>
      <c r="P855" s="9"/>
      <c r="Q855" s="9"/>
    </row>
    <row r="856">
      <c r="O856" s="9"/>
      <c r="P856" s="9"/>
      <c r="Q856" s="9"/>
    </row>
    <row r="857">
      <c r="O857" s="9"/>
      <c r="P857" s="9"/>
      <c r="Q857" s="9"/>
    </row>
    <row r="858">
      <c r="O858" s="9"/>
      <c r="P858" s="9"/>
      <c r="Q858" s="9"/>
    </row>
    <row r="859">
      <c r="O859" s="9"/>
      <c r="P859" s="9"/>
      <c r="Q859" s="9"/>
    </row>
    <row r="860">
      <c r="O860" s="9"/>
      <c r="P860" s="9"/>
      <c r="Q860" s="9"/>
    </row>
    <row r="861">
      <c r="O861" s="9"/>
      <c r="P861" s="9"/>
      <c r="Q861" s="9"/>
    </row>
    <row r="862">
      <c r="O862" s="9"/>
      <c r="P862" s="9"/>
      <c r="Q862" s="9"/>
    </row>
    <row r="863">
      <c r="O863" s="9"/>
      <c r="P863" s="9"/>
      <c r="Q863" s="9"/>
    </row>
    <row r="864">
      <c r="O864" s="9"/>
      <c r="P864" s="9"/>
      <c r="Q864" s="9"/>
    </row>
    <row r="865">
      <c r="O865" s="9"/>
      <c r="P865" s="9"/>
      <c r="Q865" s="9"/>
    </row>
    <row r="866">
      <c r="O866" s="9"/>
      <c r="P866" s="9"/>
      <c r="Q866" s="9"/>
    </row>
    <row r="867">
      <c r="O867" s="9"/>
      <c r="P867" s="9"/>
      <c r="Q867" s="9"/>
    </row>
    <row r="868">
      <c r="O868" s="9"/>
      <c r="P868" s="9"/>
      <c r="Q868" s="9"/>
    </row>
    <row r="869">
      <c r="O869" s="9"/>
      <c r="P869" s="9"/>
      <c r="Q869" s="9"/>
    </row>
    <row r="870">
      <c r="O870" s="9"/>
      <c r="P870" s="9"/>
      <c r="Q870" s="9"/>
    </row>
    <row r="871">
      <c r="O871" s="9"/>
      <c r="P871" s="9"/>
      <c r="Q871" s="9"/>
    </row>
    <row r="872">
      <c r="O872" s="9"/>
      <c r="P872" s="9"/>
      <c r="Q872" s="9"/>
    </row>
    <row r="873">
      <c r="O873" s="9"/>
      <c r="P873" s="9"/>
      <c r="Q873" s="9"/>
    </row>
    <row r="874">
      <c r="O874" s="9"/>
      <c r="P874" s="9"/>
      <c r="Q874" s="9"/>
    </row>
    <row r="875">
      <c r="O875" s="9"/>
      <c r="P875" s="9"/>
      <c r="Q875" s="9"/>
    </row>
    <row r="876">
      <c r="O876" s="9"/>
      <c r="P876" s="9"/>
      <c r="Q876" s="9"/>
    </row>
    <row r="877">
      <c r="O877" s="9"/>
      <c r="P877" s="9"/>
      <c r="Q877" s="9"/>
    </row>
    <row r="878">
      <c r="O878" s="9"/>
      <c r="P878" s="9"/>
      <c r="Q878" s="9"/>
    </row>
    <row r="879">
      <c r="O879" s="9"/>
      <c r="P879" s="9"/>
      <c r="Q879" s="9"/>
    </row>
    <row r="880">
      <c r="O880" s="9"/>
      <c r="P880" s="9"/>
      <c r="Q880" s="9"/>
    </row>
    <row r="881">
      <c r="O881" s="9"/>
      <c r="P881" s="9"/>
      <c r="Q881" s="9"/>
    </row>
    <row r="882">
      <c r="O882" s="9"/>
      <c r="P882" s="9"/>
      <c r="Q882" s="9"/>
    </row>
    <row r="883">
      <c r="O883" s="9"/>
      <c r="P883" s="9"/>
      <c r="Q883" s="9"/>
    </row>
    <row r="884">
      <c r="O884" s="9"/>
      <c r="P884" s="9"/>
      <c r="Q884" s="9"/>
    </row>
    <row r="885">
      <c r="O885" s="9"/>
      <c r="P885" s="9"/>
      <c r="Q885" s="9"/>
    </row>
    <row r="886">
      <c r="O886" s="9"/>
      <c r="P886" s="9"/>
      <c r="Q886" s="9"/>
    </row>
    <row r="887">
      <c r="O887" s="9"/>
      <c r="P887" s="9"/>
      <c r="Q887" s="9"/>
    </row>
    <row r="888">
      <c r="O888" s="9"/>
      <c r="P888" s="9"/>
      <c r="Q888" s="9"/>
    </row>
    <row r="889">
      <c r="O889" s="9"/>
      <c r="P889" s="9"/>
      <c r="Q889" s="9"/>
    </row>
    <row r="890">
      <c r="O890" s="9"/>
      <c r="P890" s="9"/>
      <c r="Q890" s="9"/>
    </row>
    <row r="891">
      <c r="O891" s="9"/>
      <c r="P891" s="9"/>
      <c r="Q891" s="9"/>
    </row>
    <row r="892">
      <c r="O892" s="9"/>
      <c r="P892" s="9"/>
      <c r="Q892" s="9"/>
    </row>
    <row r="893">
      <c r="O893" s="9"/>
      <c r="P893" s="9"/>
      <c r="Q893" s="9"/>
    </row>
    <row r="894">
      <c r="O894" s="9"/>
      <c r="P894" s="9"/>
      <c r="Q894" s="9"/>
    </row>
    <row r="895">
      <c r="O895" s="9"/>
      <c r="P895" s="9"/>
      <c r="Q895" s="9"/>
    </row>
    <row r="896">
      <c r="O896" s="9"/>
      <c r="P896" s="9"/>
      <c r="Q896" s="9"/>
    </row>
    <row r="897">
      <c r="O897" s="9"/>
      <c r="P897" s="9"/>
      <c r="Q897" s="9"/>
    </row>
    <row r="898">
      <c r="O898" s="9"/>
      <c r="P898" s="9"/>
      <c r="Q898" s="9"/>
    </row>
    <row r="899">
      <c r="O899" s="9"/>
      <c r="P899" s="9"/>
      <c r="Q899" s="9"/>
    </row>
    <row r="900">
      <c r="O900" s="9"/>
      <c r="P900" s="9"/>
      <c r="Q900" s="9"/>
    </row>
    <row r="901">
      <c r="O901" s="9"/>
      <c r="P901" s="9"/>
      <c r="Q901" s="9"/>
    </row>
    <row r="902">
      <c r="O902" s="9"/>
      <c r="P902" s="9"/>
      <c r="Q902" s="9"/>
    </row>
    <row r="903">
      <c r="O903" s="9"/>
      <c r="P903" s="9"/>
      <c r="Q903" s="9"/>
    </row>
    <row r="904">
      <c r="O904" s="9"/>
      <c r="P904" s="9"/>
      <c r="Q904" s="9"/>
    </row>
    <row r="905">
      <c r="O905" s="9"/>
      <c r="P905" s="9"/>
      <c r="Q905" s="9"/>
    </row>
    <row r="906">
      <c r="O906" s="9"/>
      <c r="P906" s="9"/>
      <c r="Q906" s="9"/>
    </row>
    <row r="907">
      <c r="O907" s="9"/>
      <c r="P907" s="9"/>
      <c r="Q907" s="9"/>
    </row>
    <row r="908">
      <c r="O908" s="9"/>
      <c r="P908" s="9"/>
      <c r="Q908" s="9"/>
    </row>
    <row r="909">
      <c r="O909" s="9"/>
      <c r="P909" s="9"/>
      <c r="Q909" s="9"/>
    </row>
    <row r="910">
      <c r="O910" s="9"/>
      <c r="P910" s="9"/>
      <c r="Q910" s="9"/>
    </row>
    <row r="911">
      <c r="O911" s="9"/>
      <c r="P911" s="9"/>
      <c r="Q911" s="9"/>
    </row>
    <row r="912">
      <c r="O912" s="9"/>
      <c r="P912" s="9"/>
      <c r="Q912" s="9"/>
    </row>
    <row r="913">
      <c r="O913" s="9"/>
      <c r="P913" s="9"/>
      <c r="Q913" s="9"/>
    </row>
    <row r="914">
      <c r="O914" s="9"/>
      <c r="P914" s="9"/>
      <c r="Q914" s="9"/>
    </row>
    <row r="915">
      <c r="O915" s="9"/>
      <c r="P915" s="9"/>
      <c r="Q915" s="9"/>
    </row>
    <row r="916">
      <c r="O916" s="9"/>
      <c r="P916" s="9"/>
      <c r="Q916" s="9"/>
    </row>
    <row r="917">
      <c r="O917" s="9"/>
      <c r="P917" s="9"/>
      <c r="Q917" s="9"/>
    </row>
    <row r="918">
      <c r="O918" s="9"/>
      <c r="P918" s="9"/>
      <c r="Q918" s="9"/>
    </row>
    <row r="919">
      <c r="O919" s="9"/>
      <c r="P919" s="9"/>
      <c r="Q919" s="9"/>
    </row>
    <row r="920">
      <c r="O920" s="9"/>
      <c r="P920" s="9"/>
      <c r="Q920" s="9"/>
    </row>
    <row r="921">
      <c r="O921" s="9"/>
      <c r="P921" s="9"/>
      <c r="Q921" s="9"/>
    </row>
    <row r="922">
      <c r="O922" s="9"/>
      <c r="P922" s="9"/>
      <c r="Q922" s="9"/>
    </row>
    <row r="923">
      <c r="O923" s="9"/>
      <c r="P923" s="9"/>
      <c r="Q923" s="9"/>
    </row>
    <row r="924">
      <c r="O924" s="9"/>
      <c r="P924" s="9"/>
      <c r="Q924" s="9"/>
    </row>
    <row r="925">
      <c r="O925" s="9"/>
      <c r="P925" s="9"/>
      <c r="Q925" s="9"/>
    </row>
    <row r="926">
      <c r="O926" s="9"/>
      <c r="P926" s="9"/>
      <c r="Q926" s="9"/>
    </row>
    <row r="927">
      <c r="O927" s="9"/>
      <c r="P927" s="9"/>
      <c r="Q927" s="9"/>
    </row>
    <row r="928">
      <c r="O928" s="9"/>
      <c r="P928" s="9"/>
      <c r="Q928" s="9"/>
    </row>
    <row r="929">
      <c r="O929" s="9"/>
      <c r="P929" s="9"/>
      <c r="Q929" s="9"/>
    </row>
    <row r="930">
      <c r="O930" s="9"/>
      <c r="P930" s="9"/>
      <c r="Q930" s="9"/>
    </row>
    <row r="931">
      <c r="O931" s="9"/>
      <c r="P931" s="9"/>
      <c r="Q931" s="9"/>
    </row>
    <row r="932">
      <c r="O932" s="9"/>
      <c r="P932" s="9"/>
      <c r="Q932" s="9"/>
    </row>
    <row r="933">
      <c r="O933" s="9"/>
      <c r="P933" s="9"/>
      <c r="Q933" s="9"/>
    </row>
    <row r="934">
      <c r="O934" s="9"/>
      <c r="P934" s="9"/>
      <c r="Q934" s="9"/>
    </row>
    <row r="935">
      <c r="O935" s="9"/>
      <c r="P935" s="9"/>
      <c r="Q935" s="9"/>
    </row>
    <row r="936">
      <c r="O936" s="9"/>
      <c r="P936" s="9"/>
      <c r="Q936" s="9"/>
    </row>
    <row r="937">
      <c r="O937" s="9"/>
      <c r="P937" s="9"/>
      <c r="Q937" s="9"/>
    </row>
    <row r="938">
      <c r="O938" s="9"/>
      <c r="P938" s="9"/>
      <c r="Q938" s="9"/>
    </row>
    <row r="939">
      <c r="O939" s="9"/>
      <c r="P939" s="9"/>
      <c r="Q939" s="9"/>
    </row>
    <row r="940">
      <c r="O940" s="9"/>
      <c r="P940" s="9"/>
      <c r="Q940" s="9"/>
    </row>
    <row r="941">
      <c r="O941" s="9"/>
      <c r="P941" s="9"/>
      <c r="Q941" s="9"/>
    </row>
    <row r="942">
      <c r="O942" s="9"/>
      <c r="P942" s="9"/>
      <c r="Q942" s="9"/>
    </row>
    <row r="943">
      <c r="O943" s="9"/>
      <c r="P943" s="9"/>
      <c r="Q943" s="9"/>
    </row>
    <row r="944">
      <c r="O944" s="9"/>
      <c r="P944" s="9"/>
      <c r="Q944" s="9"/>
    </row>
    <row r="945">
      <c r="O945" s="9"/>
      <c r="P945" s="9"/>
      <c r="Q945" s="9"/>
    </row>
    <row r="946">
      <c r="O946" s="9"/>
      <c r="P946" s="9"/>
      <c r="Q946" s="9"/>
    </row>
    <row r="947">
      <c r="O947" s="9"/>
      <c r="P947" s="9"/>
      <c r="Q947" s="9"/>
    </row>
    <row r="948">
      <c r="O948" s="9"/>
      <c r="P948" s="9"/>
      <c r="Q948" s="9"/>
    </row>
    <row r="949">
      <c r="O949" s="9"/>
      <c r="P949" s="9"/>
      <c r="Q949" s="9"/>
    </row>
    <row r="950">
      <c r="O950" s="9"/>
      <c r="P950" s="9"/>
      <c r="Q950" s="9"/>
    </row>
    <row r="951">
      <c r="O951" s="9"/>
      <c r="P951" s="9"/>
      <c r="Q951" s="9"/>
    </row>
    <row r="952">
      <c r="O952" s="9"/>
      <c r="P952" s="9"/>
      <c r="Q952" s="9"/>
    </row>
    <row r="953">
      <c r="O953" s="9"/>
      <c r="P953" s="9"/>
      <c r="Q953" s="9"/>
    </row>
    <row r="954">
      <c r="O954" s="9"/>
      <c r="P954" s="9"/>
      <c r="Q954" s="9"/>
    </row>
    <row r="955">
      <c r="O955" s="9"/>
      <c r="P955" s="9"/>
      <c r="Q955" s="9"/>
    </row>
    <row r="956">
      <c r="O956" s="9"/>
      <c r="P956" s="9"/>
      <c r="Q956" s="9"/>
    </row>
    <row r="957">
      <c r="O957" s="9"/>
      <c r="P957" s="9"/>
      <c r="Q957" s="9"/>
    </row>
    <row r="958">
      <c r="O958" s="9"/>
      <c r="P958" s="9"/>
      <c r="Q958" s="9"/>
    </row>
    <row r="959">
      <c r="O959" s="9"/>
      <c r="P959" s="9"/>
      <c r="Q959" s="9"/>
    </row>
    <row r="960">
      <c r="O960" s="9"/>
      <c r="P960" s="9"/>
      <c r="Q960" s="9"/>
    </row>
    <row r="961">
      <c r="O961" s="9"/>
      <c r="P961" s="9"/>
      <c r="Q961" s="9"/>
    </row>
    <row r="962">
      <c r="O962" s="9"/>
      <c r="P962" s="9"/>
      <c r="Q962" s="9"/>
    </row>
    <row r="963">
      <c r="O963" s="9"/>
      <c r="P963" s="9"/>
      <c r="Q963" s="9"/>
    </row>
    <row r="964">
      <c r="O964" s="9"/>
      <c r="P964" s="9"/>
      <c r="Q964" s="9"/>
    </row>
    <row r="965">
      <c r="O965" s="9"/>
      <c r="P965" s="9"/>
      <c r="Q965" s="9"/>
    </row>
    <row r="966">
      <c r="O966" s="9"/>
      <c r="P966" s="9"/>
      <c r="Q966" s="9"/>
    </row>
    <row r="967">
      <c r="O967" s="9"/>
      <c r="P967" s="9"/>
      <c r="Q967" s="9"/>
    </row>
    <row r="968">
      <c r="O968" s="9"/>
      <c r="P968" s="9"/>
      <c r="Q968" s="9"/>
    </row>
    <row r="969">
      <c r="O969" s="9"/>
      <c r="P969" s="9"/>
      <c r="Q969" s="9"/>
    </row>
    <row r="970">
      <c r="O970" s="9"/>
      <c r="P970" s="9"/>
      <c r="Q970" s="9"/>
    </row>
    <row r="971">
      <c r="O971" s="9"/>
      <c r="P971" s="9"/>
      <c r="Q971" s="9"/>
    </row>
    <row r="972">
      <c r="O972" s="9"/>
      <c r="P972" s="9"/>
      <c r="Q972" s="9"/>
    </row>
    <row r="973">
      <c r="O973" s="9"/>
      <c r="P973" s="9"/>
      <c r="Q973" s="9"/>
    </row>
    <row r="974">
      <c r="O974" s="9"/>
      <c r="P974" s="9"/>
      <c r="Q974" s="9"/>
    </row>
    <row r="975">
      <c r="O975" s="9"/>
      <c r="P975" s="9"/>
      <c r="Q975" s="9"/>
    </row>
    <row r="976">
      <c r="O976" s="9"/>
      <c r="P976" s="9"/>
      <c r="Q976" s="9"/>
    </row>
    <row r="977">
      <c r="O977" s="9"/>
      <c r="P977" s="9"/>
      <c r="Q977" s="9"/>
    </row>
    <row r="978">
      <c r="O978" s="9"/>
      <c r="P978" s="9"/>
      <c r="Q978" s="9"/>
    </row>
    <row r="979">
      <c r="O979" s="9"/>
      <c r="P979" s="9"/>
      <c r="Q979" s="9"/>
    </row>
    <row r="980">
      <c r="O980" s="9"/>
      <c r="P980" s="9"/>
      <c r="Q980" s="9"/>
    </row>
    <row r="981">
      <c r="O981" s="9"/>
      <c r="P981" s="9"/>
      <c r="Q981" s="9"/>
    </row>
    <row r="982">
      <c r="O982" s="9"/>
      <c r="P982" s="9"/>
      <c r="Q982" s="9"/>
    </row>
    <row r="983">
      <c r="O983" s="9"/>
      <c r="P983" s="9"/>
      <c r="Q983" s="9"/>
    </row>
    <row r="984">
      <c r="O984" s="9"/>
      <c r="P984" s="9"/>
      <c r="Q984" s="9"/>
    </row>
    <row r="985">
      <c r="O985" s="9"/>
      <c r="P985" s="9"/>
      <c r="Q985" s="9"/>
    </row>
    <row r="986">
      <c r="O986" s="9"/>
      <c r="P986" s="9"/>
      <c r="Q986" s="9"/>
    </row>
    <row r="987">
      <c r="O987" s="9"/>
      <c r="P987" s="9"/>
      <c r="Q987" s="9"/>
    </row>
    <row r="988">
      <c r="O988" s="9"/>
      <c r="P988" s="9"/>
      <c r="Q988" s="9"/>
    </row>
    <row r="989">
      <c r="O989" s="9"/>
      <c r="P989" s="9"/>
      <c r="Q989" s="9"/>
    </row>
    <row r="990">
      <c r="O990" s="9"/>
      <c r="P990" s="9"/>
      <c r="Q990" s="9"/>
    </row>
    <row r="991">
      <c r="O991" s="9"/>
      <c r="P991" s="9"/>
      <c r="Q991" s="9"/>
    </row>
    <row r="992">
      <c r="O992" s="9"/>
      <c r="P992" s="9"/>
      <c r="Q992" s="9"/>
    </row>
    <row r="993">
      <c r="O993" s="9"/>
      <c r="P993" s="9"/>
      <c r="Q993" s="9"/>
    </row>
    <row r="994">
      <c r="O994" s="9"/>
      <c r="P994" s="9"/>
      <c r="Q994" s="9"/>
    </row>
    <row r="995">
      <c r="O995" s="9"/>
      <c r="P995" s="9"/>
      <c r="Q995" s="9"/>
    </row>
    <row r="996">
      <c r="O996" s="9"/>
      <c r="P996" s="9"/>
      <c r="Q996" s="9"/>
    </row>
    <row r="997">
      <c r="O997" s="9"/>
      <c r="P997" s="9"/>
      <c r="Q997" s="9"/>
    </row>
    <row r="998">
      <c r="O998" s="9"/>
      <c r="P998" s="9"/>
      <c r="Q998" s="9"/>
    </row>
    <row r="999">
      <c r="O999" s="9"/>
      <c r="P999" s="9"/>
      <c r="Q999" s="9"/>
    </row>
  </sheetData>
  <mergeCells count="6">
    <mergeCell ref="B1:C1"/>
    <mergeCell ref="D1:E1"/>
    <mergeCell ref="F1:G1"/>
    <mergeCell ref="H1:I1"/>
    <mergeCell ref="J1:K1"/>
    <mergeCell ref="L1:M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 customWidth="1" min="15" max="15" width="19.88"/>
  </cols>
  <sheetData>
    <row r="1">
      <c r="A1" s="16" t="s">
        <v>0</v>
      </c>
      <c r="B1" s="21" t="s">
        <v>145</v>
      </c>
      <c r="C1" s="3"/>
      <c r="D1" s="21" t="s">
        <v>146</v>
      </c>
      <c r="E1" s="3"/>
      <c r="F1" s="56" t="s">
        <v>147</v>
      </c>
      <c r="G1" s="3"/>
      <c r="H1" s="21" t="s">
        <v>148</v>
      </c>
      <c r="I1" s="3"/>
      <c r="J1" s="21" t="s">
        <v>149</v>
      </c>
      <c r="K1" s="3"/>
      <c r="L1" s="21" t="s">
        <v>150</v>
      </c>
      <c r="M1" s="3"/>
      <c r="O1" s="39"/>
      <c r="P1" s="39"/>
      <c r="Q1" s="39"/>
    </row>
    <row r="2">
      <c r="A2" s="16" t="s">
        <v>151</v>
      </c>
      <c r="B2" s="16">
        <v>2025.0</v>
      </c>
      <c r="C2" s="16">
        <v>2026.0</v>
      </c>
      <c r="D2" s="16">
        <v>2025.0</v>
      </c>
      <c r="E2" s="16">
        <v>2026.0</v>
      </c>
      <c r="F2" s="57">
        <v>2025.0</v>
      </c>
      <c r="G2" s="57">
        <v>2026.0</v>
      </c>
      <c r="H2" s="16">
        <v>2025.0</v>
      </c>
      <c r="I2" s="16">
        <v>2026.0</v>
      </c>
      <c r="J2" s="16">
        <v>2025.0</v>
      </c>
      <c r="K2" s="16">
        <v>2026.0</v>
      </c>
      <c r="L2" s="16">
        <v>2025.0</v>
      </c>
      <c r="M2" s="16">
        <v>2026.0</v>
      </c>
      <c r="O2" s="9"/>
      <c r="P2" s="24"/>
      <c r="Q2" s="24"/>
    </row>
    <row r="3">
      <c r="A3" s="18" t="s">
        <v>140</v>
      </c>
      <c r="B3" s="42">
        <v>1.36367571E8</v>
      </c>
      <c r="C3" s="42">
        <v>1.13030114E8</v>
      </c>
      <c r="D3" s="28">
        <v>1.15507235E8</v>
      </c>
      <c r="E3" s="28">
        <v>8.7754076E7</v>
      </c>
      <c r="F3" s="58">
        <v>1.01119234E8</v>
      </c>
      <c r="G3" s="28">
        <v>1.02866336E8</v>
      </c>
      <c r="H3" s="18"/>
      <c r="I3" s="18"/>
      <c r="J3" s="18"/>
      <c r="K3" s="18"/>
      <c r="L3" s="18"/>
      <c r="M3" s="18"/>
      <c r="O3" s="59"/>
      <c r="P3" s="24"/>
      <c r="Q3" s="24"/>
    </row>
    <row r="4">
      <c r="A4" s="18" t="s">
        <v>131</v>
      </c>
      <c r="B4" s="42">
        <v>3.2878903E8</v>
      </c>
      <c r="C4" s="42">
        <v>2.96807051E8</v>
      </c>
      <c r="D4" s="28">
        <v>2.87166989E8</v>
      </c>
      <c r="E4" s="28">
        <v>2.5244954E8</v>
      </c>
      <c r="F4" s="28">
        <v>3.36800056E8</v>
      </c>
      <c r="G4" s="28">
        <v>3.56629312E8</v>
      </c>
      <c r="H4" s="18"/>
      <c r="I4" s="18"/>
      <c r="J4" s="18"/>
      <c r="K4" s="18"/>
      <c r="L4" s="18"/>
      <c r="M4" s="18"/>
      <c r="O4" s="9"/>
      <c r="P4" s="24"/>
      <c r="Q4" s="24"/>
    </row>
    <row r="5">
      <c r="A5" s="18" t="s">
        <v>136</v>
      </c>
      <c r="B5" s="42"/>
      <c r="C5" s="42">
        <v>2.10611522E8</v>
      </c>
      <c r="D5" s="18"/>
      <c r="E5" s="18"/>
      <c r="F5" s="60"/>
      <c r="G5" s="58">
        <v>2.45953493E8</v>
      </c>
      <c r="H5" s="18"/>
      <c r="I5" s="18"/>
      <c r="J5" s="18"/>
      <c r="K5" s="18"/>
      <c r="L5" s="18"/>
      <c r="M5" s="18"/>
      <c r="O5" s="9"/>
      <c r="P5" s="24"/>
      <c r="Q5" s="24"/>
    </row>
    <row r="6">
      <c r="A6" s="18" t="s">
        <v>135</v>
      </c>
      <c r="B6" s="42">
        <v>1.11337964E8</v>
      </c>
      <c r="C6" s="42">
        <v>8.4712958E7</v>
      </c>
      <c r="D6" s="28">
        <v>1.03970626E8</v>
      </c>
      <c r="E6" s="28">
        <v>6.6837271E7</v>
      </c>
      <c r="F6" s="58">
        <v>1.10321748E8</v>
      </c>
      <c r="G6" s="28">
        <v>8.1675734E7</v>
      </c>
      <c r="H6" s="18"/>
      <c r="I6" s="18"/>
      <c r="J6" s="18"/>
      <c r="K6" s="18"/>
      <c r="L6" s="18"/>
      <c r="M6" s="18"/>
      <c r="O6" s="59"/>
      <c r="P6" s="24"/>
      <c r="Q6" s="24"/>
    </row>
    <row r="7">
      <c r="A7" s="18" t="s">
        <v>122</v>
      </c>
      <c r="B7" s="42">
        <v>4.21061254E8</v>
      </c>
      <c r="C7" s="42">
        <v>3.29784772E8</v>
      </c>
      <c r="D7" s="28">
        <v>3.58453829E8</v>
      </c>
      <c r="E7" s="28">
        <v>2.56663268E8</v>
      </c>
      <c r="F7" s="28">
        <v>4.26503977E8</v>
      </c>
      <c r="G7" s="28">
        <v>3.54749572E8</v>
      </c>
      <c r="H7" s="18"/>
      <c r="I7" s="18"/>
      <c r="J7" s="18"/>
      <c r="K7" s="18"/>
      <c r="L7" s="18"/>
      <c r="M7" s="18"/>
      <c r="O7" s="59"/>
      <c r="P7" s="24"/>
      <c r="Q7" s="24"/>
    </row>
    <row r="8">
      <c r="A8" s="18" t="s">
        <v>116</v>
      </c>
      <c r="B8" s="42">
        <v>3.17406381E8</v>
      </c>
      <c r="C8" s="42">
        <v>3.35336106E8</v>
      </c>
      <c r="D8" s="28">
        <v>2.54452824E8</v>
      </c>
      <c r="E8" s="28">
        <v>2.90748668E8</v>
      </c>
      <c r="F8" s="58">
        <v>2.76079827E8</v>
      </c>
      <c r="G8" s="28">
        <v>4.0535149E8</v>
      </c>
      <c r="H8" s="18"/>
      <c r="I8" s="18"/>
      <c r="J8" s="18"/>
      <c r="K8" s="18"/>
      <c r="L8" s="18"/>
      <c r="M8" s="18"/>
      <c r="O8" s="59"/>
      <c r="P8" s="24"/>
      <c r="Q8" s="24"/>
    </row>
    <row r="9">
      <c r="A9" s="18" t="s">
        <v>133</v>
      </c>
      <c r="B9" s="42">
        <v>2.3694198E7</v>
      </c>
      <c r="C9" s="42">
        <v>1.87113299E8</v>
      </c>
      <c r="D9" s="28">
        <v>2.73192797E8</v>
      </c>
      <c r="E9" s="28">
        <v>1.46615274E8</v>
      </c>
      <c r="F9" s="28">
        <v>2.95961404E8</v>
      </c>
      <c r="G9" s="28">
        <v>2.29863427E8</v>
      </c>
      <c r="H9" s="28"/>
      <c r="I9" s="18"/>
      <c r="J9" s="18"/>
      <c r="K9" s="18"/>
      <c r="L9" s="18"/>
      <c r="M9" s="18"/>
      <c r="O9" s="59"/>
      <c r="P9" s="24"/>
      <c r="Q9" s="24"/>
    </row>
    <row r="10">
      <c r="A10" s="18" t="s">
        <v>138</v>
      </c>
      <c r="B10" s="42"/>
      <c r="C10" s="42">
        <v>1.38853819E8</v>
      </c>
      <c r="D10" s="18"/>
      <c r="E10" s="18"/>
      <c r="F10" s="60"/>
      <c r="G10" s="58">
        <v>1.32713419E8</v>
      </c>
      <c r="H10" s="18"/>
      <c r="I10" s="18"/>
      <c r="J10" s="18"/>
      <c r="K10" s="18"/>
      <c r="L10" s="18"/>
      <c r="M10" s="18"/>
      <c r="O10" s="59"/>
      <c r="P10" s="24"/>
      <c r="Q10" s="24"/>
    </row>
    <row r="11">
      <c r="A11" s="18" t="s">
        <v>143</v>
      </c>
      <c r="B11" s="42">
        <v>1.87168362E8</v>
      </c>
      <c r="C11" s="42">
        <v>1.89346846E8</v>
      </c>
      <c r="D11" s="28">
        <v>1.78784592E8</v>
      </c>
      <c r="E11" s="28">
        <v>1.54378504E8</v>
      </c>
      <c r="F11" s="58">
        <v>1.73299549E8</v>
      </c>
      <c r="G11" s="28">
        <v>1.90746962E8</v>
      </c>
      <c r="H11" s="18"/>
      <c r="I11" s="18"/>
      <c r="J11" s="18"/>
      <c r="K11" s="18"/>
      <c r="L11" s="18"/>
      <c r="M11" s="18"/>
      <c r="O11" s="59"/>
      <c r="P11" s="24"/>
      <c r="Q11" s="24"/>
    </row>
    <row r="12">
      <c r="A12" s="18" t="s">
        <v>137</v>
      </c>
      <c r="B12" s="42">
        <v>2.81577547E8</v>
      </c>
      <c r="C12" s="42">
        <v>2.2855537E8</v>
      </c>
      <c r="D12" s="28">
        <v>2.0314187E8</v>
      </c>
      <c r="E12" s="28">
        <v>1.83473662E8</v>
      </c>
      <c r="F12" s="58">
        <v>2.59696848E8</v>
      </c>
      <c r="G12" s="28">
        <v>2.56835476E8</v>
      </c>
      <c r="H12" s="18"/>
      <c r="I12" s="18"/>
      <c r="J12" s="18"/>
      <c r="K12" s="18"/>
      <c r="L12" s="18"/>
      <c r="M12" s="18"/>
      <c r="O12" s="59"/>
      <c r="P12" s="24"/>
      <c r="Q12" s="24"/>
    </row>
    <row r="13">
      <c r="A13" s="18" t="s">
        <v>128</v>
      </c>
      <c r="B13" s="42">
        <v>2.08957014E8</v>
      </c>
      <c r="C13" s="42">
        <v>1.53420087E8</v>
      </c>
      <c r="D13" s="28">
        <v>2.15689559E8</v>
      </c>
      <c r="E13" s="28">
        <v>1.5355062E8</v>
      </c>
      <c r="F13" s="58">
        <v>2.86903614E8</v>
      </c>
      <c r="G13" s="28">
        <v>2.63235458E8</v>
      </c>
      <c r="H13" s="18"/>
      <c r="I13" s="18"/>
      <c r="J13" s="18"/>
      <c r="K13" s="18"/>
      <c r="L13" s="18"/>
      <c r="M13" s="18"/>
      <c r="O13" s="59"/>
      <c r="P13" s="24"/>
      <c r="Q13" s="24"/>
    </row>
    <row r="14">
      <c r="A14" s="18" t="s">
        <v>121</v>
      </c>
      <c r="B14" s="42">
        <v>5.69893012E8</v>
      </c>
      <c r="C14" s="42">
        <v>4.20660123E8</v>
      </c>
      <c r="D14" s="28">
        <v>4.64579144E8</v>
      </c>
      <c r="E14" s="28">
        <v>3.22598069E8</v>
      </c>
      <c r="F14" s="28">
        <v>5.18819837E8</v>
      </c>
      <c r="G14" s="28">
        <v>4.35204393E8</v>
      </c>
      <c r="H14" s="18"/>
      <c r="I14" s="18"/>
      <c r="J14" s="18"/>
      <c r="K14" s="18"/>
      <c r="L14" s="18"/>
      <c r="M14" s="18"/>
      <c r="O14" s="59"/>
      <c r="P14" s="24"/>
      <c r="Q14" s="24"/>
    </row>
    <row r="15">
      <c r="A15" s="18" t="s">
        <v>139</v>
      </c>
      <c r="B15" s="42"/>
      <c r="C15" s="42">
        <v>1.58190542E8</v>
      </c>
      <c r="D15" s="18"/>
      <c r="E15" s="18"/>
      <c r="F15" s="60"/>
      <c r="G15" s="58">
        <v>1.61600861E8</v>
      </c>
      <c r="H15" s="18"/>
      <c r="I15" s="18"/>
      <c r="J15" s="18"/>
      <c r="K15" s="18"/>
      <c r="L15" s="18"/>
      <c r="M15" s="18"/>
      <c r="O15" s="59"/>
      <c r="P15" s="24"/>
      <c r="Q15" s="24"/>
    </row>
    <row r="16">
      <c r="A16" s="18" t="s">
        <v>142</v>
      </c>
      <c r="B16" s="42">
        <v>1.47106184E8</v>
      </c>
      <c r="C16" s="42">
        <v>1.43275207E8</v>
      </c>
      <c r="D16" s="28">
        <v>1.26733566E8</v>
      </c>
      <c r="E16" s="28">
        <v>1.09437921E8</v>
      </c>
      <c r="F16" s="58">
        <v>1.43999146E8</v>
      </c>
      <c r="G16" s="28">
        <v>1.29865728E8</v>
      </c>
      <c r="H16" s="18"/>
      <c r="I16" s="18"/>
      <c r="J16" s="18"/>
      <c r="K16" s="18"/>
      <c r="L16" s="18"/>
      <c r="M16" s="18"/>
      <c r="O16" s="59"/>
      <c r="P16" s="24"/>
      <c r="Q16" s="24"/>
    </row>
    <row r="17">
      <c r="A17" s="18" t="s">
        <v>132</v>
      </c>
      <c r="B17" s="42">
        <v>3.988665E8</v>
      </c>
      <c r="C17" s="42">
        <v>3.32121353E8</v>
      </c>
      <c r="D17" s="28">
        <v>3.38613861E8</v>
      </c>
      <c r="E17" s="28">
        <v>2.7130297E8</v>
      </c>
      <c r="F17" s="28">
        <v>4.52307368E8</v>
      </c>
      <c r="G17" s="28">
        <v>3.43698942E8</v>
      </c>
      <c r="H17" s="18"/>
      <c r="I17" s="18"/>
      <c r="J17" s="18"/>
      <c r="K17" s="18"/>
      <c r="L17" s="18"/>
      <c r="M17" s="18"/>
      <c r="O17" s="59"/>
      <c r="P17" s="24"/>
      <c r="Q17" s="24"/>
    </row>
    <row r="18">
      <c r="A18" s="18" t="s">
        <v>114</v>
      </c>
      <c r="B18" s="42">
        <v>2.1485559E8</v>
      </c>
      <c r="C18" s="42">
        <v>1.99659047E8</v>
      </c>
      <c r="D18" s="28">
        <v>1.76218223E8</v>
      </c>
      <c r="E18" s="28">
        <v>1.53898884E8</v>
      </c>
      <c r="F18" s="58">
        <v>2.47155599E8</v>
      </c>
      <c r="G18" s="28">
        <v>2.78330487E8</v>
      </c>
      <c r="H18" s="18"/>
      <c r="I18" s="18"/>
      <c r="J18" s="18"/>
      <c r="K18" s="18"/>
      <c r="L18" s="18"/>
      <c r="M18" s="18"/>
      <c r="O18" s="9"/>
      <c r="P18" s="24"/>
      <c r="Q18" s="24"/>
    </row>
    <row r="19">
      <c r="A19" s="18" t="s">
        <v>111</v>
      </c>
      <c r="B19" s="42">
        <v>2.16386403E8</v>
      </c>
      <c r="C19" s="42">
        <v>1.72679392E8</v>
      </c>
      <c r="D19" s="28">
        <v>1.59451279E8</v>
      </c>
      <c r="E19" s="28">
        <v>1.45140653E8</v>
      </c>
      <c r="F19" s="58">
        <v>1.99788228E8</v>
      </c>
      <c r="G19" s="28">
        <v>1.97593377E8</v>
      </c>
      <c r="H19" s="18"/>
      <c r="I19" s="18"/>
      <c r="J19" s="18"/>
      <c r="K19" s="18"/>
      <c r="L19" s="18"/>
      <c r="M19" s="18"/>
      <c r="O19" s="9"/>
      <c r="P19" s="24"/>
      <c r="Q19" s="24"/>
    </row>
    <row r="20">
      <c r="A20" s="18" t="s">
        <v>109</v>
      </c>
      <c r="B20" s="42"/>
      <c r="C20" s="42">
        <v>3.14527882E8</v>
      </c>
      <c r="D20" s="18"/>
      <c r="E20" s="18"/>
      <c r="F20" s="60"/>
      <c r="G20" s="58">
        <v>3.58869179E8</v>
      </c>
      <c r="H20" s="18"/>
      <c r="I20" s="18"/>
      <c r="J20" s="18"/>
      <c r="K20" s="18"/>
      <c r="L20" s="18"/>
      <c r="M20" s="18"/>
      <c r="O20" s="9"/>
      <c r="P20" s="24"/>
      <c r="Q20" s="24"/>
    </row>
    <row r="21">
      <c r="A21" s="18" t="s">
        <v>124</v>
      </c>
      <c r="B21" s="42">
        <v>2.28789958E8</v>
      </c>
      <c r="C21" s="42">
        <v>1.38339449E8</v>
      </c>
      <c r="D21" s="28">
        <v>2.09591143E8</v>
      </c>
      <c r="E21" s="28">
        <v>1.1114397E8</v>
      </c>
      <c r="F21" s="61">
        <v>2.46882574E8</v>
      </c>
      <c r="G21" s="28">
        <v>1.5157222E8</v>
      </c>
      <c r="H21" s="18"/>
      <c r="I21" s="18"/>
      <c r="J21" s="18"/>
      <c r="K21" s="18"/>
      <c r="L21" s="18"/>
      <c r="M21" s="18"/>
      <c r="O21" s="59"/>
      <c r="P21" s="24"/>
      <c r="Q21" s="24"/>
    </row>
    <row r="22">
      <c r="A22" s="18" t="s">
        <v>127</v>
      </c>
      <c r="B22" s="42">
        <v>2.09771E8</v>
      </c>
      <c r="C22" s="42">
        <v>2.20771426E8</v>
      </c>
      <c r="D22" s="28">
        <v>1.86904784E8</v>
      </c>
      <c r="E22" s="28">
        <v>1.92467933E8</v>
      </c>
      <c r="F22" s="58">
        <v>2.21642092E8</v>
      </c>
      <c r="G22" s="28">
        <v>2.48550222E8</v>
      </c>
      <c r="H22" s="18"/>
      <c r="I22" s="18"/>
      <c r="J22" s="18"/>
      <c r="K22" s="18"/>
      <c r="L22" s="18"/>
      <c r="M22" s="18"/>
      <c r="O22" s="59"/>
      <c r="P22" s="24"/>
      <c r="Q22" s="24"/>
    </row>
    <row r="23">
      <c r="A23" s="18" t="s">
        <v>130</v>
      </c>
      <c r="B23" s="42">
        <v>2.67506383E8</v>
      </c>
      <c r="C23" s="42">
        <v>2.42197237E8</v>
      </c>
      <c r="D23" s="28">
        <v>2.13184416E8</v>
      </c>
      <c r="E23" s="28">
        <v>2.18770351E8</v>
      </c>
      <c r="F23" s="58">
        <v>2.84104333E8</v>
      </c>
      <c r="G23" s="28">
        <v>3.05020918E8</v>
      </c>
      <c r="H23" s="18"/>
      <c r="I23" s="18"/>
      <c r="J23" s="18"/>
      <c r="K23" s="18"/>
      <c r="L23" s="18"/>
      <c r="M23" s="18"/>
      <c r="O23" s="9"/>
      <c r="P23" s="24"/>
      <c r="Q23" s="24"/>
    </row>
    <row r="24">
      <c r="A24" s="18" t="s">
        <v>141</v>
      </c>
      <c r="B24" s="42">
        <v>7.1463196E7</v>
      </c>
      <c r="C24" s="42">
        <v>6.9736127E7</v>
      </c>
      <c r="D24" s="28">
        <v>6.6457693E7</v>
      </c>
      <c r="E24" s="28">
        <v>5.990415E7</v>
      </c>
      <c r="F24" s="28">
        <v>5.926718E7</v>
      </c>
      <c r="G24" s="28">
        <v>6.7622328E7</v>
      </c>
      <c r="H24" s="18"/>
      <c r="I24" s="18"/>
      <c r="J24" s="18"/>
      <c r="K24" s="18"/>
      <c r="L24" s="18"/>
      <c r="M24" s="18"/>
      <c r="O24" s="59"/>
      <c r="P24" s="24"/>
      <c r="Q24" s="24"/>
    </row>
    <row r="25">
      <c r="A25" s="18" t="s">
        <v>123</v>
      </c>
      <c r="B25" s="42">
        <v>1.2180005E8</v>
      </c>
      <c r="C25" s="42">
        <v>1.46659741E8</v>
      </c>
      <c r="D25" s="28">
        <v>1.09240418E8</v>
      </c>
      <c r="E25" s="28">
        <v>1.33582293E8</v>
      </c>
      <c r="F25" s="58">
        <v>1.29677847E8</v>
      </c>
      <c r="G25" s="28">
        <v>1.88395447E8</v>
      </c>
      <c r="H25" s="18"/>
      <c r="I25" s="18"/>
      <c r="J25" s="18"/>
      <c r="K25" s="18"/>
      <c r="L25" s="18"/>
      <c r="M25" s="18"/>
      <c r="O25" s="59"/>
      <c r="P25" s="24"/>
      <c r="Q25" s="24"/>
    </row>
    <row r="26">
      <c r="A26" s="18" t="s">
        <v>112</v>
      </c>
      <c r="B26" s="42"/>
      <c r="C26" s="42">
        <v>1.46225635E8</v>
      </c>
      <c r="D26" s="18"/>
      <c r="E26" s="18"/>
      <c r="F26" s="58">
        <v>1.25791583E8</v>
      </c>
      <c r="G26" s="28">
        <v>1.9044631E8</v>
      </c>
      <c r="H26" s="18"/>
      <c r="I26" s="18"/>
      <c r="J26" s="18"/>
      <c r="K26" s="18"/>
      <c r="L26" s="18"/>
      <c r="M26" s="18"/>
      <c r="O26" s="59"/>
      <c r="P26" s="24"/>
      <c r="Q26" s="24"/>
    </row>
    <row r="27">
      <c r="A27" s="18" t="s">
        <v>134</v>
      </c>
      <c r="B27" s="42">
        <v>4.48712209E8</v>
      </c>
      <c r="C27" s="42">
        <v>1.73049992E8</v>
      </c>
      <c r="D27" s="28">
        <v>4.80197163E8</v>
      </c>
      <c r="E27" s="28">
        <v>1.30144779E8</v>
      </c>
      <c r="F27" s="28">
        <v>5.06123623E8</v>
      </c>
      <c r="G27" s="28">
        <v>2.24242619E8</v>
      </c>
      <c r="H27" s="18"/>
      <c r="I27" s="18"/>
      <c r="J27" s="18"/>
      <c r="K27" s="18"/>
      <c r="L27" s="18"/>
      <c r="M27" s="18"/>
      <c r="P27" s="62"/>
      <c r="Q27" s="62"/>
    </row>
    <row r="28">
      <c r="A28" s="18" t="s">
        <v>125</v>
      </c>
      <c r="B28" s="42">
        <v>2.65942893E8</v>
      </c>
      <c r="C28" s="42">
        <v>2.25520618E8</v>
      </c>
      <c r="D28" s="28">
        <v>2.06077549E8</v>
      </c>
      <c r="E28" s="28">
        <v>1.80999366E8</v>
      </c>
      <c r="F28" s="58">
        <v>2.58242922E8</v>
      </c>
      <c r="G28" s="28">
        <v>2.6222649E8</v>
      </c>
      <c r="H28" s="18"/>
      <c r="I28" s="18"/>
      <c r="J28" s="18"/>
      <c r="K28" s="18"/>
      <c r="L28" s="18"/>
      <c r="M28" s="18"/>
      <c r="O28" s="59"/>
      <c r="P28" s="53"/>
      <c r="Q28" s="53"/>
    </row>
    <row r="29">
      <c r="A29" s="18" t="s">
        <v>129</v>
      </c>
      <c r="B29" s="42">
        <v>3.03277791E8</v>
      </c>
      <c r="C29" s="42">
        <v>2.0800384E8</v>
      </c>
      <c r="D29" s="28">
        <v>2.45080626E8</v>
      </c>
      <c r="E29" s="28">
        <v>1.76047584E8</v>
      </c>
      <c r="F29" s="58">
        <v>2.96700667E8</v>
      </c>
      <c r="G29" s="28">
        <v>2.52184133E8</v>
      </c>
      <c r="H29" s="18"/>
      <c r="I29" s="18"/>
      <c r="J29" s="18"/>
      <c r="K29" s="18"/>
      <c r="L29" s="18"/>
      <c r="M29" s="18"/>
      <c r="O29" s="59"/>
      <c r="P29" s="53"/>
      <c r="Q29" s="53"/>
    </row>
    <row r="30">
      <c r="A30" s="18" t="s">
        <v>120</v>
      </c>
      <c r="B30" s="42"/>
      <c r="C30" s="42">
        <v>2.99781882E8</v>
      </c>
      <c r="D30" s="18"/>
      <c r="E30" s="18"/>
      <c r="F30" s="58">
        <v>3.62482444E8</v>
      </c>
      <c r="G30" s="28">
        <v>3.89392101E8</v>
      </c>
      <c r="H30" s="18"/>
      <c r="I30" s="18"/>
      <c r="J30" s="18"/>
      <c r="K30" s="18"/>
      <c r="L30" s="18"/>
      <c r="M30" s="18"/>
      <c r="O30" s="9"/>
      <c r="P30" s="53"/>
      <c r="Q30" s="53"/>
    </row>
    <row r="31">
      <c r="A31" s="18" t="s">
        <v>126</v>
      </c>
      <c r="B31" s="42"/>
      <c r="C31" s="42">
        <v>2.17597885E8</v>
      </c>
      <c r="D31" s="18"/>
      <c r="E31" s="18"/>
      <c r="F31" s="60"/>
      <c r="G31" s="58">
        <v>2.37591106E8</v>
      </c>
      <c r="H31" s="18"/>
      <c r="I31" s="18"/>
      <c r="J31" s="18"/>
      <c r="K31" s="18"/>
      <c r="L31" s="18"/>
      <c r="M31" s="18"/>
      <c r="O31" s="59"/>
      <c r="P31" s="53"/>
      <c r="Q31" s="53"/>
    </row>
    <row r="32">
      <c r="A32" s="18" t="s">
        <v>118</v>
      </c>
      <c r="B32" s="42">
        <v>2.34377443E8</v>
      </c>
      <c r="C32" s="42">
        <v>2.66147449E8</v>
      </c>
      <c r="D32" s="28">
        <v>2.0975545E8</v>
      </c>
      <c r="E32" s="28">
        <v>2.22853058E8</v>
      </c>
      <c r="F32" s="58">
        <v>2.68774315E8</v>
      </c>
      <c r="G32" s="58">
        <v>3.378349E8</v>
      </c>
      <c r="H32" s="18"/>
      <c r="I32" s="18"/>
      <c r="J32" s="18"/>
      <c r="K32" s="18"/>
      <c r="L32" s="18"/>
      <c r="M32" s="18"/>
      <c r="O32" s="9"/>
      <c r="P32" s="9"/>
      <c r="Q32" s="53"/>
    </row>
    <row r="33">
      <c r="F33" s="63"/>
      <c r="G33" s="63"/>
      <c r="O33" s="9"/>
      <c r="P33" s="53"/>
      <c r="Q33" s="53"/>
    </row>
    <row r="34">
      <c r="F34" s="63"/>
      <c r="G34" s="63"/>
      <c r="O34" s="9"/>
      <c r="P34" s="9"/>
      <c r="Q34" s="9"/>
    </row>
    <row r="35">
      <c r="F35" s="63"/>
      <c r="G35" s="63"/>
      <c r="O35" s="9"/>
      <c r="P35" s="9"/>
      <c r="Q35" s="9"/>
    </row>
    <row r="36">
      <c r="F36" s="63"/>
      <c r="G36" s="63"/>
      <c r="O36" s="9"/>
      <c r="P36" s="9"/>
      <c r="Q36" s="9"/>
    </row>
    <row r="37">
      <c r="F37" s="63"/>
      <c r="G37" s="63"/>
      <c r="O37" s="9"/>
      <c r="P37" s="9"/>
      <c r="Q37" s="9"/>
    </row>
    <row r="38">
      <c r="F38" s="63"/>
      <c r="G38" s="63"/>
      <c r="O38" s="9"/>
      <c r="P38" s="9"/>
      <c r="Q38" s="9"/>
    </row>
    <row r="39">
      <c r="F39" s="63"/>
      <c r="G39" s="63"/>
      <c r="O39" s="9"/>
      <c r="P39" s="9"/>
      <c r="Q39" s="9"/>
    </row>
    <row r="40">
      <c r="F40" s="63"/>
      <c r="G40" s="63"/>
      <c r="O40" s="9"/>
      <c r="P40" s="9"/>
      <c r="Q40" s="9"/>
    </row>
    <row r="41">
      <c r="F41" s="63"/>
      <c r="G41" s="63"/>
      <c r="O41" s="9"/>
      <c r="P41" s="9"/>
      <c r="Q41" s="9"/>
    </row>
    <row r="42">
      <c r="F42" s="63"/>
      <c r="G42" s="63"/>
      <c r="O42" s="9"/>
      <c r="P42" s="9"/>
      <c r="Q42" s="9"/>
    </row>
    <row r="43">
      <c r="F43" s="63"/>
      <c r="G43" s="63"/>
      <c r="O43" s="9"/>
      <c r="P43" s="9"/>
      <c r="Q43" s="9"/>
    </row>
    <row r="44">
      <c r="F44" s="63"/>
      <c r="G44" s="63"/>
      <c r="O44" s="9"/>
      <c r="P44" s="9"/>
      <c r="Q44" s="9"/>
    </row>
    <row r="45">
      <c r="F45" s="63"/>
      <c r="G45" s="63"/>
      <c r="O45" s="9"/>
      <c r="P45" s="9"/>
      <c r="Q45" s="9"/>
    </row>
    <row r="46">
      <c r="F46" s="63"/>
      <c r="G46" s="63"/>
      <c r="O46" s="9"/>
      <c r="P46" s="9"/>
      <c r="Q46" s="9"/>
    </row>
    <row r="47">
      <c r="F47" s="63"/>
      <c r="G47" s="63"/>
      <c r="O47" s="9"/>
      <c r="P47" s="9"/>
      <c r="Q47" s="9"/>
    </row>
    <row r="48">
      <c r="F48" s="63"/>
      <c r="G48" s="63"/>
      <c r="O48" s="9"/>
      <c r="P48" s="9"/>
      <c r="Q48" s="9"/>
    </row>
    <row r="49">
      <c r="F49" s="63"/>
      <c r="G49" s="63"/>
      <c r="O49" s="9"/>
      <c r="P49" s="9"/>
      <c r="Q49" s="9"/>
    </row>
    <row r="50">
      <c r="F50" s="63"/>
      <c r="G50" s="63"/>
      <c r="O50" s="9"/>
      <c r="P50" s="9"/>
      <c r="Q50" s="9"/>
    </row>
    <row r="51">
      <c r="F51" s="63"/>
      <c r="G51" s="63"/>
      <c r="O51" s="9"/>
      <c r="P51" s="9"/>
      <c r="Q51" s="9"/>
    </row>
    <row r="52">
      <c r="F52" s="63"/>
      <c r="G52" s="63"/>
      <c r="O52" s="9"/>
      <c r="P52" s="9"/>
      <c r="Q52" s="9"/>
    </row>
    <row r="53">
      <c r="F53" s="63"/>
      <c r="G53" s="63"/>
      <c r="O53" s="9"/>
      <c r="P53" s="9"/>
      <c r="Q53" s="9"/>
    </row>
    <row r="54">
      <c r="F54" s="63"/>
      <c r="G54" s="63"/>
      <c r="O54" s="9"/>
      <c r="P54" s="9"/>
      <c r="Q54" s="9"/>
    </row>
    <row r="55">
      <c r="F55" s="63"/>
      <c r="G55" s="63"/>
      <c r="O55" s="9"/>
      <c r="P55" s="9"/>
      <c r="Q55" s="9"/>
    </row>
    <row r="56">
      <c r="F56" s="63"/>
      <c r="G56" s="63"/>
      <c r="O56" s="9"/>
      <c r="P56" s="9"/>
      <c r="Q56" s="9"/>
    </row>
    <row r="57">
      <c r="F57" s="63"/>
      <c r="G57" s="63"/>
      <c r="O57" s="9"/>
      <c r="P57" s="9"/>
      <c r="Q57" s="9"/>
    </row>
    <row r="58">
      <c r="F58" s="63"/>
      <c r="G58" s="63"/>
      <c r="O58" s="9"/>
      <c r="P58" s="9"/>
      <c r="Q58" s="9"/>
    </row>
    <row r="59">
      <c r="F59" s="63"/>
      <c r="G59" s="63"/>
      <c r="O59" s="9"/>
      <c r="P59" s="9"/>
      <c r="Q59" s="9"/>
    </row>
    <row r="60">
      <c r="F60" s="63"/>
      <c r="G60" s="63"/>
      <c r="O60" s="9"/>
      <c r="P60" s="9"/>
      <c r="Q60" s="9"/>
    </row>
    <row r="61">
      <c r="F61" s="63"/>
      <c r="G61" s="63"/>
      <c r="O61" s="9"/>
      <c r="P61" s="9"/>
      <c r="Q61" s="9"/>
    </row>
    <row r="62">
      <c r="F62" s="63"/>
      <c r="G62" s="63"/>
      <c r="O62" s="9"/>
      <c r="P62" s="9"/>
      <c r="Q62" s="9"/>
    </row>
    <row r="63">
      <c r="F63" s="63"/>
      <c r="G63" s="63"/>
      <c r="O63" s="9"/>
      <c r="P63" s="9"/>
      <c r="Q63" s="9"/>
    </row>
    <row r="64">
      <c r="F64" s="63"/>
      <c r="G64" s="63"/>
      <c r="O64" s="9"/>
      <c r="P64" s="9"/>
      <c r="Q64" s="9"/>
    </row>
    <row r="65">
      <c r="F65" s="63"/>
      <c r="G65" s="63"/>
      <c r="O65" s="9"/>
      <c r="P65" s="9"/>
      <c r="Q65" s="9"/>
    </row>
    <row r="66">
      <c r="F66" s="63"/>
      <c r="G66" s="63"/>
      <c r="O66" s="9"/>
      <c r="P66" s="9"/>
      <c r="Q66" s="9"/>
    </row>
    <row r="67">
      <c r="F67" s="63"/>
      <c r="G67" s="63"/>
      <c r="O67" s="9"/>
      <c r="P67" s="9"/>
      <c r="Q67" s="9"/>
    </row>
    <row r="68">
      <c r="F68" s="63"/>
      <c r="G68" s="63"/>
      <c r="O68" s="9"/>
      <c r="P68" s="9"/>
      <c r="Q68" s="9"/>
    </row>
    <row r="69">
      <c r="F69" s="63"/>
      <c r="G69" s="63"/>
      <c r="O69" s="9"/>
      <c r="P69" s="9"/>
      <c r="Q69" s="9"/>
    </row>
    <row r="70">
      <c r="F70" s="63"/>
      <c r="G70" s="63"/>
      <c r="O70" s="9"/>
      <c r="P70" s="9"/>
      <c r="Q70" s="9"/>
    </row>
    <row r="71">
      <c r="F71" s="63"/>
      <c r="G71" s="63"/>
      <c r="O71" s="9"/>
      <c r="P71" s="9"/>
      <c r="Q71" s="9"/>
    </row>
    <row r="72">
      <c r="F72" s="63"/>
      <c r="G72" s="63"/>
      <c r="O72" s="9"/>
      <c r="P72" s="9"/>
      <c r="Q72" s="9"/>
    </row>
    <row r="73">
      <c r="F73" s="63"/>
      <c r="G73" s="63"/>
      <c r="O73" s="9"/>
      <c r="P73" s="9"/>
      <c r="Q73" s="9"/>
    </row>
    <row r="74">
      <c r="F74" s="63"/>
      <c r="G74" s="63"/>
      <c r="O74" s="9"/>
      <c r="P74" s="9"/>
      <c r="Q74" s="9"/>
    </row>
    <row r="75">
      <c r="F75" s="63"/>
      <c r="G75" s="63"/>
      <c r="O75" s="9"/>
      <c r="P75" s="9"/>
      <c r="Q75" s="9"/>
    </row>
    <row r="76">
      <c r="F76" s="63"/>
      <c r="G76" s="63"/>
      <c r="O76" s="9"/>
      <c r="P76" s="9"/>
      <c r="Q76" s="9"/>
    </row>
    <row r="77">
      <c r="F77" s="63"/>
      <c r="G77" s="63"/>
      <c r="O77" s="9"/>
      <c r="P77" s="9"/>
      <c r="Q77" s="9"/>
    </row>
    <row r="78">
      <c r="F78" s="63"/>
      <c r="G78" s="63"/>
      <c r="O78" s="9"/>
      <c r="P78" s="9"/>
      <c r="Q78" s="9"/>
    </row>
    <row r="79">
      <c r="F79" s="63"/>
      <c r="G79" s="63"/>
      <c r="O79" s="9"/>
      <c r="P79" s="9"/>
      <c r="Q79" s="9"/>
    </row>
    <row r="80">
      <c r="F80" s="63"/>
      <c r="G80" s="63"/>
      <c r="O80" s="9"/>
      <c r="P80" s="9"/>
      <c r="Q80" s="9"/>
    </row>
    <row r="81">
      <c r="F81" s="63"/>
      <c r="G81" s="63"/>
      <c r="O81" s="9"/>
      <c r="P81" s="9"/>
      <c r="Q81" s="9"/>
    </row>
    <row r="82">
      <c r="F82" s="63"/>
      <c r="G82" s="63"/>
      <c r="O82" s="9"/>
      <c r="P82" s="9"/>
      <c r="Q82" s="9"/>
    </row>
    <row r="83">
      <c r="F83" s="63"/>
      <c r="G83" s="63"/>
      <c r="O83" s="9"/>
      <c r="P83" s="9"/>
      <c r="Q83" s="9"/>
    </row>
    <row r="84">
      <c r="F84" s="63"/>
      <c r="G84" s="63"/>
      <c r="O84" s="9"/>
      <c r="P84" s="9"/>
      <c r="Q84" s="9"/>
    </row>
    <row r="85">
      <c r="F85" s="63"/>
      <c r="G85" s="63"/>
      <c r="O85" s="9"/>
      <c r="P85" s="9"/>
      <c r="Q85" s="9"/>
    </row>
    <row r="86">
      <c r="F86" s="63"/>
      <c r="G86" s="63"/>
      <c r="O86" s="9"/>
      <c r="P86" s="9"/>
      <c r="Q86" s="9"/>
    </row>
    <row r="87">
      <c r="F87" s="63"/>
      <c r="G87" s="63"/>
      <c r="O87" s="9"/>
      <c r="P87" s="9"/>
      <c r="Q87" s="9"/>
    </row>
    <row r="88">
      <c r="F88" s="63"/>
      <c r="G88" s="63"/>
      <c r="O88" s="9"/>
      <c r="P88" s="9"/>
      <c r="Q88" s="9"/>
    </row>
    <row r="89">
      <c r="F89" s="63"/>
      <c r="G89" s="63"/>
      <c r="O89" s="9"/>
      <c r="P89" s="9"/>
      <c r="Q89" s="9"/>
    </row>
    <row r="90">
      <c r="F90" s="63"/>
      <c r="G90" s="63"/>
      <c r="O90" s="9"/>
      <c r="P90" s="9"/>
      <c r="Q90" s="9"/>
    </row>
    <row r="91">
      <c r="F91" s="63"/>
      <c r="G91" s="63"/>
      <c r="O91" s="9"/>
      <c r="P91" s="9"/>
      <c r="Q91" s="9"/>
    </row>
    <row r="92">
      <c r="F92" s="63"/>
      <c r="G92" s="63"/>
      <c r="O92" s="9"/>
      <c r="P92" s="9"/>
      <c r="Q92" s="9"/>
    </row>
    <row r="93">
      <c r="F93" s="63"/>
      <c r="G93" s="63"/>
      <c r="O93" s="9"/>
      <c r="P93" s="9"/>
      <c r="Q93" s="9"/>
    </row>
    <row r="94">
      <c r="F94" s="63"/>
      <c r="G94" s="63"/>
      <c r="O94" s="9"/>
      <c r="P94" s="9"/>
      <c r="Q94" s="9"/>
    </row>
    <row r="95">
      <c r="F95" s="63"/>
      <c r="G95" s="63"/>
      <c r="O95" s="9"/>
      <c r="P95" s="9"/>
      <c r="Q95" s="9"/>
    </row>
    <row r="96">
      <c r="F96" s="63"/>
      <c r="G96" s="63"/>
      <c r="O96" s="9"/>
      <c r="P96" s="9"/>
      <c r="Q96" s="9"/>
    </row>
    <row r="97">
      <c r="F97" s="63"/>
      <c r="G97" s="63"/>
      <c r="O97" s="9"/>
      <c r="P97" s="9"/>
      <c r="Q97" s="9"/>
    </row>
    <row r="98">
      <c r="F98" s="63"/>
      <c r="G98" s="63"/>
      <c r="O98" s="9"/>
      <c r="P98" s="9"/>
      <c r="Q98" s="9"/>
    </row>
    <row r="99">
      <c r="F99" s="63"/>
      <c r="G99" s="63"/>
      <c r="O99" s="9"/>
      <c r="P99" s="9"/>
      <c r="Q99" s="9"/>
    </row>
    <row r="100">
      <c r="F100" s="63"/>
      <c r="G100" s="63"/>
      <c r="O100" s="9"/>
      <c r="P100" s="9"/>
      <c r="Q100" s="9"/>
    </row>
    <row r="101">
      <c r="F101" s="63"/>
      <c r="G101" s="63"/>
      <c r="O101" s="9"/>
      <c r="P101" s="9"/>
      <c r="Q101" s="9"/>
    </row>
    <row r="102">
      <c r="F102" s="63"/>
      <c r="G102" s="63"/>
      <c r="O102" s="9"/>
      <c r="P102" s="9"/>
      <c r="Q102" s="9"/>
    </row>
    <row r="103">
      <c r="F103" s="63"/>
      <c r="G103" s="63"/>
      <c r="O103" s="9"/>
      <c r="P103" s="9"/>
      <c r="Q103" s="9"/>
    </row>
    <row r="104">
      <c r="F104" s="63"/>
      <c r="G104" s="63"/>
      <c r="O104" s="9"/>
      <c r="P104" s="9"/>
      <c r="Q104" s="9"/>
    </row>
    <row r="105">
      <c r="F105" s="63"/>
      <c r="G105" s="63"/>
      <c r="O105" s="9"/>
      <c r="P105" s="9"/>
      <c r="Q105" s="9"/>
    </row>
    <row r="106">
      <c r="F106" s="63"/>
      <c r="G106" s="63"/>
      <c r="O106" s="9"/>
      <c r="P106" s="9"/>
      <c r="Q106" s="9"/>
    </row>
    <row r="107">
      <c r="F107" s="63"/>
      <c r="G107" s="63"/>
      <c r="O107" s="9"/>
      <c r="P107" s="9"/>
      <c r="Q107" s="9"/>
    </row>
    <row r="108">
      <c r="F108" s="63"/>
      <c r="G108" s="63"/>
      <c r="O108" s="9"/>
      <c r="P108" s="9"/>
      <c r="Q108" s="9"/>
    </row>
    <row r="109">
      <c r="F109" s="63"/>
      <c r="G109" s="63"/>
      <c r="O109" s="9"/>
      <c r="P109" s="9"/>
      <c r="Q109" s="9"/>
    </row>
    <row r="110">
      <c r="F110" s="63"/>
      <c r="G110" s="63"/>
      <c r="O110" s="9"/>
      <c r="P110" s="9"/>
      <c r="Q110" s="9"/>
    </row>
    <row r="111">
      <c r="F111" s="63"/>
      <c r="G111" s="63"/>
      <c r="O111" s="9"/>
      <c r="P111" s="9"/>
      <c r="Q111" s="9"/>
    </row>
    <row r="112">
      <c r="F112" s="63"/>
      <c r="G112" s="63"/>
      <c r="O112" s="9"/>
      <c r="P112" s="9"/>
      <c r="Q112" s="9"/>
    </row>
    <row r="113">
      <c r="F113" s="63"/>
      <c r="G113" s="63"/>
      <c r="O113" s="9"/>
      <c r="P113" s="9"/>
      <c r="Q113" s="9"/>
    </row>
    <row r="114">
      <c r="F114" s="63"/>
      <c r="G114" s="63"/>
      <c r="O114" s="9"/>
      <c r="P114" s="9"/>
      <c r="Q114" s="9"/>
    </row>
    <row r="115">
      <c r="F115" s="63"/>
      <c r="G115" s="63"/>
      <c r="O115" s="9"/>
      <c r="P115" s="9"/>
      <c r="Q115" s="9"/>
    </row>
    <row r="116">
      <c r="F116" s="63"/>
      <c r="G116" s="63"/>
      <c r="O116" s="9"/>
      <c r="P116" s="9"/>
      <c r="Q116" s="9"/>
    </row>
    <row r="117">
      <c r="F117" s="63"/>
      <c r="G117" s="63"/>
      <c r="O117" s="9"/>
      <c r="P117" s="9"/>
      <c r="Q117" s="9"/>
    </row>
    <row r="118">
      <c r="F118" s="63"/>
      <c r="G118" s="63"/>
      <c r="O118" s="9"/>
      <c r="P118" s="9"/>
      <c r="Q118" s="9"/>
    </row>
    <row r="119">
      <c r="F119" s="63"/>
      <c r="G119" s="63"/>
      <c r="O119" s="9"/>
      <c r="P119" s="9"/>
      <c r="Q119" s="9"/>
    </row>
    <row r="120">
      <c r="F120" s="63"/>
      <c r="G120" s="63"/>
      <c r="O120" s="9"/>
      <c r="P120" s="9"/>
      <c r="Q120" s="9"/>
    </row>
    <row r="121">
      <c r="F121" s="63"/>
      <c r="G121" s="63"/>
      <c r="O121" s="9"/>
      <c r="P121" s="9"/>
      <c r="Q121" s="9"/>
    </row>
    <row r="122">
      <c r="F122" s="63"/>
      <c r="G122" s="63"/>
      <c r="O122" s="9"/>
      <c r="P122" s="9"/>
      <c r="Q122" s="9"/>
    </row>
    <row r="123">
      <c r="F123" s="63"/>
      <c r="G123" s="63"/>
      <c r="O123" s="9"/>
      <c r="P123" s="9"/>
      <c r="Q123" s="9"/>
    </row>
    <row r="124">
      <c r="F124" s="63"/>
      <c r="G124" s="63"/>
      <c r="O124" s="9"/>
      <c r="P124" s="9"/>
      <c r="Q124" s="9"/>
    </row>
    <row r="125">
      <c r="F125" s="63"/>
      <c r="G125" s="63"/>
      <c r="O125" s="9"/>
      <c r="P125" s="9"/>
      <c r="Q125" s="9"/>
    </row>
    <row r="126">
      <c r="F126" s="63"/>
      <c r="G126" s="63"/>
      <c r="O126" s="9"/>
      <c r="P126" s="9"/>
      <c r="Q126" s="9"/>
    </row>
    <row r="127">
      <c r="F127" s="63"/>
      <c r="G127" s="63"/>
      <c r="O127" s="9"/>
      <c r="P127" s="9"/>
      <c r="Q127" s="9"/>
    </row>
    <row r="128">
      <c r="F128" s="63"/>
      <c r="G128" s="63"/>
      <c r="O128" s="9"/>
      <c r="P128" s="9"/>
      <c r="Q128" s="9"/>
    </row>
    <row r="129">
      <c r="F129" s="63"/>
      <c r="G129" s="63"/>
      <c r="O129" s="9"/>
      <c r="P129" s="9"/>
      <c r="Q129" s="9"/>
    </row>
    <row r="130">
      <c r="F130" s="63"/>
      <c r="G130" s="63"/>
      <c r="O130" s="9"/>
      <c r="P130" s="9"/>
      <c r="Q130" s="9"/>
    </row>
    <row r="131">
      <c r="F131" s="63"/>
      <c r="G131" s="63"/>
      <c r="O131" s="9"/>
      <c r="P131" s="9"/>
      <c r="Q131" s="9"/>
    </row>
    <row r="132">
      <c r="F132" s="63"/>
      <c r="G132" s="63"/>
      <c r="O132" s="9"/>
      <c r="P132" s="9"/>
      <c r="Q132" s="9"/>
    </row>
    <row r="133">
      <c r="F133" s="63"/>
      <c r="G133" s="63"/>
      <c r="O133" s="9"/>
      <c r="P133" s="9"/>
      <c r="Q133" s="9"/>
    </row>
    <row r="134">
      <c r="F134" s="63"/>
      <c r="G134" s="63"/>
      <c r="O134" s="9"/>
      <c r="P134" s="9"/>
      <c r="Q134" s="9"/>
    </row>
    <row r="135">
      <c r="F135" s="63"/>
      <c r="G135" s="63"/>
      <c r="O135" s="9"/>
      <c r="P135" s="9"/>
      <c r="Q135" s="9"/>
    </row>
    <row r="136">
      <c r="F136" s="63"/>
      <c r="G136" s="63"/>
      <c r="O136" s="9"/>
      <c r="P136" s="9"/>
      <c r="Q136" s="9"/>
    </row>
    <row r="137">
      <c r="F137" s="63"/>
      <c r="G137" s="63"/>
      <c r="O137" s="9"/>
      <c r="P137" s="9"/>
      <c r="Q137" s="9"/>
    </row>
    <row r="138">
      <c r="F138" s="63"/>
      <c r="G138" s="63"/>
      <c r="O138" s="9"/>
      <c r="P138" s="9"/>
      <c r="Q138" s="9"/>
    </row>
    <row r="139">
      <c r="F139" s="63"/>
      <c r="G139" s="63"/>
      <c r="O139" s="9"/>
      <c r="P139" s="9"/>
      <c r="Q139" s="9"/>
    </row>
    <row r="140">
      <c r="F140" s="63"/>
      <c r="G140" s="63"/>
      <c r="O140" s="9"/>
      <c r="P140" s="9"/>
      <c r="Q140" s="9"/>
    </row>
    <row r="141">
      <c r="F141" s="63"/>
      <c r="G141" s="63"/>
      <c r="O141" s="9"/>
      <c r="P141" s="9"/>
      <c r="Q141" s="9"/>
    </row>
    <row r="142">
      <c r="F142" s="63"/>
      <c r="G142" s="63"/>
      <c r="O142" s="9"/>
      <c r="P142" s="9"/>
      <c r="Q142" s="9"/>
    </row>
    <row r="143">
      <c r="F143" s="63"/>
      <c r="G143" s="63"/>
      <c r="O143" s="9"/>
      <c r="P143" s="9"/>
      <c r="Q143" s="9"/>
    </row>
    <row r="144">
      <c r="F144" s="63"/>
      <c r="G144" s="63"/>
      <c r="O144" s="9"/>
      <c r="P144" s="9"/>
      <c r="Q144" s="9"/>
    </row>
    <row r="145">
      <c r="F145" s="63"/>
      <c r="G145" s="63"/>
      <c r="O145" s="9"/>
      <c r="P145" s="9"/>
      <c r="Q145" s="9"/>
    </row>
    <row r="146">
      <c r="F146" s="63"/>
      <c r="G146" s="63"/>
      <c r="O146" s="9"/>
      <c r="P146" s="9"/>
      <c r="Q146" s="9"/>
    </row>
    <row r="147">
      <c r="F147" s="63"/>
      <c r="G147" s="63"/>
      <c r="O147" s="9"/>
      <c r="P147" s="9"/>
      <c r="Q147" s="9"/>
    </row>
    <row r="148">
      <c r="F148" s="63"/>
      <c r="G148" s="63"/>
      <c r="O148" s="9"/>
      <c r="P148" s="9"/>
      <c r="Q148" s="9"/>
    </row>
    <row r="149">
      <c r="F149" s="63"/>
      <c r="G149" s="63"/>
      <c r="O149" s="9"/>
      <c r="P149" s="9"/>
      <c r="Q149" s="9"/>
    </row>
    <row r="150">
      <c r="F150" s="63"/>
      <c r="G150" s="63"/>
      <c r="O150" s="9"/>
      <c r="P150" s="9"/>
      <c r="Q150" s="9"/>
    </row>
    <row r="151">
      <c r="F151" s="63"/>
      <c r="G151" s="63"/>
      <c r="O151" s="9"/>
      <c r="P151" s="9"/>
      <c r="Q151" s="9"/>
    </row>
    <row r="152">
      <c r="F152" s="63"/>
      <c r="G152" s="63"/>
      <c r="O152" s="9"/>
      <c r="P152" s="9"/>
      <c r="Q152" s="9"/>
    </row>
    <row r="153">
      <c r="F153" s="63"/>
      <c r="G153" s="63"/>
      <c r="O153" s="9"/>
      <c r="P153" s="9"/>
      <c r="Q153" s="9"/>
    </row>
    <row r="154">
      <c r="F154" s="63"/>
      <c r="G154" s="63"/>
      <c r="O154" s="9"/>
      <c r="P154" s="9"/>
      <c r="Q154" s="9"/>
    </row>
    <row r="155">
      <c r="F155" s="63"/>
      <c r="G155" s="63"/>
      <c r="O155" s="9"/>
      <c r="P155" s="9"/>
      <c r="Q155" s="9"/>
    </row>
    <row r="156">
      <c r="F156" s="63"/>
      <c r="G156" s="63"/>
      <c r="O156" s="9"/>
      <c r="P156" s="9"/>
      <c r="Q156" s="9"/>
    </row>
    <row r="157">
      <c r="F157" s="63"/>
      <c r="G157" s="63"/>
      <c r="O157" s="9"/>
      <c r="P157" s="9"/>
      <c r="Q157" s="9"/>
    </row>
    <row r="158">
      <c r="F158" s="63"/>
      <c r="G158" s="63"/>
      <c r="O158" s="9"/>
      <c r="P158" s="9"/>
      <c r="Q158" s="9"/>
    </row>
    <row r="159">
      <c r="F159" s="63"/>
      <c r="G159" s="63"/>
      <c r="O159" s="9"/>
      <c r="P159" s="9"/>
      <c r="Q159" s="9"/>
    </row>
    <row r="160">
      <c r="F160" s="63"/>
      <c r="G160" s="63"/>
      <c r="O160" s="9"/>
      <c r="P160" s="9"/>
      <c r="Q160" s="9"/>
    </row>
    <row r="161">
      <c r="F161" s="63"/>
      <c r="G161" s="63"/>
      <c r="O161" s="9"/>
      <c r="P161" s="9"/>
      <c r="Q161" s="9"/>
    </row>
    <row r="162">
      <c r="F162" s="63"/>
      <c r="G162" s="63"/>
      <c r="O162" s="9"/>
      <c r="P162" s="9"/>
      <c r="Q162" s="9"/>
    </row>
    <row r="163">
      <c r="F163" s="63"/>
      <c r="G163" s="63"/>
      <c r="O163" s="9"/>
      <c r="P163" s="9"/>
      <c r="Q163" s="9"/>
    </row>
    <row r="164">
      <c r="F164" s="63"/>
      <c r="G164" s="63"/>
      <c r="O164" s="9"/>
      <c r="P164" s="9"/>
      <c r="Q164" s="9"/>
    </row>
    <row r="165">
      <c r="F165" s="63"/>
      <c r="G165" s="63"/>
      <c r="O165" s="9"/>
      <c r="P165" s="9"/>
      <c r="Q165" s="9"/>
    </row>
    <row r="166">
      <c r="F166" s="63"/>
      <c r="G166" s="63"/>
      <c r="O166" s="9"/>
      <c r="P166" s="9"/>
      <c r="Q166" s="9"/>
    </row>
    <row r="167">
      <c r="F167" s="63"/>
      <c r="G167" s="63"/>
      <c r="O167" s="9"/>
      <c r="P167" s="9"/>
      <c r="Q167" s="9"/>
    </row>
    <row r="168">
      <c r="F168" s="63"/>
      <c r="G168" s="63"/>
      <c r="O168" s="9"/>
      <c r="P168" s="9"/>
      <c r="Q168" s="9"/>
    </row>
    <row r="169">
      <c r="F169" s="63"/>
      <c r="G169" s="63"/>
      <c r="O169" s="9"/>
      <c r="P169" s="9"/>
      <c r="Q169" s="9"/>
    </row>
    <row r="170">
      <c r="F170" s="63"/>
      <c r="G170" s="63"/>
      <c r="O170" s="9"/>
      <c r="P170" s="9"/>
      <c r="Q170" s="9"/>
    </row>
    <row r="171">
      <c r="F171" s="63"/>
      <c r="G171" s="63"/>
      <c r="O171" s="9"/>
      <c r="P171" s="9"/>
      <c r="Q171" s="9"/>
    </row>
    <row r="172">
      <c r="F172" s="63"/>
      <c r="G172" s="63"/>
      <c r="O172" s="9"/>
      <c r="P172" s="9"/>
      <c r="Q172" s="9"/>
    </row>
    <row r="173">
      <c r="F173" s="63"/>
      <c r="G173" s="63"/>
      <c r="O173" s="9"/>
      <c r="P173" s="9"/>
      <c r="Q173" s="9"/>
    </row>
    <row r="174">
      <c r="F174" s="63"/>
      <c r="G174" s="63"/>
      <c r="O174" s="9"/>
      <c r="P174" s="9"/>
      <c r="Q174" s="9"/>
    </row>
    <row r="175">
      <c r="F175" s="63"/>
      <c r="G175" s="63"/>
      <c r="O175" s="9"/>
      <c r="P175" s="9"/>
      <c r="Q175" s="9"/>
    </row>
    <row r="176">
      <c r="F176" s="63"/>
      <c r="G176" s="63"/>
      <c r="O176" s="9"/>
      <c r="P176" s="9"/>
      <c r="Q176" s="9"/>
    </row>
    <row r="177">
      <c r="F177" s="63"/>
      <c r="G177" s="63"/>
      <c r="O177" s="9"/>
      <c r="P177" s="9"/>
      <c r="Q177" s="9"/>
    </row>
    <row r="178">
      <c r="F178" s="63"/>
      <c r="G178" s="63"/>
      <c r="O178" s="9"/>
      <c r="P178" s="9"/>
      <c r="Q178" s="9"/>
    </row>
    <row r="179">
      <c r="F179" s="63"/>
      <c r="G179" s="63"/>
      <c r="O179" s="9"/>
      <c r="P179" s="9"/>
      <c r="Q179" s="9"/>
    </row>
    <row r="180">
      <c r="F180" s="63"/>
      <c r="G180" s="63"/>
      <c r="O180" s="9"/>
      <c r="P180" s="9"/>
      <c r="Q180" s="9"/>
    </row>
    <row r="181">
      <c r="F181" s="63"/>
      <c r="G181" s="63"/>
      <c r="O181" s="9"/>
      <c r="P181" s="9"/>
      <c r="Q181" s="9"/>
    </row>
    <row r="182">
      <c r="F182" s="63"/>
      <c r="G182" s="63"/>
      <c r="O182" s="9"/>
      <c r="P182" s="9"/>
      <c r="Q182" s="9"/>
    </row>
    <row r="183">
      <c r="F183" s="63"/>
      <c r="G183" s="63"/>
      <c r="O183" s="9"/>
      <c r="P183" s="9"/>
      <c r="Q183" s="9"/>
    </row>
    <row r="184">
      <c r="F184" s="63"/>
      <c r="G184" s="63"/>
      <c r="O184" s="9"/>
      <c r="P184" s="9"/>
      <c r="Q184" s="9"/>
    </row>
    <row r="185">
      <c r="F185" s="63"/>
      <c r="G185" s="63"/>
      <c r="O185" s="9"/>
      <c r="P185" s="9"/>
      <c r="Q185" s="9"/>
    </row>
    <row r="186">
      <c r="F186" s="63"/>
      <c r="G186" s="63"/>
      <c r="O186" s="9"/>
      <c r="P186" s="9"/>
      <c r="Q186" s="9"/>
    </row>
    <row r="187">
      <c r="F187" s="63"/>
      <c r="G187" s="63"/>
      <c r="O187" s="9"/>
      <c r="P187" s="9"/>
      <c r="Q187" s="9"/>
    </row>
    <row r="188">
      <c r="F188" s="63"/>
      <c r="G188" s="63"/>
      <c r="O188" s="9"/>
      <c r="P188" s="9"/>
      <c r="Q188" s="9"/>
    </row>
    <row r="189">
      <c r="F189" s="63"/>
      <c r="G189" s="63"/>
      <c r="O189" s="9"/>
      <c r="P189" s="9"/>
      <c r="Q189" s="9"/>
    </row>
    <row r="190">
      <c r="F190" s="63"/>
      <c r="G190" s="63"/>
      <c r="O190" s="9"/>
      <c r="P190" s="9"/>
      <c r="Q190" s="9"/>
    </row>
    <row r="191">
      <c r="F191" s="63"/>
      <c r="G191" s="63"/>
      <c r="O191" s="9"/>
      <c r="P191" s="9"/>
      <c r="Q191" s="9"/>
    </row>
    <row r="192">
      <c r="F192" s="63"/>
      <c r="G192" s="63"/>
      <c r="O192" s="9"/>
      <c r="P192" s="9"/>
      <c r="Q192" s="9"/>
    </row>
    <row r="193">
      <c r="F193" s="63"/>
      <c r="G193" s="63"/>
      <c r="O193" s="9"/>
      <c r="P193" s="9"/>
      <c r="Q193" s="9"/>
    </row>
    <row r="194">
      <c r="F194" s="63"/>
      <c r="G194" s="63"/>
      <c r="O194" s="9"/>
      <c r="P194" s="9"/>
      <c r="Q194" s="9"/>
    </row>
    <row r="195">
      <c r="F195" s="63"/>
      <c r="G195" s="63"/>
      <c r="O195" s="9"/>
      <c r="P195" s="9"/>
      <c r="Q195" s="9"/>
    </row>
    <row r="196">
      <c r="F196" s="63"/>
      <c r="G196" s="63"/>
      <c r="O196" s="9"/>
      <c r="P196" s="9"/>
      <c r="Q196" s="9"/>
    </row>
    <row r="197">
      <c r="F197" s="63"/>
      <c r="G197" s="63"/>
      <c r="O197" s="9"/>
      <c r="P197" s="9"/>
      <c r="Q197" s="9"/>
    </row>
    <row r="198">
      <c r="F198" s="63"/>
      <c r="G198" s="63"/>
      <c r="O198" s="9"/>
      <c r="P198" s="9"/>
      <c r="Q198" s="9"/>
    </row>
    <row r="199">
      <c r="F199" s="63"/>
      <c r="G199" s="63"/>
      <c r="O199" s="9"/>
      <c r="P199" s="9"/>
      <c r="Q199" s="9"/>
    </row>
    <row r="200">
      <c r="F200" s="63"/>
      <c r="G200" s="63"/>
      <c r="O200" s="9"/>
      <c r="P200" s="9"/>
      <c r="Q200" s="9"/>
    </row>
    <row r="201">
      <c r="F201" s="63"/>
      <c r="G201" s="63"/>
      <c r="O201" s="9"/>
      <c r="P201" s="9"/>
      <c r="Q201" s="9"/>
    </row>
    <row r="202">
      <c r="F202" s="63"/>
      <c r="G202" s="63"/>
      <c r="O202" s="9"/>
      <c r="P202" s="9"/>
      <c r="Q202" s="9"/>
    </row>
    <row r="203">
      <c r="F203" s="63"/>
      <c r="G203" s="63"/>
      <c r="O203" s="9"/>
      <c r="P203" s="9"/>
      <c r="Q203" s="9"/>
    </row>
    <row r="204">
      <c r="F204" s="63"/>
      <c r="G204" s="63"/>
      <c r="O204" s="9"/>
      <c r="P204" s="9"/>
      <c r="Q204" s="9"/>
    </row>
    <row r="205">
      <c r="F205" s="63"/>
      <c r="G205" s="63"/>
      <c r="O205" s="9"/>
      <c r="P205" s="9"/>
      <c r="Q205" s="9"/>
    </row>
    <row r="206">
      <c r="F206" s="63"/>
      <c r="G206" s="63"/>
      <c r="O206" s="9"/>
      <c r="P206" s="9"/>
      <c r="Q206" s="9"/>
    </row>
    <row r="207">
      <c r="F207" s="63"/>
      <c r="G207" s="63"/>
      <c r="O207" s="9"/>
      <c r="P207" s="9"/>
      <c r="Q207" s="9"/>
    </row>
    <row r="208">
      <c r="F208" s="63"/>
      <c r="G208" s="63"/>
      <c r="O208" s="9"/>
      <c r="P208" s="9"/>
      <c r="Q208" s="9"/>
    </row>
    <row r="209">
      <c r="F209" s="63"/>
      <c r="G209" s="63"/>
      <c r="O209" s="9"/>
      <c r="P209" s="9"/>
      <c r="Q209" s="9"/>
    </row>
    <row r="210">
      <c r="F210" s="63"/>
      <c r="G210" s="63"/>
      <c r="O210" s="9"/>
      <c r="P210" s="9"/>
      <c r="Q210" s="9"/>
    </row>
    <row r="211">
      <c r="F211" s="63"/>
      <c r="G211" s="63"/>
      <c r="O211" s="9"/>
      <c r="P211" s="9"/>
      <c r="Q211" s="9"/>
    </row>
    <row r="212">
      <c r="F212" s="63"/>
      <c r="G212" s="63"/>
      <c r="O212" s="9"/>
      <c r="P212" s="9"/>
      <c r="Q212" s="9"/>
    </row>
    <row r="213">
      <c r="F213" s="63"/>
      <c r="G213" s="63"/>
      <c r="O213" s="9"/>
      <c r="P213" s="9"/>
      <c r="Q213" s="9"/>
    </row>
    <row r="214">
      <c r="F214" s="63"/>
      <c r="G214" s="63"/>
      <c r="O214" s="9"/>
      <c r="P214" s="9"/>
      <c r="Q214" s="9"/>
    </row>
    <row r="215">
      <c r="F215" s="63"/>
      <c r="G215" s="63"/>
      <c r="O215" s="9"/>
      <c r="P215" s="9"/>
      <c r="Q215" s="9"/>
    </row>
    <row r="216">
      <c r="F216" s="63"/>
      <c r="G216" s="63"/>
      <c r="O216" s="9"/>
      <c r="P216" s="9"/>
      <c r="Q216" s="9"/>
    </row>
    <row r="217">
      <c r="F217" s="63"/>
      <c r="G217" s="63"/>
      <c r="O217" s="9"/>
      <c r="P217" s="9"/>
      <c r="Q217" s="9"/>
    </row>
    <row r="218">
      <c r="F218" s="63"/>
      <c r="G218" s="63"/>
      <c r="O218" s="9"/>
      <c r="P218" s="9"/>
      <c r="Q218" s="9"/>
    </row>
    <row r="219">
      <c r="F219" s="63"/>
      <c r="G219" s="63"/>
      <c r="O219" s="9"/>
      <c r="P219" s="9"/>
      <c r="Q219" s="9"/>
    </row>
    <row r="220">
      <c r="F220" s="63"/>
      <c r="G220" s="63"/>
      <c r="O220" s="9"/>
      <c r="P220" s="9"/>
      <c r="Q220" s="9"/>
    </row>
    <row r="221">
      <c r="F221" s="63"/>
      <c r="G221" s="63"/>
      <c r="O221" s="9"/>
      <c r="P221" s="9"/>
      <c r="Q221" s="9"/>
    </row>
    <row r="222">
      <c r="F222" s="63"/>
      <c r="G222" s="63"/>
      <c r="O222" s="9"/>
      <c r="P222" s="9"/>
      <c r="Q222" s="9"/>
    </row>
    <row r="223">
      <c r="F223" s="63"/>
      <c r="G223" s="63"/>
      <c r="O223" s="9"/>
      <c r="P223" s="9"/>
      <c r="Q223" s="9"/>
    </row>
    <row r="224">
      <c r="F224" s="63"/>
      <c r="G224" s="63"/>
      <c r="O224" s="9"/>
      <c r="P224" s="9"/>
      <c r="Q224" s="9"/>
    </row>
    <row r="225">
      <c r="F225" s="63"/>
      <c r="G225" s="63"/>
      <c r="O225" s="9"/>
      <c r="P225" s="9"/>
      <c r="Q225" s="9"/>
    </row>
    <row r="226">
      <c r="F226" s="63"/>
      <c r="G226" s="63"/>
      <c r="O226" s="9"/>
      <c r="P226" s="9"/>
      <c r="Q226" s="9"/>
    </row>
    <row r="227">
      <c r="F227" s="63"/>
      <c r="G227" s="63"/>
      <c r="O227" s="9"/>
      <c r="P227" s="9"/>
      <c r="Q227" s="9"/>
    </row>
    <row r="228">
      <c r="F228" s="63"/>
      <c r="G228" s="63"/>
      <c r="O228" s="9"/>
      <c r="P228" s="9"/>
      <c r="Q228" s="9"/>
    </row>
    <row r="229">
      <c r="F229" s="63"/>
      <c r="G229" s="63"/>
      <c r="O229" s="9"/>
      <c r="P229" s="9"/>
      <c r="Q229" s="9"/>
    </row>
    <row r="230">
      <c r="F230" s="63"/>
      <c r="G230" s="63"/>
      <c r="O230" s="9"/>
      <c r="P230" s="9"/>
      <c r="Q230" s="9"/>
    </row>
    <row r="231">
      <c r="F231" s="63"/>
      <c r="G231" s="63"/>
      <c r="O231" s="9"/>
      <c r="P231" s="9"/>
      <c r="Q231" s="9"/>
    </row>
    <row r="232">
      <c r="F232" s="63"/>
      <c r="G232" s="63"/>
      <c r="O232" s="9"/>
      <c r="P232" s="9"/>
      <c r="Q232" s="9"/>
    </row>
    <row r="233">
      <c r="F233" s="63"/>
      <c r="G233" s="63"/>
      <c r="O233" s="9"/>
      <c r="P233" s="9"/>
      <c r="Q233" s="9"/>
    </row>
    <row r="234">
      <c r="F234" s="63"/>
      <c r="G234" s="63"/>
      <c r="O234" s="9"/>
      <c r="P234" s="9"/>
      <c r="Q234" s="9"/>
    </row>
    <row r="235">
      <c r="F235" s="63"/>
      <c r="G235" s="63"/>
      <c r="O235" s="9"/>
      <c r="P235" s="9"/>
      <c r="Q235" s="9"/>
    </row>
    <row r="236">
      <c r="F236" s="63"/>
      <c r="G236" s="63"/>
      <c r="O236" s="9"/>
      <c r="P236" s="9"/>
      <c r="Q236" s="9"/>
    </row>
    <row r="237">
      <c r="F237" s="63"/>
      <c r="G237" s="63"/>
      <c r="O237" s="9"/>
      <c r="P237" s="9"/>
      <c r="Q237" s="9"/>
    </row>
    <row r="238">
      <c r="F238" s="63"/>
      <c r="G238" s="63"/>
      <c r="O238" s="9"/>
      <c r="P238" s="9"/>
      <c r="Q238" s="9"/>
    </row>
    <row r="239">
      <c r="F239" s="63"/>
      <c r="G239" s="63"/>
      <c r="O239" s="9"/>
      <c r="P239" s="9"/>
      <c r="Q239" s="9"/>
    </row>
    <row r="240">
      <c r="F240" s="63"/>
      <c r="G240" s="63"/>
      <c r="O240" s="9"/>
      <c r="P240" s="9"/>
      <c r="Q240" s="9"/>
    </row>
    <row r="241">
      <c r="F241" s="63"/>
      <c r="G241" s="63"/>
      <c r="O241" s="9"/>
      <c r="P241" s="9"/>
      <c r="Q241" s="9"/>
    </row>
    <row r="242">
      <c r="F242" s="63"/>
      <c r="G242" s="63"/>
      <c r="O242" s="9"/>
      <c r="P242" s="9"/>
      <c r="Q242" s="9"/>
    </row>
    <row r="243">
      <c r="F243" s="63"/>
      <c r="G243" s="63"/>
      <c r="O243" s="9"/>
      <c r="P243" s="9"/>
      <c r="Q243" s="9"/>
    </row>
    <row r="244">
      <c r="F244" s="63"/>
      <c r="G244" s="63"/>
      <c r="O244" s="9"/>
      <c r="P244" s="9"/>
      <c r="Q244" s="9"/>
    </row>
    <row r="245">
      <c r="F245" s="63"/>
      <c r="G245" s="63"/>
      <c r="O245" s="9"/>
      <c r="P245" s="9"/>
      <c r="Q245" s="9"/>
    </row>
    <row r="246">
      <c r="F246" s="63"/>
      <c r="G246" s="63"/>
      <c r="O246" s="9"/>
      <c r="P246" s="9"/>
      <c r="Q246" s="9"/>
    </row>
    <row r="247">
      <c r="F247" s="63"/>
      <c r="G247" s="63"/>
      <c r="O247" s="9"/>
      <c r="P247" s="9"/>
      <c r="Q247" s="9"/>
    </row>
    <row r="248">
      <c r="F248" s="63"/>
      <c r="G248" s="63"/>
      <c r="O248" s="9"/>
      <c r="P248" s="9"/>
      <c r="Q248" s="9"/>
    </row>
    <row r="249">
      <c r="F249" s="63"/>
      <c r="G249" s="63"/>
      <c r="O249" s="9"/>
      <c r="P249" s="9"/>
      <c r="Q249" s="9"/>
    </row>
    <row r="250">
      <c r="F250" s="63"/>
      <c r="G250" s="63"/>
      <c r="O250" s="9"/>
      <c r="P250" s="9"/>
      <c r="Q250" s="9"/>
    </row>
    <row r="251">
      <c r="F251" s="63"/>
      <c r="G251" s="63"/>
      <c r="O251" s="9"/>
      <c r="P251" s="9"/>
      <c r="Q251" s="9"/>
    </row>
    <row r="252">
      <c r="F252" s="63"/>
      <c r="G252" s="63"/>
      <c r="O252" s="9"/>
      <c r="P252" s="9"/>
      <c r="Q252" s="9"/>
    </row>
    <row r="253">
      <c r="F253" s="63"/>
      <c r="G253" s="63"/>
      <c r="O253" s="9"/>
      <c r="P253" s="9"/>
      <c r="Q253" s="9"/>
    </row>
    <row r="254">
      <c r="F254" s="63"/>
      <c r="G254" s="63"/>
      <c r="O254" s="9"/>
      <c r="P254" s="9"/>
      <c r="Q254" s="9"/>
    </row>
    <row r="255">
      <c r="F255" s="63"/>
      <c r="G255" s="63"/>
      <c r="O255" s="9"/>
      <c r="P255" s="9"/>
      <c r="Q255" s="9"/>
    </row>
    <row r="256">
      <c r="F256" s="63"/>
      <c r="G256" s="63"/>
      <c r="O256" s="9"/>
      <c r="P256" s="9"/>
      <c r="Q256" s="9"/>
    </row>
    <row r="257">
      <c r="F257" s="63"/>
      <c r="G257" s="63"/>
      <c r="O257" s="9"/>
      <c r="P257" s="9"/>
      <c r="Q257" s="9"/>
    </row>
    <row r="258">
      <c r="F258" s="63"/>
      <c r="G258" s="63"/>
      <c r="O258" s="9"/>
      <c r="P258" s="9"/>
      <c r="Q258" s="9"/>
    </row>
    <row r="259">
      <c r="F259" s="63"/>
      <c r="G259" s="63"/>
      <c r="O259" s="9"/>
      <c r="P259" s="9"/>
      <c r="Q259" s="9"/>
    </row>
    <row r="260">
      <c r="F260" s="63"/>
      <c r="G260" s="63"/>
      <c r="O260" s="9"/>
      <c r="P260" s="9"/>
      <c r="Q260" s="9"/>
    </row>
    <row r="261">
      <c r="F261" s="63"/>
      <c r="G261" s="63"/>
      <c r="O261" s="9"/>
      <c r="P261" s="9"/>
      <c r="Q261" s="9"/>
    </row>
    <row r="262">
      <c r="F262" s="63"/>
      <c r="G262" s="63"/>
      <c r="O262" s="9"/>
      <c r="P262" s="9"/>
      <c r="Q262" s="9"/>
    </row>
    <row r="263">
      <c r="F263" s="63"/>
      <c r="G263" s="63"/>
      <c r="O263" s="9"/>
      <c r="P263" s="9"/>
      <c r="Q263" s="9"/>
    </row>
    <row r="264">
      <c r="F264" s="63"/>
      <c r="G264" s="63"/>
      <c r="O264" s="9"/>
      <c r="P264" s="9"/>
      <c r="Q264" s="9"/>
    </row>
    <row r="265">
      <c r="F265" s="63"/>
      <c r="G265" s="63"/>
      <c r="O265" s="9"/>
      <c r="P265" s="9"/>
      <c r="Q265" s="9"/>
    </row>
    <row r="266">
      <c r="F266" s="63"/>
      <c r="G266" s="63"/>
      <c r="O266" s="9"/>
      <c r="P266" s="9"/>
      <c r="Q266" s="9"/>
    </row>
    <row r="267">
      <c r="F267" s="63"/>
      <c r="G267" s="63"/>
      <c r="O267" s="9"/>
      <c r="P267" s="9"/>
      <c r="Q267" s="9"/>
    </row>
    <row r="268">
      <c r="F268" s="63"/>
      <c r="G268" s="63"/>
      <c r="O268" s="9"/>
      <c r="P268" s="9"/>
      <c r="Q268" s="9"/>
    </row>
    <row r="269">
      <c r="F269" s="63"/>
      <c r="G269" s="63"/>
      <c r="O269" s="9"/>
      <c r="P269" s="9"/>
      <c r="Q269" s="9"/>
    </row>
    <row r="270">
      <c r="F270" s="63"/>
      <c r="G270" s="63"/>
      <c r="O270" s="9"/>
      <c r="P270" s="9"/>
      <c r="Q270" s="9"/>
    </row>
    <row r="271">
      <c r="F271" s="63"/>
      <c r="G271" s="63"/>
      <c r="O271" s="9"/>
      <c r="P271" s="9"/>
      <c r="Q271" s="9"/>
    </row>
    <row r="272">
      <c r="F272" s="63"/>
      <c r="G272" s="63"/>
      <c r="O272" s="9"/>
      <c r="P272" s="9"/>
      <c r="Q272" s="9"/>
    </row>
    <row r="273">
      <c r="F273" s="63"/>
      <c r="G273" s="63"/>
      <c r="O273" s="9"/>
      <c r="P273" s="9"/>
      <c r="Q273" s="9"/>
    </row>
    <row r="274">
      <c r="F274" s="63"/>
      <c r="G274" s="63"/>
      <c r="O274" s="9"/>
      <c r="P274" s="9"/>
      <c r="Q274" s="9"/>
    </row>
    <row r="275">
      <c r="F275" s="63"/>
      <c r="G275" s="63"/>
      <c r="O275" s="9"/>
      <c r="P275" s="9"/>
      <c r="Q275" s="9"/>
    </row>
    <row r="276">
      <c r="F276" s="63"/>
      <c r="G276" s="63"/>
      <c r="O276" s="9"/>
      <c r="P276" s="9"/>
      <c r="Q276" s="9"/>
    </row>
    <row r="277">
      <c r="F277" s="63"/>
      <c r="G277" s="63"/>
      <c r="O277" s="9"/>
      <c r="P277" s="9"/>
      <c r="Q277" s="9"/>
    </row>
    <row r="278">
      <c r="F278" s="63"/>
      <c r="G278" s="63"/>
      <c r="O278" s="9"/>
      <c r="P278" s="9"/>
      <c r="Q278" s="9"/>
    </row>
    <row r="279">
      <c r="F279" s="63"/>
      <c r="G279" s="63"/>
      <c r="O279" s="9"/>
      <c r="P279" s="9"/>
      <c r="Q279" s="9"/>
    </row>
    <row r="280">
      <c r="F280" s="63"/>
      <c r="G280" s="63"/>
      <c r="O280" s="9"/>
      <c r="P280" s="9"/>
      <c r="Q280" s="9"/>
    </row>
    <row r="281">
      <c r="F281" s="63"/>
      <c r="G281" s="63"/>
      <c r="O281" s="9"/>
      <c r="P281" s="9"/>
      <c r="Q281" s="9"/>
    </row>
    <row r="282">
      <c r="F282" s="63"/>
      <c r="G282" s="63"/>
      <c r="O282" s="9"/>
      <c r="P282" s="9"/>
      <c r="Q282" s="9"/>
    </row>
    <row r="283">
      <c r="F283" s="63"/>
      <c r="G283" s="63"/>
      <c r="O283" s="9"/>
      <c r="P283" s="9"/>
      <c r="Q283" s="9"/>
    </row>
    <row r="284">
      <c r="F284" s="63"/>
      <c r="G284" s="63"/>
      <c r="O284" s="9"/>
      <c r="P284" s="9"/>
      <c r="Q284" s="9"/>
    </row>
    <row r="285">
      <c r="F285" s="63"/>
      <c r="G285" s="63"/>
      <c r="O285" s="9"/>
      <c r="P285" s="9"/>
      <c r="Q285" s="9"/>
    </row>
    <row r="286">
      <c r="F286" s="63"/>
      <c r="G286" s="63"/>
      <c r="O286" s="9"/>
      <c r="P286" s="9"/>
      <c r="Q286" s="9"/>
    </row>
    <row r="287">
      <c r="F287" s="63"/>
      <c r="G287" s="63"/>
      <c r="O287" s="9"/>
      <c r="P287" s="9"/>
      <c r="Q287" s="9"/>
    </row>
    <row r="288">
      <c r="F288" s="63"/>
      <c r="G288" s="63"/>
      <c r="O288" s="9"/>
      <c r="P288" s="9"/>
      <c r="Q288" s="9"/>
    </row>
    <row r="289">
      <c r="F289" s="63"/>
      <c r="G289" s="63"/>
      <c r="O289" s="9"/>
      <c r="P289" s="9"/>
      <c r="Q289" s="9"/>
    </row>
    <row r="290">
      <c r="F290" s="63"/>
      <c r="G290" s="63"/>
      <c r="O290" s="9"/>
      <c r="P290" s="9"/>
      <c r="Q290" s="9"/>
    </row>
    <row r="291">
      <c r="F291" s="63"/>
      <c r="G291" s="63"/>
      <c r="O291" s="9"/>
      <c r="P291" s="9"/>
      <c r="Q291" s="9"/>
    </row>
    <row r="292">
      <c r="F292" s="63"/>
      <c r="G292" s="63"/>
      <c r="O292" s="9"/>
      <c r="P292" s="9"/>
      <c r="Q292" s="9"/>
    </row>
    <row r="293">
      <c r="F293" s="63"/>
      <c r="G293" s="63"/>
      <c r="O293" s="9"/>
      <c r="P293" s="9"/>
      <c r="Q293" s="9"/>
    </row>
    <row r="294">
      <c r="F294" s="63"/>
      <c r="G294" s="63"/>
      <c r="O294" s="9"/>
      <c r="P294" s="9"/>
      <c r="Q294" s="9"/>
    </row>
    <row r="295">
      <c r="F295" s="63"/>
      <c r="G295" s="63"/>
      <c r="O295" s="9"/>
      <c r="P295" s="9"/>
      <c r="Q295" s="9"/>
    </row>
    <row r="296">
      <c r="F296" s="63"/>
      <c r="G296" s="63"/>
      <c r="O296" s="9"/>
      <c r="P296" s="9"/>
      <c r="Q296" s="9"/>
    </row>
    <row r="297">
      <c r="F297" s="63"/>
      <c r="G297" s="63"/>
      <c r="O297" s="9"/>
      <c r="P297" s="9"/>
      <c r="Q297" s="9"/>
    </row>
    <row r="298">
      <c r="F298" s="63"/>
      <c r="G298" s="63"/>
      <c r="O298" s="9"/>
      <c r="P298" s="9"/>
      <c r="Q298" s="9"/>
    </row>
    <row r="299">
      <c r="F299" s="63"/>
      <c r="G299" s="63"/>
      <c r="O299" s="9"/>
      <c r="P299" s="9"/>
      <c r="Q299" s="9"/>
    </row>
    <row r="300">
      <c r="F300" s="63"/>
      <c r="G300" s="63"/>
      <c r="O300" s="9"/>
      <c r="P300" s="9"/>
      <c r="Q300" s="9"/>
    </row>
    <row r="301">
      <c r="F301" s="63"/>
      <c r="G301" s="63"/>
      <c r="O301" s="9"/>
      <c r="P301" s="9"/>
      <c r="Q301" s="9"/>
    </row>
    <row r="302">
      <c r="F302" s="63"/>
      <c r="G302" s="63"/>
      <c r="O302" s="9"/>
      <c r="P302" s="9"/>
      <c r="Q302" s="9"/>
    </row>
    <row r="303">
      <c r="F303" s="63"/>
      <c r="G303" s="63"/>
      <c r="O303" s="9"/>
      <c r="P303" s="9"/>
      <c r="Q303" s="9"/>
    </row>
    <row r="304">
      <c r="F304" s="63"/>
      <c r="G304" s="63"/>
      <c r="O304" s="9"/>
      <c r="P304" s="9"/>
      <c r="Q304" s="9"/>
    </row>
    <row r="305">
      <c r="F305" s="63"/>
      <c r="G305" s="63"/>
      <c r="O305" s="9"/>
      <c r="P305" s="9"/>
      <c r="Q305" s="9"/>
    </row>
    <row r="306">
      <c r="F306" s="63"/>
      <c r="G306" s="63"/>
      <c r="O306" s="9"/>
      <c r="P306" s="9"/>
      <c r="Q306" s="9"/>
    </row>
    <row r="307">
      <c r="F307" s="63"/>
      <c r="G307" s="63"/>
      <c r="O307" s="9"/>
      <c r="P307" s="9"/>
      <c r="Q307" s="9"/>
    </row>
    <row r="308">
      <c r="F308" s="63"/>
      <c r="G308" s="63"/>
      <c r="O308" s="9"/>
      <c r="P308" s="9"/>
      <c r="Q308" s="9"/>
    </row>
    <row r="309">
      <c r="F309" s="63"/>
      <c r="G309" s="63"/>
      <c r="O309" s="9"/>
      <c r="P309" s="9"/>
      <c r="Q309" s="9"/>
    </row>
    <row r="310">
      <c r="F310" s="63"/>
      <c r="G310" s="63"/>
      <c r="O310" s="9"/>
      <c r="P310" s="9"/>
      <c r="Q310" s="9"/>
    </row>
    <row r="311">
      <c r="F311" s="63"/>
      <c r="G311" s="63"/>
      <c r="O311" s="9"/>
      <c r="P311" s="9"/>
      <c r="Q311" s="9"/>
    </row>
    <row r="312">
      <c r="F312" s="63"/>
      <c r="G312" s="63"/>
      <c r="O312" s="9"/>
      <c r="P312" s="9"/>
      <c r="Q312" s="9"/>
    </row>
    <row r="313">
      <c r="F313" s="63"/>
      <c r="G313" s="63"/>
      <c r="O313" s="9"/>
      <c r="P313" s="9"/>
      <c r="Q313" s="9"/>
    </row>
    <row r="314">
      <c r="F314" s="63"/>
      <c r="G314" s="63"/>
      <c r="O314" s="9"/>
      <c r="P314" s="9"/>
      <c r="Q314" s="9"/>
    </row>
    <row r="315">
      <c r="F315" s="63"/>
      <c r="G315" s="63"/>
      <c r="O315" s="9"/>
      <c r="P315" s="9"/>
      <c r="Q315" s="9"/>
    </row>
    <row r="316">
      <c r="F316" s="63"/>
      <c r="G316" s="63"/>
      <c r="O316" s="9"/>
      <c r="P316" s="9"/>
      <c r="Q316" s="9"/>
    </row>
    <row r="317">
      <c r="F317" s="63"/>
      <c r="G317" s="63"/>
      <c r="O317" s="9"/>
      <c r="P317" s="9"/>
      <c r="Q317" s="9"/>
    </row>
    <row r="318">
      <c r="F318" s="63"/>
      <c r="G318" s="63"/>
      <c r="O318" s="9"/>
      <c r="P318" s="9"/>
      <c r="Q318" s="9"/>
    </row>
    <row r="319">
      <c r="F319" s="63"/>
      <c r="G319" s="63"/>
      <c r="O319" s="9"/>
      <c r="P319" s="9"/>
      <c r="Q319" s="9"/>
    </row>
    <row r="320">
      <c r="F320" s="63"/>
      <c r="G320" s="63"/>
      <c r="O320" s="9"/>
      <c r="P320" s="9"/>
      <c r="Q320" s="9"/>
    </row>
    <row r="321">
      <c r="F321" s="63"/>
      <c r="G321" s="63"/>
      <c r="O321" s="9"/>
      <c r="P321" s="9"/>
      <c r="Q321" s="9"/>
    </row>
    <row r="322">
      <c r="F322" s="63"/>
      <c r="G322" s="63"/>
      <c r="O322" s="9"/>
      <c r="P322" s="9"/>
      <c r="Q322" s="9"/>
    </row>
    <row r="323">
      <c r="F323" s="63"/>
      <c r="G323" s="63"/>
      <c r="O323" s="9"/>
      <c r="P323" s="9"/>
      <c r="Q323" s="9"/>
    </row>
    <row r="324">
      <c r="F324" s="63"/>
      <c r="G324" s="63"/>
      <c r="O324" s="9"/>
      <c r="P324" s="9"/>
      <c r="Q324" s="9"/>
    </row>
    <row r="325">
      <c r="F325" s="63"/>
      <c r="G325" s="63"/>
      <c r="O325" s="9"/>
      <c r="P325" s="9"/>
      <c r="Q325" s="9"/>
    </row>
    <row r="326">
      <c r="F326" s="63"/>
      <c r="G326" s="63"/>
      <c r="O326" s="9"/>
      <c r="P326" s="9"/>
      <c r="Q326" s="9"/>
    </row>
    <row r="327">
      <c r="F327" s="63"/>
      <c r="G327" s="63"/>
      <c r="O327" s="9"/>
      <c r="P327" s="9"/>
      <c r="Q327" s="9"/>
    </row>
    <row r="328">
      <c r="F328" s="63"/>
      <c r="G328" s="63"/>
      <c r="O328" s="9"/>
      <c r="P328" s="9"/>
      <c r="Q328" s="9"/>
    </row>
    <row r="329">
      <c r="F329" s="63"/>
      <c r="G329" s="63"/>
      <c r="O329" s="9"/>
      <c r="P329" s="9"/>
      <c r="Q329" s="9"/>
    </row>
    <row r="330">
      <c r="F330" s="63"/>
      <c r="G330" s="63"/>
      <c r="O330" s="9"/>
      <c r="P330" s="9"/>
      <c r="Q330" s="9"/>
    </row>
    <row r="331">
      <c r="F331" s="63"/>
      <c r="G331" s="63"/>
      <c r="O331" s="9"/>
      <c r="P331" s="9"/>
      <c r="Q331" s="9"/>
    </row>
    <row r="332">
      <c r="F332" s="63"/>
      <c r="G332" s="63"/>
      <c r="O332" s="9"/>
      <c r="P332" s="9"/>
      <c r="Q332" s="9"/>
    </row>
    <row r="333">
      <c r="F333" s="63"/>
      <c r="G333" s="63"/>
      <c r="O333" s="9"/>
      <c r="P333" s="9"/>
      <c r="Q333" s="9"/>
    </row>
    <row r="334">
      <c r="F334" s="63"/>
      <c r="G334" s="63"/>
      <c r="O334" s="9"/>
      <c r="P334" s="9"/>
      <c r="Q334" s="9"/>
    </row>
    <row r="335">
      <c r="F335" s="63"/>
      <c r="G335" s="63"/>
      <c r="O335" s="9"/>
      <c r="P335" s="9"/>
      <c r="Q335" s="9"/>
    </row>
    <row r="336">
      <c r="F336" s="63"/>
      <c r="G336" s="63"/>
      <c r="O336" s="9"/>
      <c r="P336" s="9"/>
      <c r="Q336" s="9"/>
    </row>
    <row r="337">
      <c r="F337" s="63"/>
      <c r="G337" s="63"/>
      <c r="O337" s="9"/>
      <c r="P337" s="9"/>
      <c r="Q337" s="9"/>
    </row>
    <row r="338">
      <c r="F338" s="63"/>
      <c r="G338" s="63"/>
      <c r="O338" s="9"/>
      <c r="P338" s="9"/>
      <c r="Q338" s="9"/>
    </row>
    <row r="339">
      <c r="F339" s="63"/>
      <c r="G339" s="63"/>
      <c r="O339" s="9"/>
      <c r="P339" s="9"/>
      <c r="Q339" s="9"/>
    </row>
    <row r="340">
      <c r="F340" s="63"/>
      <c r="G340" s="63"/>
      <c r="O340" s="9"/>
      <c r="P340" s="9"/>
      <c r="Q340" s="9"/>
    </row>
    <row r="341">
      <c r="F341" s="63"/>
      <c r="G341" s="63"/>
      <c r="O341" s="9"/>
      <c r="P341" s="9"/>
      <c r="Q341" s="9"/>
    </row>
    <row r="342">
      <c r="F342" s="63"/>
      <c r="G342" s="63"/>
      <c r="O342" s="9"/>
      <c r="P342" s="9"/>
      <c r="Q342" s="9"/>
    </row>
    <row r="343">
      <c r="F343" s="63"/>
      <c r="G343" s="63"/>
      <c r="O343" s="9"/>
      <c r="P343" s="9"/>
      <c r="Q343" s="9"/>
    </row>
    <row r="344">
      <c r="F344" s="63"/>
      <c r="G344" s="63"/>
      <c r="O344" s="9"/>
      <c r="P344" s="9"/>
      <c r="Q344" s="9"/>
    </row>
    <row r="345">
      <c r="F345" s="63"/>
      <c r="G345" s="63"/>
      <c r="O345" s="9"/>
      <c r="P345" s="9"/>
      <c r="Q345" s="9"/>
    </row>
    <row r="346">
      <c r="F346" s="63"/>
      <c r="G346" s="63"/>
      <c r="O346" s="9"/>
      <c r="P346" s="9"/>
      <c r="Q346" s="9"/>
    </row>
    <row r="347">
      <c r="F347" s="63"/>
      <c r="G347" s="63"/>
      <c r="O347" s="9"/>
      <c r="P347" s="9"/>
      <c r="Q347" s="9"/>
    </row>
    <row r="348">
      <c r="F348" s="63"/>
      <c r="G348" s="63"/>
      <c r="O348" s="9"/>
      <c r="P348" s="9"/>
      <c r="Q348" s="9"/>
    </row>
    <row r="349">
      <c r="F349" s="63"/>
      <c r="G349" s="63"/>
      <c r="O349" s="9"/>
      <c r="P349" s="9"/>
      <c r="Q349" s="9"/>
    </row>
    <row r="350">
      <c r="F350" s="63"/>
      <c r="G350" s="63"/>
      <c r="O350" s="9"/>
      <c r="P350" s="9"/>
      <c r="Q350" s="9"/>
    </row>
    <row r="351">
      <c r="F351" s="63"/>
      <c r="G351" s="63"/>
      <c r="O351" s="9"/>
      <c r="P351" s="9"/>
      <c r="Q351" s="9"/>
    </row>
    <row r="352">
      <c r="F352" s="63"/>
      <c r="G352" s="63"/>
      <c r="O352" s="9"/>
      <c r="P352" s="9"/>
      <c r="Q352" s="9"/>
    </row>
    <row r="353">
      <c r="F353" s="63"/>
      <c r="G353" s="63"/>
      <c r="O353" s="9"/>
      <c r="P353" s="9"/>
      <c r="Q353" s="9"/>
    </row>
    <row r="354">
      <c r="F354" s="63"/>
      <c r="G354" s="63"/>
      <c r="O354" s="9"/>
      <c r="P354" s="9"/>
      <c r="Q354" s="9"/>
    </row>
    <row r="355">
      <c r="F355" s="63"/>
      <c r="G355" s="63"/>
      <c r="O355" s="9"/>
      <c r="P355" s="9"/>
      <c r="Q355" s="9"/>
    </row>
    <row r="356">
      <c r="F356" s="63"/>
      <c r="G356" s="63"/>
      <c r="O356" s="9"/>
      <c r="P356" s="9"/>
      <c r="Q356" s="9"/>
    </row>
    <row r="357">
      <c r="F357" s="63"/>
      <c r="G357" s="63"/>
      <c r="O357" s="9"/>
      <c r="P357" s="9"/>
      <c r="Q357" s="9"/>
    </row>
    <row r="358">
      <c r="F358" s="63"/>
      <c r="G358" s="63"/>
      <c r="O358" s="9"/>
      <c r="P358" s="9"/>
      <c r="Q358" s="9"/>
    </row>
    <row r="359">
      <c r="F359" s="63"/>
      <c r="G359" s="63"/>
      <c r="O359" s="9"/>
      <c r="P359" s="9"/>
      <c r="Q359" s="9"/>
    </row>
    <row r="360">
      <c r="F360" s="63"/>
      <c r="G360" s="63"/>
      <c r="O360" s="9"/>
      <c r="P360" s="9"/>
      <c r="Q360" s="9"/>
    </row>
    <row r="361">
      <c r="F361" s="63"/>
      <c r="G361" s="63"/>
      <c r="O361" s="9"/>
      <c r="P361" s="9"/>
      <c r="Q361" s="9"/>
    </row>
    <row r="362">
      <c r="F362" s="63"/>
      <c r="G362" s="63"/>
      <c r="O362" s="9"/>
      <c r="P362" s="9"/>
      <c r="Q362" s="9"/>
    </row>
    <row r="363">
      <c r="F363" s="63"/>
      <c r="G363" s="63"/>
      <c r="O363" s="9"/>
      <c r="P363" s="9"/>
      <c r="Q363" s="9"/>
    </row>
    <row r="364">
      <c r="F364" s="63"/>
      <c r="G364" s="63"/>
      <c r="O364" s="9"/>
      <c r="P364" s="9"/>
      <c r="Q364" s="9"/>
    </row>
    <row r="365">
      <c r="F365" s="63"/>
      <c r="G365" s="63"/>
      <c r="O365" s="9"/>
      <c r="P365" s="9"/>
      <c r="Q365" s="9"/>
    </row>
    <row r="366">
      <c r="F366" s="63"/>
      <c r="G366" s="63"/>
      <c r="O366" s="9"/>
      <c r="P366" s="9"/>
      <c r="Q366" s="9"/>
    </row>
    <row r="367">
      <c r="F367" s="63"/>
      <c r="G367" s="63"/>
      <c r="O367" s="9"/>
      <c r="P367" s="9"/>
      <c r="Q367" s="9"/>
    </row>
    <row r="368">
      <c r="F368" s="63"/>
      <c r="G368" s="63"/>
      <c r="O368" s="9"/>
      <c r="P368" s="9"/>
      <c r="Q368" s="9"/>
    </row>
    <row r="369">
      <c r="F369" s="63"/>
      <c r="G369" s="63"/>
      <c r="O369" s="9"/>
      <c r="P369" s="9"/>
      <c r="Q369" s="9"/>
    </row>
    <row r="370">
      <c r="F370" s="63"/>
      <c r="G370" s="63"/>
      <c r="O370" s="9"/>
      <c r="P370" s="9"/>
      <c r="Q370" s="9"/>
    </row>
    <row r="371">
      <c r="F371" s="63"/>
      <c r="G371" s="63"/>
      <c r="O371" s="9"/>
      <c r="P371" s="9"/>
      <c r="Q371" s="9"/>
    </row>
    <row r="372">
      <c r="F372" s="63"/>
      <c r="G372" s="63"/>
      <c r="O372" s="9"/>
      <c r="P372" s="9"/>
      <c r="Q372" s="9"/>
    </row>
    <row r="373">
      <c r="F373" s="63"/>
      <c r="G373" s="63"/>
      <c r="O373" s="9"/>
      <c r="P373" s="9"/>
      <c r="Q373" s="9"/>
    </row>
    <row r="374">
      <c r="F374" s="63"/>
      <c r="G374" s="63"/>
      <c r="O374" s="9"/>
      <c r="P374" s="9"/>
      <c r="Q374" s="9"/>
    </row>
    <row r="375">
      <c r="F375" s="63"/>
      <c r="G375" s="63"/>
      <c r="O375" s="9"/>
      <c r="P375" s="9"/>
      <c r="Q375" s="9"/>
    </row>
    <row r="376">
      <c r="F376" s="63"/>
      <c r="G376" s="63"/>
      <c r="O376" s="9"/>
      <c r="P376" s="9"/>
      <c r="Q376" s="9"/>
    </row>
    <row r="377">
      <c r="F377" s="63"/>
      <c r="G377" s="63"/>
      <c r="O377" s="9"/>
      <c r="P377" s="9"/>
      <c r="Q377" s="9"/>
    </row>
    <row r="378">
      <c r="F378" s="63"/>
      <c r="G378" s="63"/>
      <c r="O378" s="9"/>
      <c r="P378" s="9"/>
      <c r="Q378" s="9"/>
    </row>
    <row r="379">
      <c r="F379" s="63"/>
      <c r="G379" s="63"/>
      <c r="O379" s="9"/>
      <c r="P379" s="9"/>
      <c r="Q379" s="9"/>
    </row>
    <row r="380">
      <c r="F380" s="63"/>
      <c r="G380" s="63"/>
      <c r="O380" s="9"/>
      <c r="P380" s="9"/>
      <c r="Q380" s="9"/>
    </row>
    <row r="381">
      <c r="F381" s="63"/>
      <c r="G381" s="63"/>
      <c r="O381" s="9"/>
      <c r="P381" s="9"/>
      <c r="Q381" s="9"/>
    </row>
    <row r="382">
      <c r="F382" s="63"/>
      <c r="G382" s="63"/>
      <c r="O382" s="9"/>
      <c r="P382" s="9"/>
      <c r="Q382" s="9"/>
    </row>
    <row r="383">
      <c r="F383" s="63"/>
      <c r="G383" s="63"/>
      <c r="O383" s="9"/>
      <c r="P383" s="9"/>
      <c r="Q383" s="9"/>
    </row>
    <row r="384">
      <c r="F384" s="63"/>
      <c r="G384" s="63"/>
      <c r="O384" s="9"/>
      <c r="P384" s="9"/>
      <c r="Q384" s="9"/>
    </row>
    <row r="385">
      <c r="F385" s="63"/>
      <c r="G385" s="63"/>
      <c r="O385" s="9"/>
      <c r="P385" s="9"/>
      <c r="Q385" s="9"/>
    </row>
    <row r="386">
      <c r="F386" s="63"/>
      <c r="G386" s="63"/>
      <c r="O386" s="9"/>
      <c r="P386" s="9"/>
      <c r="Q386" s="9"/>
    </row>
    <row r="387">
      <c r="F387" s="63"/>
      <c r="G387" s="63"/>
      <c r="O387" s="9"/>
      <c r="P387" s="9"/>
      <c r="Q387" s="9"/>
    </row>
    <row r="388">
      <c r="F388" s="63"/>
      <c r="G388" s="63"/>
      <c r="O388" s="9"/>
      <c r="P388" s="9"/>
      <c r="Q388" s="9"/>
    </row>
    <row r="389">
      <c r="F389" s="63"/>
      <c r="G389" s="63"/>
      <c r="O389" s="9"/>
      <c r="P389" s="9"/>
      <c r="Q389" s="9"/>
    </row>
    <row r="390">
      <c r="F390" s="63"/>
      <c r="G390" s="63"/>
      <c r="O390" s="9"/>
      <c r="P390" s="9"/>
      <c r="Q390" s="9"/>
    </row>
    <row r="391">
      <c r="F391" s="63"/>
      <c r="G391" s="63"/>
      <c r="O391" s="9"/>
      <c r="P391" s="9"/>
      <c r="Q391" s="9"/>
    </row>
    <row r="392">
      <c r="F392" s="63"/>
      <c r="G392" s="63"/>
      <c r="O392" s="9"/>
      <c r="P392" s="9"/>
      <c r="Q392" s="9"/>
    </row>
    <row r="393">
      <c r="F393" s="63"/>
      <c r="G393" s="63"/>
      <c r="O393" s="9"/>
      <c r="P393" s="9"/>
      <c r="Q393" s="9"/>
    </row>
    <row r="394">
      <c r="F394" s="63"/>
      <c r="G394" s="63"/>
      <c r="O394" s="9"/>
      <c r="P394" s="9"/>
      <c r="Q394" s="9"/>
    </row>
    <row r="395">
      <c r="F395" s="63"/>
      <c r="G395" s="63"/>
      <c r="O395" s="9"/>
      <c r="P395" s="9"/>
      <c r="Q395" s="9"/>
    </row>
    <row r="396">
      <c r="F396" s="63"/>
      <c r="G396" s="63"/>
      <c r="O396" s="9"/>
      <c r="P396" s="9"/>
      <c r="Q396" s="9"/>
    </row>
    <row r="397">
      <c r="F397" s="63"/>
      <c r="G397" s="63"/>
      <c r="O397" s="9"/>
      <c r="P397" s="9"/>
      <c r="Q397" s="9"/>
    </row>
    <row r="398">
      <c r="F398" s="63"/>
      <c r="G398" s="63"/>
      <c r="O398" s="9"/>
      <c r="P398" s="9"/>
      <c r="Q398" s="9"/>
    </row>
    <row r="399">
      <c r="F399" s="63"/>
      <c r="G399" s="63"/>
      <c r="O399" s="9"/>
      <c r="P399" s="9"/>
      <c r="Q399" s="9"/>
    </row>
    <row r="400">
      <c r="F400" s="63"/>
      <c r="G400" s="63"/>
      <c r="O400" s="9"/>
      <c r="P400" s="9"/>
      <c r="Q400" s="9"/>
    </row>
    <row r="401">
      <c r="F401" s="63"/>
      <c r="G401" s="63"/>
      <c r="O401" s="9"/>
      <c r="P401" s="9"/>
      <c r="Q401" s="9"/>
    </row>
    <row r="402">
      <c r="F402" s="63"/>
      <c r="G402" s="63"/>
      <c r="O402" s="9"/>
      <c r="P402" s="9"/>
      <c r="Q402" s="9"/>
    </row>
    <row r="403">
      <c r="F403" s="63"/>
      <c r="G403" s="63"/>
      <c r="O403" s="9"/>
      <c r="P403" s="9"/>
      <c r="Q403" s="9"/>
    </row>
    <row r="404">
      <c r="F404" s="63"/>
      <c r="G404" s="63"/>
      <c r="O404" s="9"/>
      <c r="P404" s="9"/>
      <c r="Q404" s="9"/>
    </row>
    <row r="405">
      <c r="F405" s="63"/>
      <c r="G405" s="63"/>
      <c r="O405" s="9"/>
      <c r="P405" s="9"/>
      <c r="Q405" s="9"/>
    </row>
    <row r="406">
      <c r="F406" s="63"/>
      <c r="G406" s="63"/>
      <c r="O406" s="9"/>
      <c r="P406" s="9"/>
      <c r="Q406" s="9"/>
    </row>
    <row r="407">
      <c r="F407" s="63"/>
      <c r="G407" s="63"/>
      <c r="O407" s="9"/>
      <c r="P407" s="9"/>
      <c r="Q407" s="9"/>
    </row>
    <row r="408">
      <c r="F408" s="63"/>
      <c r="G408" s="63"/>
      <c r="O408" s="9"/>
      <c r="P408" s="9"/>
      <c r="Q408" s="9"/>
    </row>
    <row r="409">
      <c r="F409" s="63"/>
      <c r="G409" s="63"/>
      <c r="O409" s="9"/>
      <c r="P409" s="9"/>
      <c r="Q409" s="9"/>
    </row>
    <row r="410">
      <c r="F410" s="63"/>
      <c r="G410" s="63"/>
      <c r="O410" s="9"/>
      <c r="P410" s="9"/>
      <c r="Q410" s="9"/>
    </row>
    <row r="411">
      <c r="F411" s="63"/>
      <c r="G411" s="63"/>
      <c r="O411" s="9"/>
      <c r="P411" s="9"/>
      <c r="Q411" s="9"/>
    </row>
    <row r="412">
      <c r="F412" s="63"/>
      <c r="G412" s="63"/>
      <c r="O412" s="9"/>
      <c r="P412" s="9"/>
      <c r="Q412" s="9"/>
    </row>
    <row r="413">
      <c r="F413" s="63"/>
      <c r="G413" s="63"/>
      <c r="O413" s="9"/>
      <c r="P413" s="9"/>
      <c r="Q413" s="9"/>
    </row>
    <row r="414">
      <c r="F414" s="63"/>
      <c r="G414" s="63"/>
      <c r="O414" s="9"/>
      <c r="P414" s="9"/>
      <c r="Q414" s="9"/>
    </row>
    <row r="415">
      <c r="F415" s="63"/>
      <c r="G415" s="63"/>
      <c r="O415" s="9"/>
      <c r="P415" s="9"/>
      <c r="Q415" s="9"/>
    </row>
    <row r="416">
      <c r="F416" s="63"/>
      <c r="G416" s="63"/>
      <c r="O416" s="9"/>
      <c r="P416" s="9"/>
      <c r="Q416" s="9"/>
    </row>
    <row r="417">
      <c r="F417" s="63"/>
      <c r="G417" s="63"/>
      <c r="O417" s="9"/>
      <c r="P417" s="9"/>
      <c r="Q417" s="9"/>
    </row>
    <row r="418">
      <c r="F418" s="63"/>
      <c r="G418" s="63"/>
      <c r="O418" s="9"/>
      <c r="P418" s="9"/>
      <c r="Q418" s="9"/>
    </row>
    <row r="419">
      <c r="F419" s="63"/>
      <c r="G419" s="63"/>
      <c r="O419" s="9"/>
      <c r="P419" s="9"/>
      <c r="Q419" s="9"/>
    </row>
    <row r="420">
      <c r="F420" s="63"/>
      <c r="G420" s="63"/>
      <c r="O420" s="9"/>
      <c r="P420" s="9"/>
      <c r="Q420" s="9"/>
    </row>
    <row r="421">
      <c r="F421" s="63"/>
      <c r="G421" s="63"/>
      <c r="O421" s="9"/>
      <c r="P421" s="9"/>
      <c r="Q421" s="9"/>
    </row>
    <row r="422">
      <c r="F422" s="63"/>
      <c r="G422" s="63"/>
      <c r="O422" s="9"/>
      <c r="P422" s="9"/>
      <c r="Q422" s="9"/>
    </row>
    <row r="423">
      <c r="F423" s="63"/>
      <c r="G423" s="63"/>
      <c r="O423" s="9"/>
      <c r="P423" s="9"/>
      <c r="Q423" s="9"/>
    </row>
    <row r="424">
      <c r="F424" s="63"/>
      <c r="G424" s="63"/>
      <c r="O424" s="9"/>
      <c r="P424" s="9"/>
      <c r="Q424" s="9"/>
    </row>
    <row r="425">
      <c r="F425" s="63"/>
      <c r="G425" s="63"/>
      <c r="O425" s="9"/>
      <c r="P425" s="9"/>
      <c r="Q425" s="9"/>
    </row>
    <row r="426">
      <c r="F426" s="63"/>
      <c r="G426" s="63"/>
      <c r="O426" s="9"/>
      <c r="P426" s="9"/>
      <c r="Q426" s="9"/>
    </row>
    <row r="427">
      <c r="F427" s="63"/>
      <c r="G427" s="63"/>
      <c r="O427" s="9"/>
      <c r="P427" s="9"/>
      <c r="Q427" s="9"/>
    </row>
    <row r="428">
      <c r="F428" s="63"/>
      <c r="G428" s="63"/>
      <c r="O428" s="9"/>
      <c r="P428" s="9"/>
      <c r="Q428" s="9"/>
    </row>
    <row r="429">
      <c r="F429" s="63"/>
      <c r="G429" s="63"/>
      <c r="O429" s="9"/>
      <c r="P429" s="9"/>
      <c r="Q429" s="9"/>
    </row>
    <row r="430">
      <c r="F430" s="63"/>
      <c r="G430" s="63"/>
      <c r="O430" s="9"/>
      <c r="P430" s="9"/>
      <c r="Q430" s="9"/>
    </row>
    <row r="431">
      <c r="F431" s="63"/>
      <c r="G431" s="63"/>
      <c r="O431" s="9"/>
      <c r="P431" s="9"/>
      <c r="Q431" s="9"/>
    </row>
    <row r="432">
      <c r="F432" s="63"/>
      <c r="G432" s="63"/>
      <c r="O432" s="9"/>
      <c r="P432" s="9"/>
      <c r="Q432" s="9"/>
    </row>
    <row r="433">
      <c r="F433" s="63"/>
      <c r="G433" s="63"/>
      <c r="O433" s="9"/>
      <c r="P433" s="9"/>
      <c r="Q433" s="9"/>
    </row>
    <row r="434">
      <c r="F434" s="63"/>
      <c r="G434" s="63"/>
      <c r="O434" s="9"/>
      <c r="P434" s="9"/>
      <c r="Q434" s="9"/>
    </row>
    <row r="435">
      <c r="F435" s="63"/>
      <c r="G435" s="63"/>
      <c r="O435" s="9"/>
      <c r="P435" s="9"/>
      <c r="Q435" s="9"/>
    </row>
    <row r="436">
      <c r="F436" s="63"/>
      <c r="G436" s="63"/>
      <c r="O436" s="9"/>
      <c r="P436" s="9"/>
      <c r="Q436" s="9"/>
    </row>
    <row r="437">
      <c r="F437" s="63"/>
      <c r="G437" s="63"/>
      <c r="O437" s="9"/>
      <c r="P437" s="9"/>
      <c r="Q437" s="9"/>
    </row>
    <row r="438">
      <c r="F438" s="63"/>
      <c r="G438" s="63"/>
      <c r="O438" s="9"/>
      <c r="P438" s="9"/>
      <c r="Q438" s="9"/>
    </row>
    <row r="439">
      <c r="F439" s="63"/>
      <c r="G439" s="63"/>
      <c r="O439" s="9"/>
      <c r="P439" s="9"/>
      <c r="Q439" s="9"/>
    </row>
    <row r="440">
      <c r="F440" s="63"/>
      <c r="G440" s="63"/>
      <c r="O440" s="9"/>
      <c r="P440" s="9"/>
      <c r="Q440" s="9"/>
    </row>
    <row r="441">
      <c r="F441" s="63"/>
      <c r="G441" s="63"/>
      <c r="O441" s="9"/>
      <c r="P441" s="9"/>
      <c r="Q441" s="9"/>
    </row>
    <row r="442">
      <c r="F442" s="63"/>
      <c r="G442" s="63"/>
      <c r="O442" s="9"/>
      <c r="P442" s="9"/>
      <c r="Q442" s="9"/>
    </row>
    <row r="443">
      <c r="F443" s="63"/>
      <c r="G443" s="63"/>
      <c r="O443" s="9"/>
      <c r="P443" s="9"/>
      <c r="Q443" s="9"/>
    </row>
    <row r="444">
      <c r="F444" s="63"/>
      <c r="G444" s="63"/>
      <c r="O444" s="9"/>
      <c r="P444" s="9"/>
      <c r="Q444" s="9"/>
    </row>
    <row r="445">
      <c r="F445" s="63"/>
      <c r="G445" s="63"/>
      <c r="O445" s="9"/>
      <c r="P445" s="9"/>
      <c r="Q445" s="9"/>
    </row>
    <row r="446">
      <c r="F446" s="63"/>
      <c r="G446" s="63"/>
      <c r="O446" s="9"/>
      <c r="P446" s="9"/>
      <c r="Q446" s="9"/>
    </row>
    <row r="447">
      <c r="F447" s="63"/>
      <c r="G447" s="63"/>
      <c r="O447" s="9"/>
      <c r="P447" s="9"/>
      <c r="Q447" s="9"/>
    </row>
    <row r="448">
      <c r="F448" s="63"/>
      <c r="G448" s="63"/>
      <c r="O448" s="9"/>
      <c r="P448" s="9"/>
      <c r="Q448" s="9"/>
    </row>
    <row r="449">
      <c r="F449" s="63"/>
      <c r="G449" s="63"/>
      <c r="O449" s="9"/>
      <c r="P449" s="9"/>
      <c r="Q449" s="9"/>
    </row>
    <row r="450">
      <c r="F450" s="63"/>
      <c r="G450" s="63"/>
      <c r="O450" s="9"/>
      <c r="P450" s="9"/>
      <c r="Q450" s="9"/>
    </row>
    <row r="451">
      <c r="F451" s="63"/>
      <c r="G451" s="63"/>
      <c r="O451" s="9"/>
      <c r="P451" s="9"/>
      <c r="Q451" s="9"/>
    </row>
    <row r="452">
      <c r="F452" s="63"/>
      <c r="G452" s="63"/>
      <c r="O452" s="9"/>
      <c r="P452" s="9"/>
      <c r="Q452" s="9"/>
    </row>
    <row r="453">
      <c r="F453" s="63"/>
      <c r="G453" s="63"/>
      <c r="O453" s="9"/>
      <c r="P453" s="9"/>
      <c r="Q453" s="9"/>
    </row>
    <row r="454">
      <c r="F454" s="63"/>
      <c r="G454" s="63"/>
      <c r="O454" s="9"/>
      <c r="P454" s="9"/>
      <c r="Q454" s="9"/>
    </row>
    <row r="455">
      <c r="F455" s="63"/>
      <c r="G455" s="63"/>
      <c r="O455" s="9"/>
      <c r="P455" s="9"/>
      <c r="Q455" s="9"/>
    </row>
    <row r="456">
      <c r="F456" s="63"/>
      <c r="G456" s="63"/>
      <c r="O456" s="9"/>
      <c r="P456" s="9"/>
      <c r="Q456" s="9"/>
    </row>
    <row r="457">
      <c r="F457" s="63"/>
      <c r="G457" s="63"/>
      <c r="O457" s="9"/>
      <c r="P457" s="9"/>
      <c r="Q457" s="9"/>
    </row>
    <row r="458">
      <c r="F458" s="63"/>
      <c r="G458" s="63"/>
      <c r="O458" s="9"/>
      <c r="P458" s="9"/>
      <c r="Q458" s="9"/>
    </row>
    <row r="459">
      <c r="F459" s="63"/>
      <c r="G459" s="63"/>
      <c r="O459" s="9"/>
      <c r="P459" s="9"/>
      <c r="Q459" s="9"/>
    </row>
    <row r="460">
      <c r="F460" s="63"/>
      <c r="G460" s="63"/>
      <c r="O460" s="9"/>
      <c r="P460" s="9"/>
      <c r="Q460" s="9"/>
    </row>
    <row r="461">
      <c r="F461" s="63"/>
      <c r="G461" s="63"/>
      <c r="O461" s="9"/>
      <c r="P461" s="9"/>
      <c r="Q461" s="9"/>
    </row>
    <row r="462">
      <c r="F462" s="63"/>
      <c r="G462" s="63"/>
      <c r="O462" s="9"/>
      <c r="P462" s="9"/>
      <c r="Q462" s="9"/>
    </row>
    <row r="463">
      <c r="F463" s="63"/>
      <c r="G463" s="63"/>
      <c r="O463" s="9"/>
      <c r="P463" s="9"/>
      <c r="Q463" s="9"/>
    </row>
    <row r="464">
      <c r="F464" s="63"/>
      <c r="G464" s="63"/>
      <c r="O464" s="9"/>
      <c r="P464" s="9"/>
      <c r="Q464" s="9"/>
    </row>
    <row r="465">
      <c r="F465" s="63"/>
      <c r="G465" s="63"/>
      <c r="O465" s="9"/>
      <c r="P465" s="9"/>
      <c r="Q465" s="9"/>
    </row>
    <row r="466">
      <c r="F466" s="63"/>
      <c r="G466" s="63"/>
      <c r="O466" s="9"/>
      <c r="P466" s="9"/>
      <c r="Q466" s="9"/>
    </row>
    <row r="467">
      <c r="F467" s="63"/>
      <c r="G467" s="63"/>
      <c r="O467" s="9"/>
      <c r="P467" s="9"/>
      <c r="Q467" s="9"/>
    </row>
    <row r="468">
      <c r="F468" s="63"/>
      <c r="G468" s="63"/>
      <c r="O468" s="9"/>
      <c r="P468" s="9"/>
      <c r="Q468" s="9"/>
    </row>
    <row r="469">
      <c r="F469" s="63"/>
      <c r="G469" s="63"/>
      <c r="O469" s="9"/>
      <c r="P469" s="9"/>
      <c r="Q469" s="9"/>
    </row>
    <row r="470">
      <c r="F470" s="63"/>
      <c r="G470" s="63"/>
      <c r="O470" s="9"/>
      <c r="P470" s="9"/>
      <c r="Q470" s="9"/>
    </row>
    <row r="471">
      <c r="F471" s="63"/>
      <c r="G471" s="63"/>
      <c r="O471" s="9"/>
      <c r="P471" s="9"/>
      <c r="Q471" s="9"/>
    </row>
    <row r="472">
      <c r="F472" s="63"/>
      <c r="G472" s="63"/>
      <c r="O472" s="9"/>
      <c r="P472" s="9"/>
      <c r="Q472" s="9"/>
    </row>
    <row r="473">
      <c r="F473" s="63"/>
      <c r="G473" s="63"/>
      <c r="O473" s="9"/>
      <c r="P473" s="9"/>
      <c r="Q473" s="9"/>
    </row>
    <row r="474">
      <c r="F474" s="63"/>
      <c r="G474" s="63"/>
      <c r="O474" s="9"/>
      <c r="P474" s="9"/>
      <c r="Q474" s="9"/>
    </row>
    <row r="475">
      <c r="F475" s="63"/>
      <c r="G475" s="63"/>
      <c r="O475" s="9"/>
      <c r="P475" s="9"/>
      <c r="Q475" s="9"/>
    </row>
    <row r="476">
      <c r="F476" s="63"/>
      <c r="G476" s="63"/>
      <c r="O476" s="9"/>
      <c r="P476" s="9"/>
      <c r="Q476" s="9"/>
    </row>
    <row r="477">
      <c r="F477" s="63"/>
      <c r="G477" s="63"/>
      <c r="O477" s="9"/>
      <c r="P477" s="9"/>
      <c r="Q477" s="9"/>
    </row>
    <row r="478">
      <c r="F478" s="63"/>
      <c r="G478" s="63"/>
      <c r="O478" s="9"/>
      <c r="P478" s="9"/>
      <c r="Q478" s="9"/>
    </row>
    <row r="479">
      <c r="F479" s="63"/>
      <c r="G479" s="63"/>
      <c r="O479" s="9"/>
      <c r="P479" s="9"/>
      <c r="Q479" s="9"/>
    </row>
    <row r="480">
      <c r="F480" s="63"/>
      <c r="G480" s="63"/>
      <c r="O480" s="9"/>
      <c r="P480" s="9"/>
      <c r="Q480" s="9"/>
    </row>
    <row r="481">
      <c r="F481" s="63"/>
      <c r="G481" s="63"/>
      <c r="O481" s="9"/>
      <c r="P481" s="9"/>
      <c r="Q481" s="9"/>
    </row>
    <row r="482">
      <c r="F482" s="63"/>
      <c r="G482" s="63"/>
      <c r="O482" s="9"/>
      <c r="P482" s="9"/>
      <c r="Q482" s="9"/>
    </row>
    <row r="483">
      <c r="F483" s="63"/>
      <c r="G483" s="63"/>
      <c r="O483" s="9"/>
      <c r="P483" s="9"/>
      <c r="Q483" s="9"/>
    </row>
    <row r="484">
      <c r="F484" s="63"/>
      <c r="G484" s="63"/>
      <c r="O484" s="9"/>
      <c r="P484" s="9"/>
      <c r="Q484" s="9"/>
    </row>
    <row r="485">
      <c r="F485" s="63"/>
      <c r="G485" s="63"/>
      <c r="O485" s="9"/>
      <c r="P485" s="9"/>
      <c r="Q485" s="9"/>
    </row>
    <row r="486">
      <c r="F486" s="63"/>
      <c r="G486" s="63"/>
      <c r="O486" s="9"/>
      <c r="P486" s="9"/>
      <c r="Q486" s="9"/>
    </row>
    <row r="487">
      <c r="F487" s="63"/>
      <c r="G487" s="63"/>
      <c r="O487" s="9"/>
      <c r="P487" s="9"/>
      <c r="Q487" s="9"/>
    </row>
    <row r="488">
      <c r="F488" s="63"/>
      <c r="G488" s="63"/>
      <c r="O488" s="9"/>
      <c r="P488" s="9"/>
      <c r="Q488" s="9"/>
    </row>
    <row r="489">
      <c r="F489" s="63"/>
      <c r="G489" s="63"/>
      <c r="O489" s="9"/>
      <c r="P489" s="9"/>
      <c r="Q489" s="9"/>
    </row>
    <row r="490">
      <c r="F490" s="63"/>
      <c r="G490" s="63"/>
      <c r="O490" s="9"/>
      <c r="P490" s="9"/>
      <c r="Q490" s="9"/>
    </row>
    <row r="491">
      <c r="F491" s="63"/>
      <c r="G491" s="63"/>
      <c r="O491" s="9"/>
      <c r="P491" s="9"/>
      <c r="Q491" s="9"/>
    </row>
    <row r="492">
      <c r="F492" s="63"/>
      <c r="G492" s="63"/>
      <c r="O492" s="9"/>
      <c r="P492" s="9"/>
      <c r="Q492" s="9"/>
    </row>
    <row r="493">
      <c r="F493" s="63"/>
      <c r="G493" s="63"/>
      <c r="O493" s="9"/>
      <c r="P493" s="9"/>
      <c r="Q493" s="9"/>
    </row>
    <row r="494">
      <c r="F494" s="63"/>
      <c r="G494" s="63"/>
      <c r="O494" s="9"/>
      <c r="P494" s="9"/>
      <c r="Q494" s="9"/>
    </row>
    <row r="495">
      <c r="F495" s="63"/>
      <c r="G495" s="63"/>
      <c r="O495" s="9"/>
      <c r="P495" s="9"/>
      <c r="Q495" s="9"/>
    </row>
    <row r="496">
      <c r="F496" s="63"/>
      <c r="G496" s="63"/>
      <c r="O496" s="9"/>
      <c r="P496" s="9"/>
      <c r="Q496" s="9"/>
    </row>
    <row r="497">
      <c r="F497" s="63"/>
      <c r="G497" s="63"/>
      <c r="O497" s="9"/>
      <c r="P497" s="9"/>
      <c r="Q497" s="9"/>
    </row>
    <row r="498">
      <c r="F498" s="63"/>
      <c r="G498" s="63"/>
      <c r="O498" s="9"/>
      <c r="P498" s="9"/>
      <c r="Q498" s="9"/>
    </row>
    <row r="499">
      <c r="F499" s="63"/>
      <c r="G499" s="63"/>
      <c r="O499" s="9"/>
      <c r="P499" s="9"/>
      <c r="Q499" s="9"/>
    </row>
    <row r="500">
      <c r="F500" s="63"/>
      <c r="G500" s="63"/>
      <c r="O500" s="9"/>
      <c r="P500" s="9"/>
      <c r="Q500" s="9"/>
    </row>
    <row r="501">
      <c r="F501" s="63"/>
      <c r="G501" s="63"/>
      <c r="O501" s="9"/>
      <c r="P501" s="9"/>
      <c r="Q501" s="9"/>
    </row>
    <row r="502">
      <c r="F502" s="63"/>
      <c r="G502" s="63"/>
      <c r="O502" s="9"/>
      <c r="P502" s="9"/>
      <c r="Q502" s="9"/>
    </row>
    <row r="503">
      <c r="F503" s="63"/>
      <c r="G503" s="63"/>
      <c r="O503" s="9"/>
      <c r="P503" s="9"/>
      <c r="Q503" s="9"/>
    </row>
    <row r="504">
      <c r="F504" s="63"/>
      <c r="G504" s="63"/>
      <c r="O504" s="9"/>
      <c r="P504" s="9"/>
      <c r="Q504" s="9"/>
    </row>
    <row r="505">
      <c r="F505" s="63"/>
      <c r="G505" s="63"/>
      <c r="O505" s="9"/>
      <c r="P505" s="9"/>
      <c r="Q505" s="9"/>
    </row>
    <row r="506">
      <c r="F506" s="63"/>
      <c r="G506" s="63"/>
      <c r="O506" s="9"/>
      <c r="P506" s="9"/>
      <c r="Q506" s="9"/>
    </row>
    <row r="507">
      <c r="F507" s="63"/>
      <c r="G507" s="63"/>
      <c r="O507" s="9"/>
      <c r="P507" s="9"/>
      <c r="Q507" s="9"/>
    </row>
    <row r="508">
      <c r="F508" s="63"/>
      <c r="G508" s="63"/>
      <c r="O508" s="9"/>
      <c r="P508" s="9"/>
      <c r="Q508" s="9"/>
    </row>
    <row r="509">
      <c r="F509" s="63"/>
      <c r="G509" s="63"/>
      <c r="O509" s="9"/>
      <c r="P509" s="9"/>
      <c r="Q509" s="9"/>
    </row>
    <row r="510">
      <c r="F510" s="63"/>
      <c r="G510" s="63"/>
      <c r="O510" s="9"/>
      <c r="P510" s="9"/>
      <c r="Q510" s="9"/>
    </row>
    <row r="511">
      <c r="F511" s="63"/>
      <c r="G511" s="63"/>
      <c r="O511" s="9"/>
      <c r="P511" s="9"/>
      <c r="Q511" s="9"/>
    </row>
    <row r="512">
      <c r="F512" s="63"/>
      <c r="G512" s="63"/>
      <c r="O512" s="9"/>
      <c r="P512" s="9"/>
      <c r="Q512" s="9"/>
    </row>
    <row r="513">
      <c r="F513" s="63"/>
      <c r="G513" s="63"/>
      <c r="O513" s="9"/>
      <c r="P513" s="9"/>
      <c r="Q513" s="9"/>
    </row>
    <row r="514">
      <c r="F514" s="63"/>
      <c r="G514" s="63"/>
      <c r="O514" s="9"/>
      <c r="P514" s="9"/>
      <c r="Q514" s="9"/>
    </row>
    <row r="515">
      <c r="F515" s="63"/>
      <c r="G515" s="63"/>
      <c r="O515" s="9"/>
      <c r="P515" s="9"/>
      <c r="Q515" s="9"/>
    </row>
    <row r="516">
      <c r="F516" s="63"/>
      <c r="G516" s="63"/>
      <c r="O516" s="9"/>
      <c r="P516" s="9"/>
      <c r="Q516" s="9"/>
    </row>
    <row r="517">
      <c r="F517" s="63"/>
      <c r="G517" s="63"/>
      <c r="O517" s="9"/>
      <c r="P517" s="9"/>
      <c r="Q517" s="9"/>
    </row>
    <row r="518">
      <c r="F518" s="63"/>
      <c r="G518" s="63"/>
      <c r="O518" s="9"/>
      <c r="P518" s="9"/>
      <c r="Q518" s="9"/>
    </row>
    <row r="519">
      <c r="F519" s="63"/>
      <c r="G519" s="63"/>
      <c r="O519" s="9"/>
      <c r="P519" s="9"/>
      <c r="Q519" s="9"/>
    </row>
    <row r="520">
      <c r="F520" s="63"/>
      <c r="G520" s="63"/>
      <c r="O520" s="9"/>
      <c r="P520" s="9"/>
      <c r="Q520" s="9"/>
    </row>
    <row r="521">
      <c r="F521" s="63"/>
      <c r="G521" s="63"/>
      <c r="O521" s="9"/>
      <c r="P521" s="9"/>
      <c r="Q521" s="9"/>
    </row>
    <row r="522">
      <c r="F522" s="63"/>
      <c r="G522" s="63"/>
      <c r="O522" s="9"/>
      <c r="P522" s="9"/>
      <c r="Q522" s="9"/>
    </row>
    <row r="523">
      <c r="F523" s="63"/>
      <c r="G523" s="63"/>
      <c r="O523" s="9"/>
      <c r="P523" s="9"/>
      <c r="Q523" s="9"/>
    </row>
    <row r="524">
      <c r="F524" s="63"/>
      <c r="G524" s="63"/>
      <c r="O524" s="9"/>
      <c r="P524" s="9"/>
      <c r="Q524" s="9"/>
    </row>
    <row r="525">
      <c r="F525" s="63"/>
      <c r="G525" s="63"/>
      <c r="O525" s="9"/>
      <c r="P525" s="9"/>
      <c r="Q525" s="9"/>
    </row>
    <row r="526">
      <c r="F526" s="63"/>
      <c r="G526" s="63"/>
      <c r="O526" s="9"/>
      <c r="P526" s="9"/>
      <c r="Q526" s="9"/>
    </row>
    <row r="527">
      <c r="F527" s="63"/>
      <c r="G527" s="63"/>
      <c r="O527" s="9"/>
      <c r="P527" s="9"/>
      <c r="Q527" s="9"/>
    </row>
    <row r="528">
      <c r="F528" s="63"/>
      <c r="G528" s="63"/>
      <c r="O528" s="9"/>
      <c r="P528" s="9"/>
      <c r="Q528" s="9"/>
    </row>
    <row r="529">
      <c r="F529" s="63"/>
      <c r="G529" s="63"/>
      <c r="O529" s="9"/>
      <c r="P529" s="9"/>
      <c r="Q529" s="9"/>
    </row>
    <row r="530">
      <c r="F530" s="63"/>
      <c r="G530" s="63"/>
      <c r="O530" s="9"/>
      <c r="P530" s="9"/>
      <c r="Q530" s="9"/>
    </row>
    <row r="531">
      <c r="F531" s="63"/>
      <c r="G531" s="63"/>
      <c r="O531" s="9"/>
      <c r="P531" s="9"/>
      <c r="Q531" s="9"/>
    </row>
    <row r="532">
      <c r="F532" s="63"/>
      <c r="G532" s="63"/>
      <c r="O532" s="9"/>
      <c r="P532" s="9"/>
      <c r="Q532" s="9"/>
    </row>
    <row r="533">
      <c r="F533" s="63"/>
      <c r="G533" s="63"/>
      <c r="O533" s="9"/>
      <c r="P533" s="9"/>
      <c r="Q533" s="9"/>
    </row>
    <row r="534">
      <c r="F534" s="63"/>
      <c r="G534" s="63"/>
      <c r="O534" s="9"/>
      <c r="P534" s="9"/>
      <c r="Q534" s="9"/>
    </row>
    <row r="535">
      <c r="F535" s="63"/>
      <c r="G535" s="63"/>
      <c r="O535" s="9"/>
      <c r="P535" s="9"/>
      <c r="Q535" s="9"/>
    </row>
    <row r="536">
      <c r="F536" s="63"/>
      <c r="G536" s="63"/>
      <c r="O536" s="9"/>
      <c r="P536" s="9"/>
      <c r="Q536" s="9"/>
    </row>
    <row r="537">
      <c r="F537" s="63"/>
      <c r="G537" s="63"/>
      <c r="O537" s="9"/>
      <c r="P537" s="9"/>
      <c r="Q537" s="9"/>
    </row>
    <row r="538">
      <c r="F538" s="63"/>
      <c r="G538" s="63"/>
      <c r="O538" s="9"/>
      <c r="P538" s="9"/>
      <c r="Q538" s="9"/>
    </row>
    <row r="539">
      <c r="F539" s="63"/>
      <c r="G539" s="63"/>
      <c r="O539" s="9"/>
      <c r="P539" s="9"/>
      <c r="Q539" s="9"/>
    </row>
    <row r="540">
      <c r="F540" s="63"/>
      <c r="G540" s="63"/>
      <c r="O540" s="9"/>
      <c r="P540" s="9"/>
      <c r="Q540" s="9"/>
    </row>
    <row r="541">
      <c r="F541" s="63"/>
      <c r="G541" s="63"/>
      <c r="O541" s="9"/>
      <c r="P541" s="9"/>
      <c r="Q541" s="9"/>
    </row>
    <row r="542">
      <c r="F542" s="63"/>
      <c r="G542" s="63"/>
      <c r="O542" s="9"/>
      <c r="P542" s="9"/>
      <c r="Q542" s="9"/>
    </row>
    <row r="543">
      <c r="F543" s="63"/>
      <c r="G543" s="63"/>
      <c r="O543" s="9"/>
      <c r="P543" s="9"/>
      <c r="Q543" s="9"/>
    </row>
    <row r="544">
      <c r="F544" s="63"/>
      <c r="G544" s="63"/>
      <c r="O544" s="9"/>
      <c r="P544" s="9"/>
      <c r="Q544" s="9"/>
    </row>
    <row r="545">
      <c r="F545" s="63"/>
      <c r="G545" s="63"/>
      <c r="O545" s="9"/>
      <c r="P545" s="9"/>
      <c r="Q545" s="9"/>
    </row>
    <row r="546">
      <c r="F546" s="63"/>
      <c r="G546" s="63"/>
      <c r="O546" s="9"/>
      <c r="P546" s="9"/>
      <c r="Q546" s="9"/>
    </row>
    <row r="547">
      <c r="F547" s="63"/>
      <c r="G547" s="63"/>
      <c r="O547" s="9"/>
      <c r="P547" s="9"/>
      <c r="Q547" s="9"/>
    </row>
    <row r="548">
      <c r="F548" s="63"/>
      <c r="G548" s="63"/>
      <c r="O548" s="9"/>
      <c r="P548" s="9"/>
      <c r="Q548" s="9"/>
    </row>
    <row r="549">
      <c r="F549" s="63"/>
      <c r="G549" s="63"/>
      <c r="O549" s="9"/>
      <c r="P549" s="9"/>
      <c r="Q549" s="9"/>
    </row>
    <row r="550">
      <c r="F550" s="63"/>
      <c r="G550" s="63"/>
      <c r="O550" s="9"/>
      <c r="P550" s="9"/>
      <c r="Q550" s="9"/>
    </row>
    <row r="551">
      <c r="F551" s="63"/>
      <c r="G551" s="63"/>
      <c r="O551" s="9"/>
      <c r="P551" s="9"/>
      <c r="Q551" s="9"/>
    </row>
    <row r="552">
      <c r="F552" s="63"/>
      <c r="G552" s="63"/>
      <c r="O552" s="9"/>
      <c r="P552" s="9"/>
      <c r="Q552" s="9"/>
    </row>
    <row r="553">
      <c r="F553" s="63"/>
      <c r="G553" s="63"/>
      <c r="O553" s="9"/>
      <c r="P553" s="9"/>
      <c r="Q553" s="9"/>
    </row>
    <row r="554">
      <c r="F554" s="63"/>
      <c r="G554" s="63"/>
      <c r="O554" s="9"/>
      <c r="P554" s="9"/>
      <c r="Q554" s="9"/>
    </row>
    <row r="555">
      <c r="F555" s="63"/>
      <c r="G555" s="63"/>
      <c r="O555" s="9"/>
      <c r="P555" s="9"/>
      <c r="Q555" s="9"/>
    </row>
    <row r="556">
      <c r="F556" s="63"/>
      <c r="G556" s="63"/>
      <c r="O556" s="9"/>
      <c r="P556" s="9"/>
      <c r="Q556" s="9"/>
    </row>
    <row r="557">
      <c r="F557" s="63"/>
      <c r="G557" s="63"/>
      <c r="O557" s="9"/>
      <c r="P557" s="9"/>
      <c r="Q557" s="9"/>
    </row>
    <row r="558">
      <c r="F558" s="63"/>
      <c r="G558" s="63"/>
      <c r="O558" s="9"/>
      <c r="P558" s="9"/>
      <c r="Q558" s="9"/>
    </row>
    <row r="559">
      <c r="F559" s="63"/>
      <c r="G559" s="63"/>
      <c r="O559" s="9"/>
      <c r="P559" s="9"/>
      <c r="Q559" s="9"/>
    </row>
    <row r="560">
      <c r="F560" s="63"/>
      <c r="G560" s="63"/>
      <c r="O560" s="9"/>
      <c r="P560" s="9"/>
      <c r="Q560" s="9"/>
    </row>
    <row r="561">
      <c r="F561" s="63"/>
      <c r="G561" s="63"/>
      <c r="O561" s="9"/>
      <c r="P561" s="9"/>
      <c r="Q561" s="9"/>
    </row>
    <row r="562">
      <c r="F562" s="63"/>
      <c r="G562" s="63"/>
      <c r="O562" s="9"/>
      <c r="P562" s="9"/>
      <c r="Q562" s="9"/>
    </row>
    <row r="563">
      <c r="F563" s="63"/>
      <c r="G563" s="63"/>
      <c r="O563" s="9"/>
      <c r="P563" s="9"/>
      <c r="Q563" s="9"/>
    </row>
    <row r="564">
      <c r="F564" s="63"/>
      <c r="G564" s="63"/>
      <c r="O564" s="9"/>
      <c r="P564" s="9"/>
      <c r="Q564" s="9"/>
    </row>
    <row r="565">
      <c r="F565" s="63"/>
      <c r="G565" s="63"/>
      <c r="O565" s="9"/>
      <c r="P565" s="9"/>
      <c r="Q565" s="9"/>
    </row>
    <row r="566">
      <c r="F566" s="63"/>
      <c r="G566" s="63"/>
      <c r="O566" s="9"/>
      <c r="P566" s="9"/>
      <c r="Q566" s="9"/>
    </row>
    <row r="567">
      <c r="F567" s="63"/>
      <c r="G567" s="63"/>
      <c r="O567" s="9"/>
      <c r="P567" s="9"/>
      <c r="Q567" s="9"/>
    </row>
    <row r="568">
      <c r="F568" s="63"/>
      <c r="G568" s="63"/>
      <c r="O568" s="9"/>
      <c r="P568" s="9"/>
      <c r="Q568" s="9"/>
    </row>
    <row r="569">
      <c r="F569" s="63"/>
      <c r="G569" s="63"/>
      <c r="O569" s="9"/>
      <c r="P569" s="9"/>
      <c r="Q569" s="9"/>
    </row>
    <row r="570">
      <c r="F570" s="63"/>
      <c r="G570" s="63"/>
      <c r="O570" s="9"/>
      <c r="P570" s="9"/>
      <c r="Q570" s="9"/>
    </row>
    <row r="571">
      <c r="F571" s="63"/>
      <c r="G571" s="63"/>
      <c r="O571" s="9"/>
      <c r="P571" s="9"/>
      <c r="Q571" s="9"/>
    </row>
    <row r="572">
      <c r="F572" s="63"/>
      <c r="G572" s="63"/>
      <c r="O572" s="9"/>
      <c r="P572" s="9"/>
      <c r="Q572" s="9"/>
    </row>
    <row r="573">
      <c r="F573" s="63"/>
      <c r="G573" s="63"/>
      <c r="O573" s="9"/>
      <c r="P573" s="9"/>
      <c r="Q573" s="9"/>
    </row>
    <row r="574">
      <c r="F574" s="63"/>
      <c r="G574" s="63"/>
      <c r="O574" s="9"/>
      <c r="P574" s="9"/>
      <c r="Q574" s="9"/>
    </row>
    <row r="575">
      <c r="F575" s="63"/>
      <c r="G575" s="63"/>
      <c r="O575" s="9"/>
      <c r="P575" s="9"/>
      <c r="Q575" s="9"/>
    </row>
    <row r="576">
      <c r="F576" s="63"/>
      <c r="G576" s="63"/>
      <c r="O576" s="9"/>
      <c r="P576" s="9"/>
      <c r="Q576" s="9"/>
    </row>
    <row r="577">
      <c r="F577" s="63"/>
      <c r="G577" s="63"/>
      <c r="O577" s="9"/>
      <c r="P577" s="9"/>
      <c r="Q577" s="9"/>
    </row>
    <row r="578">
      <c r="F578" s="63"/>
      <c r="G578" s="63"/>
      <c r="O578" s="9"/>
      <c r="P578" s="9"/>
      <c r="Q578" s="9"/>
    </row>
    <row r="579">
      <c r="F579" s="63"/>
      <c r="G579" s="63"/>
      <c r="O579" s="9"/>
      <c r="P579" s="9"/>
      <c r="Q579" s="9"/>
    </row>
    <row r="580">
      <c r="F580" s="63"/>
      <c r="G580" s="63"/>
      <c r="O580" s="9"/>
      <c r="P580" s="9"/>
      <c r="Q580" s="9"/>
    </row>
    <row r="581">
      <c r="F581" s="63"/>
      <c r="G581" s="63"/>
      <c r="O581" s="9"/>
      <c r="P581" s="9"/>
      <c r="Q581" s="9"/>
    </row>
    <row r="582">
      <c r="F582" s="63"/>
      <c r="G582" s="63"/>
      <c r="O582" s="9"/>
      <c r="P582" s="9"/>
      <c r="Q582" s="9"/>
    </row>
    <row r="583">
      <c r="F583" s="63"/>
      <c r="G583" s="63"/>
      <c r="O583" s="9"/>
      <c r="P583" s="9"/>
      <c r="Q583" s="9"/>
    </row>
    <row r="584">
      <c r="F584" s="63"/>
      <c r="G584" s="63"/>
      <c r="O584" s="9"/>
      <c r="P584" s="9"/>
      <c r="Q584" s="9"/>
    </row>
    <row r="585">
      <c r="F585" s="63"/>
      <c r="G585" s="63"/>
      <c r="O585" s="9"/>
      <c r="P585" s="9"/>
      <c r="Q585" s="9"/>
    </row>
    <row r="586">
      <c r="F586" s="63"/>
      <c r="G586" s="63"/>
      <c r="O586" s="9"/>
      <c r="P586" s="9"/>
      <c r="Q586" s="9"/>
    </row>
    <row r="587">
      <c r="F587" s="63"/>
      <c r="G587" s="63"/>
      <c r="O587" s="9"/>
      <c r="P587" s="9"/>
      <c r="Q587" s="9"/>
    </row>
    <row r="588">
      <c r="F588" s="63"/>
      <c r="G588" s="63"/>
      <c r="O588" s="9"/>
      <c r="P588" s="9"/>
      <c r="Q588" s="9"/>
    </row>
    <row r="589">
      <c r="F589" s="63"/>
      <c r="G589" s="63"/>
      <c r="O589" s="9"/>
      <c r="P589" s="9"/>
      <c r="Q589" s="9"/>
    </row>
    <row r="590">
      <c r="F590" s="63"/>
      <c r="G590" s="63"/>
      <c r="O590" s="9"/>
      <c r="P590" s="9"/>
      <c r="Q590" s="9"/>
    </row>
    <row r="591">
      <c r="F591" s="63"/>
      <c r="G591" s="63"/>
      <c r="O591" s="9"/>
      <c r="P591" s="9"/>
      <c r="Q591" s="9"/>
    </row>
    <row r="592">
      <c r="F592" s="63"/>
      <c r="G592" s="63"/>
      <c r="O592" s="9"/>
      <c r="P592" s="9"/>
      <c r="Q592" s="9"/>
    </row>
    <row r="593">
      <c r="F593" s="63"/>
      <c r="G593" s="63"/>
      <c r="O593" s="9"/>
      <c r="P593" s="9"/>
      <c r="Q593" s="9"/>
    </row>
    <row r="594">
      <c r="F594" s="63"/>
      <c r="G594" s="63"/>
      <c r="O594" s="9"/>
      <c r="P594" s="9"/>
      <c r="Q594" s="9"/>
    </row>
    <row r="595">
      <c r="F595" s="63"/>
      <c r="G595" s="63"/>
      <c r="O595" s="9"/>
      <c r="P595" s="9"/>
      <c r="Q595" s="9"/>
    </row>
    <row r="596">
      <c r="F596" s="63"/>
      <c r="G596" s="63"/>
      <c r="O596" s="9"/>
      <c r="P596" s="9"/>
      <c r="Q596" s="9"/>
    </row>
    <row r="597">
      <c r="F597" s="63"/>
      <c r="G597" s="63"/>
      <c r="O597" s="9"/>
      <c r="P597" s="9"/>
      <c r="Q597" s="9"/>
    </row>
    <row r="598">
      <c r="F598" s="63"/>
      <c r="G598" s="63"/>
      <c r="O598" s="9"/>
      <c r="P598" s="9"/>
      <c r="Q598" s="9"/>
    </row>
    <row r="599">
      <c r="F599" s="63"/>
      <c r="G599" s="63"/>
      <c r="O599" s="9"/>
      <c r="P599" s="9"/>
      <c r="Q599" s="9"/>
    </row>
    <row r="600">
      <c r="F600" s="63"/>
      <c r="G600" s="63"/>
      <c r="O600" s="9"/>
      <c r="P600" s="9"/>
      <c r="Q600" s="9"/>
    </row>
    <row r="601">
      <c r="F601" s="63"/>
      <c r="G601" s="63"/>
      <c r="O601" s="9"/>
      <c r="P601" s="9"/>
      <c r="Q601" s="9"/>
    </row>
    <row r="602">
      <c r="F602" s="63"/>
      <c r="G602" s="63"/>
      <c r="O602" s="9"/>
      <c r="P602" s="9"/>
      <c r="Q602" s="9"/>
    </row>
    <row r="603">
      <c r="F603" s="63"/>
      <c r="G603" s="63"/>
      <c r="O603" s="9"/>
      <c r="P603" s="9"/>
      <c r="Q603" s="9"/>
    </row>
    <row r="604">
      <c r="F604" s="63"/>
      <c r="G604" s="63"/>
      <c r="O604" s="9"/>
      <c r="P604" s="9"/>
      <c r="Q604" s="9"/>
    </row>
    <row r="605">
      <c r="F605" s="63"/>
      <c r="G605" s="63"/>
      <c r="O605" s="9"/>
      <c r="P605" s="9"/>
      <c r="Q605" s="9"/>
    </row>
    <row r="606">
      <c r="F606" s="63"/>
      <c r="G606" s="63"/>
      <c r="O606" s="9"/>
      <c r="P606" s="9"/>
      <c r="Q606" s="9"/>
    </row>
    <row r="607">
      <c r="F607" s="63"/>
      <c r="G607" s="63"/>
      <c r="O607" s="9"/>
      <c r="P607" s="9"/>
      <c r="Q607" s="9"/>
    </row>
    <row r="608">
      <c r="F608" s="63"/>
      <c r="G608" s="63"/>
      <c r="O608" s="9"/>
      <c r="P608" s="9"/>
      <c r="Q608" s="9"/>
    </row>
    <row r="609">
      <c r="F609" s="63"/>
      <c r="G609" s="63"/>
      <c r="O609" s="9"/>
      <c r="P609" s="9"/>
      <c r="Q609" s="9"/>
    </row>
    <row r="610">
      <c r="F610" s="63"/>
      <c r="G610" s="63"/>
      <c r="O610" s="9"/>
      <c r="P610" s="9"/>
      <c r="Q610" s="9"/>
    </row>
    <row r="611">
      <c r="F611" s="63"/>
      <c r="G611" s="63"/>
      <c r="O611" s="9"/>
      <c r="P611" s="9"/>
      <c r="Q611" s="9"/>
    </row>
    <row r="612">
      <c r="F612" s="63"/>
      <c r="G612" s="63"/>
      <c r="O612" s="9"/>
      <c r="P612" s="9"/>
      <c r="Q612" s="9"/>
    </row>
    <row r="613">
      <c r="F613" s="63"/>
      <c r="G613" s="63"/>
      <c r="O613" s="9"/>
      <c r="P613" s="9"/>
      <c r="Q613" s="9"/>
    </row>
    <row r="614">
      <c r="F614" s="63"/>
      <c r="G614" s="63"/>
      <c r="O614" s="9"/>
      <c r="P614" s="9"/>
      <c r="Q614" s="9"/>
    </row>
    <row r="615">
      <c r="F615" s="63"/>
      <c r="G615" s="63"/>
      <c r="O615" s="9"/>
      <c r="P615" s="9"/>
      <c r="Q615" s="9"/>
    </row>
    <row r="616">
      <c r="F616" s="63"/>
      <c r="G616" s="63"/>
      <c r="O616" s="9"/>
      <c r="P616" s="9"/>
      <c r="Q616" s="9"/>
    </row>
    <row r="617">
      <c r="F617" s="63"/>
      <c r="G617" s="63"/>
      <c r="O617" s="9"/>
      <c r="P617" s="9"/>
      <c r="Q617" s="9"/>
    </row>
    <row r="618">
      <c r="F618" s="63"/>
      <c r="G618" s="63"/>
      <c r="O618" s="9"/>
      <c r="P618" s="9"/>
      <c r="Q618" s="9"/>
    </row>
    <row r="619">
      <c r="F619" s="63"/>
      <c r="G619" s="63"/>
      <c r="O619" s="9"/>
      <c r="P619" s="9"/>
      <c r="Q619" s="9"/>
    </row>
    <row r="620">
      <c r="F620" s="63"/>
      <c r="G620" s="63"/>
      <c r="O620" s="9"/>
      <c r="P620" s="9"/>
      <c r="Q620" s="9"/>
    </row>
    <row r="621">
      <c r="F621" s="63"/>
      <c r="G621" s="63"/>
      <c r="O621" s="9"/>
      <c r="P621" s="9"/>
      <c r="Q621" s="9"/>
    </row>
    <row r="622">
      <c r="F622" s="63"/>
      <c r="G622" s="63"/>
      <c r="O622" s="9"/>
      <c r="P622" s="9"/>
      <c r="Q622" s="9"/>
    </row>
    <row r="623">
      <c r="F623" s="63"/>
      <c r="G623" s="63"/>
      <c r="O623" s="9"/>
      <c r="P623" s="9"/>
      <c r="Q623" s="9"/>
    </row>
    <row r="624">
      <c r="F624" s="63"/>
      <c r="G624" s="63"/>
      <c r="O624" s="9"/>
      <c r="P624" s="9"/>
      <c r="Q624" s="9"/>
    </row>
    <row r="625">
      <c r="F625" s="63"/>
      <c r="G625" s="63"/>
      <c r="O625" s="9"/>
      <c r="P625" s="9"/>
      <c r="Q625" s="9"/>
    </row>
    <row r="626">
      <c r="F626" s="63"/>
      <c r="G626" s="63"/>
      <c r="O626" s="9"/>
      <c r="P626" s="9"/>
      <c r="Q626" s="9"/>
    </row>
    <row r="627">
      <c r="F627" s="63"/>
      <c r="G627" s="63"/>
      <c r="O627" s="9"/>
      <c r="P627" s="9"/>
      <c r="Q627" s="9"/>
    </row>
    <row r="628">
      <c r="F628" s="63"/>
      <c r="G628" s="63"/>
      <c r="O628" s="9"/>
      <c r="P628" s="9"/>
      <c r="Q628" s="9"/>
    </row>
    <row r="629">
      <c r="F629" s="63"/>
      <c r="G629" s="63"/>
      <c r="O629" s="9"/>
      <c r="P629" s="9"/>
      <c r="Q629" s="9"/>
    </row>
    <row r="630">
      <c r="F630" s="63"/>
      <c r="G630" s="63"/>
      <c r="O630" s="9"/>
      <c r="P630" s="9"/>
      <c r="Q630" s="9"/>
    </row>
    <row r="631">
      <c r="F631" s="63"/>
      <c r="G631" s="63"/>
      <c r="O631" s="9"/>
      <c r="P631" s="9"/>
      <c r="Q631" s="9"/>
    </row>
    <row r="632">
      <c r="F632" s="63"/>
      <c r="G632" s="63"/>
      <c r="O632" s="9"/>
      <c r="P632" s="9"/>
      <c r="Q632" s="9"/>
    </row>
    <row r="633">
      <c r="F633" s="63"/>
      <c r="G633" s="63"/>
      <c r="O633" s="9"/>
      <c r="P633" s="9"/>
      <c r="Q633" s="9"/>
    </row>
    <row r="634">
      <c r="F634" s="63"/>
      <c r="G634" s="63"/>
      <c r="O634" s="9"/>
      <c r="P634" s="9"/>
      <c r="Q634" s="9"/>
    </row>
    <row r="635">
      <c r="F635" s="63"/>
      <c r="G635" s="63"/>
      <c r="O635" s="9"/>
      <c r="P635" s="9"/>
      <c r="Q635" s="9"/>
    </row>
    <row r="636">
      <c r="F636" s="63"/>
      <c r="G636" s="63"/>
      <c r="O636" s="9"/>
      <c r="P636" s="9"/>
      <c r="Q636" s="9"/>
    </row>
    <row r="637">
      <c r="F637" s="63"/>
      <c r="G637" s="63"/>
      <c r="O637" s="9"/>
      <c r="P637" s="9"/>
      <c r="Q637" s="9"/>
    </row>
    <row r="638">
      <c r="F638" s="63"/>
      <c r="G638" s="63"/>
      <c r="O638" s="9"/>
      <c r="P638" s="9"/>
      <c r="Q638" s="9"/>
    </row>
    <row r="639">
      <c r="F639" s="63"/>
      <c r="G639" s="63"/>
      <c r="O639" s="9"/>
      <c r="P639" s="9"/>
      <c r="Q639" s="9"/>
    </row>
    <row r="640">
      <c r="F640" s="63"/>
      <c r="G640" s="63"/>
      <c r="O640" s="9"/>
      <c r="P640" s="9"/>
      <c r="Q640" s="9"/>
    </row>
    <row r="641">
      <c r="F641" s="63"/>
      <c r="G641" s="63"/>
      <c r="O641" s="9"/>
      <c r="P641" s="9"/>
      <c r="Q641" s="9"/>
    </row>
    <row r="642">
      <c r="F642" s="63"/>
      <c r="G642" s="63"/>
      <c r="O642" s="9"/>
      <c r="P642" s="9"/>
      <c r="Q642" s="9"/>
    </row>
    <row r="643">
      <c r="F643" s="63"/>
      <c r="G643" s="63"/>
      <c r="O643" s="9"/>
      <c r="P643" s="9"/>
      <c r="Q643" s="9"/>
    </row>
    <row r="644">
      <c r="F644" s="63"/>
      <c r="G644" s="63"/>
      <c r="O644" s="9"/>
      <c r="P644" s="9"/>
      <c r="Q644" s="9"/>
    </row>
    <row r="645">
      <c r="F645" s="63"/>
      <c r="G645" s="63"/>
      <c r="O645" s="9"/>
      <c r="P645" s="9"/>
      <c r="Q645" s="9"/>
    </row>
    <row r="646">
      <c r="F646" s="63"/>
      <c r="G646" s="63"/>
      <c r="O646" s="9"/>
      <c r="P646" s="9"/>
      <c r="Q646" s="9"/>
    </row>
    <row r="647">
      <c r="F647" s="63"/>
      <c r="G647" s="63"/>
      <c r="O647" s="9"/>
      <c r="P647" s="9"/>
      <c r="Q647" s="9"/>
    </row>
    <row r="648">
      <c r="F648" s="63"/>
      <c r="G648" s="63"/>
      <c r="O648" s="9"/>
      <c r="P648" s="9"/>
      <c r="Q648" s="9"/>
    </row>
    <row r="649">
      <c r="F649" s="63"/>
      <c r="G649" s="63"/>
      <c r="O649" s="9"/>
      <c r="P649" s="9"/>
      <c r="Q649" s="9"/>
    </row>
    <row r="650">
      <c r="F650" s="63"/>
      <c r="G650" s="63"/>
      <c r="O650" s="9"/>
      <c r="P650" s="9"/>
      <c r="Q650" s="9"/>
    </row>
    <row r="651">
      <c r="F651" s="63"/>
      <c r="G651" s="63"/>
      <c r="O651" s="9"/>
      <c r="P651" s="9"/>
      <c r="Q651" s="9"/>
    </row>
    <row r="652">
      <c r="F652" s="63"/>
      <c r="G652" s="63"/>
      <c r="O652" s="9"/>
      <c r="P652" s="9"/>
      <c r="Q652" s="9"/>
    </row>
    <row r="653">
      <c r="F653" s="63"/>
      <c r="G653" s="63"/>
      <c r="O653" s="9"/>
      <c r="P653" s="9"/>
      <c r="Q653" s="9"/>
    </row>
    <row r="654">
      <c r="F654" s="63"/>
      <c r="G654" s="63"/>
      <c r="O654" s="9"/>
      <c r="P654" s="9"/>
      <c r="Q654" s="9"/>
    </row>
    <row r="655">
      <c r="F655" s="63"/>
      <c r="G655" s="63"/>
      <c r="O655" s="9"/>
      <c r="P655" s="9"/>
      <c r="Q655" s="9"/>
    </row>
    <row r="656">
      <c r="F656" s="63"/>
      <c r="G656" s="63"/>
      <c r="O656" s="9"/>
      <c r="P656" s="9"/>
      <c r="Q656" s="9"/>
    </row>
    <row r="657">
      <c r="F657" s="63"/>
      <c r="G657" s="63"/>
      <c r="O657" s="9"/>
      <c r="P657" s="9"/>
      <c r="Q657" s="9"/>
    </row>
    <row r="658">
      <c r="F658" s="63"/>
      <c r="G658" s="63"/>
      <c r="O658" s="9"/>
      <c r="P658" s="9"/>
      <c r="Q658" s="9"/>
    </row>
    <row r="659">
      <c r="F659" s="63"/>
      <c r="G659" s="63"/>
      <c r="O659" s="9"/>
      <c r="P659" s="9"/>
      <c r="Q659" s="9"/>
    </row>
    <row r="660">
      <c r="F660" s="63"/>
      <c r="G660" s="63"/>
      <c r="O660" s="9"/>
      <c r="P660" s="9"/>
      <c r="Q660" s="9"/>
    </row>
    <row r="661">
      <c r="F661" s="63"/>
      <c r="G661" s="63"/>
      <c r="O661" s="9"/>
      <c r="P661" s="9"/>
      <c r="Q661" s="9"/>
    </row>
    <row r="662">
      <c r="F662" s="63"/>
      <c r="G662" s="63"/>
      <c r="O662" s="9"/>
      <c r="P662" s="9"/>
      <c r="Q662" s="9"/>
    </row>
    <row r="663">
      <c r="F663" s="63"/>
      <c r="G663" s="63"/>
      <c r="O663" s="9"/>
      <c r="P663" s="9"/>
      <c r="Q663" s="9"/>
    </row>
    <row r="664">
      <c r="F664" s="63"/>
      <c r="G664" s="63"/>
      <c r="O664" s="9"/>
      <c r="P664" s="9"/>
      <c r="Q664" s="9"/>
    </row>
    <row r="665">
      <c r="F665" s="63"/>
      <c r="G665" s="63"/>
      <c r="O665" s="9"/>
      <c r="P665" s="9"/>
      <c r="Q665" s="9"/>
    </row>
    <row r="666">
      <c r="F666" s="63"/>
      <c r="G666" s="63"/>
      <c r="O666" s="9"/>
      <c r="P666" s="9"/>
      <c r="Q666" s="9"/>
    </row>
    <row r="667">
      <c r="F667" s="63"/>
      <c r="G667" s="63"/>
      <c r="O667" s="9"/>
      <c r="P667" s="9"/>
      <c r="Q667" s="9"/>
    </row>
    <row r="668">
      <c r="F668" s="63"/>
      <c r="G668" s="63"/>
      <c r="O668" s="9"/>
      <c r="P668" s="9"/>
      <c r="Q668" s="9"/>
    </row>
    <row r="669">
      <c r="F669" s="63"/>
      <c r="G669" s="63"/>
      <c r="O669" s="9"/>
      <c r="P669" s="9"/>
      <c r="Q669" s="9"/>
    </row>
    <row r="670">
      <c r="F670" s="63"/>
      <c r="G670" s="63"/>
      <c r="O670" s="9"/>
      <c r="P670" s="9"/>
      <c r="Q670" s="9"/>
    </row>
    <row r="671">
      <c r="F671" s="63"/>
      <c r="G671" s="63"/>
      <c r="O671" s="9"/>
      <c r="P671" s="9"/>
      <c r="Q671" s="9"/>
    </row>
    <row r="672">
      <c r="F672" s="63"/>
      <c r="G672" s="63"/>
      <c r="O672" s="9"/>
      <c r="P672" s="9"/>
      <c r="Q672" s="9"/>
    </row>
    <row r="673">
      <c r="F673" s="63"/>
      <c r="G673" s="63"/>
      <c r="O673" s="9"/>
      <c r="P673" s="9"/>
      <c r="Q673" s="9"/>
    </row>
    <row r="674">
      <c r="F674" s="63"/>
      <c r="G674" s="63"/>
      <c r="O674" s="9"/>
      <c r="P674" s="9"/>
      <c r="Q674" s="9"/>
    </row>
    <row r="675">
      <c r="F675" s="63"/>
      <c r="G675" s="63"/>
      <c r="O675" s="9"/>
      <c r="P675" s="9"/>
      <c r="Q675" s="9"/>
    </row>
    <row r="676">
      <c r="F676" s="63"/>
      <c r="G676" s="63"/>
      <c r="O676" s="9"/>
      <c r="P676" s="9"/>
      <c r="Q676" s="9"/>
    </row>
    <row r="677">
      <c r="F677" s="63"/>
      <c r="G677" s="63"/>
      <c r="O677" s="9"/>
      <c r="P677" s="9"/>
      <c r="Q677" s="9"/>
    </row>
    <row r="678">
      <c r="F678" s="63"/>
      <c r="G678" s="63"/>
      <c r="O678" s="9"/>
      <c r="P678" s="9"/>
      <c r="Q678" s="9"/>
    </row>
    <row r="679">
      <c r="F679" s="63"/>
      <c r="G679" s="63"/>
      <c r="O679" s="9"/>
      <c r="P679" s="9"/>
      <c r="Q679" s="9"/>
    </row>
    <row r="680">
      <c r="F680" s="63"/>
      <c r="G680" s="63"/>
      <c r="O680" s="9"/>
      <c r="P680" s="9"/>
      <c r="Q680" s="9"/>
    </row>
    <row r="681">
      <c r="F681" s="63"/>
      <c r="G681" s="63"/>
      <c r="O681" s="9"/>
      <c r="P681" s="9"/>
      <c r="Q681" s="9"/>
    </row>
    <row r="682">
      <c r="F682" s="63"/>
      <c r="G682" s="63"/>
      <c r="O682" s="9"/>
      <c r="P682" s="9"/>
      <c r="Q682" s="9"/>
    </row>
    <row r="683">
      <c r="F683" s="63"/>
      <c r="G683" s="63"/>
      <c r="O683" s="9"/>
      <c r="P683" s="9"/>
      <c r="Q683" s="9"/>
    </row>
    <row r="684">
      <c r="F684" s="63"/>
      <c r="G684" s="63"/>
      <c r="O684" s="9"/>
      <c r="P684" s="9"/>
      <c r="Q684" s="9"/>
    </row>
    <row r="685">
      <c r="F685" s="63"/>
      <c r="G685" s="63"/>
      <c r="O685" s="9"/>
      <c r="P685" s="9"/>
      <c r="Q685" s="9"/>
    </row>
    <row r="686">
      <c r="F686" s="63"/>
      <c r="G686" s="63"/>
      <c r="O686" s="9"/>
      <c r="P686" s="9"/>
      <c r="Q686" s="9"/>
    </row>
    <row r="687">
      <c r="F687" s="63"/>
      <c r="G687" s="63"/>
      <c r="O687" s="9"/>
      <c r="P687" s="9"/>
      <c r="Q687" s="9"/>
    </row>
    <row r="688">
      <c r="F688" s="63"/>
      <c r="G688" s="63"/>
      <c r="O688" s="9"/>
      <c r="P688" s="9"/>
      <c r="Q688" s="9"/>
    </row>
    <row r="689">
      <c r="F689" s="63"/>
      <c r="G689" s="63"/>
      <c r="O689" s="9"/>
      <c r="P689" s="9"/>
      <c r="Q689" s="9"/>
    </row>
    <row r="690">
      <c r="F690" s="63"/>
      <c r="G690" s="63"/>
      <c r="O690" s="9"/>
      <c r="P690" s="9"/>
      <c r="Q690" s="9"/>
    </row>
    <row r="691">
      <c r="F691" s="63"/>
      <c r="G691" s="63"/>
      <c r="O691" s="9"/>
      <c r="P691" s="9"/>
      <c r="Q691" s="9"/>
    </row>
    <row r="692">
      <c r="F692" s="63"/>
      <c r="G692" s="63"/>
      <c r="O692" s="9"/>
      <c r="P692" s="9"/>
      <c r="Q692" s="9"/>
    </row>
    <row r="693">
      <c r="F693" s="63"/>
      <c r="G693" s="63"/>
      <c r="O693" s="9"/>
      <c r="P693" s="9"/>
      <c r="Q693" s="9"/>
    </row>
    <row r="694">
      <c r="F694" s="63"/>
      <c r="G694" s="63"/>
      <c r="O694" s="9"/>
      <c r="P694" s="9"/>
      <c r="Q694" s="9"/>
    </row>
    <row r="695">
      <c r="F695" s="63"/>
      <c r="G695" s="63"/>
      <c r="O695" s="9"/>
      <c r="P695" s="9"/>
      <c r="Q695" s="9"/>
    </row>
    <row r="696">
      <c r="F696" s="63"/>
      <c r="G696" s="63"/>
      <c r="O696" s="9"/>
      <c r="P696" s="9"/>
      <c r="Q696" s="9"/>
    </row>
    <row r="697">
      <c r="F697" s="63"/>
      <c r="G697" s="63"/>
      <c r="O697" s="9"/>
      <c r="P697" s="9"/>
      <c r="Q697" s="9"/>
    </row>
    <row r="698">
      <c r="F698" s="63"/>
      <c r="G698" s="63"/>
      <c r="O698" s="9"/>
      <c r="P698" s="9"/>
      <c r="Q698" s="9"/>
    </row>
    <row r="699">
      <c r="F699" s="63"/>
      <c r="G699" s="63"/>
      <c r="O699" s="9"/>
      <c r="P699" s="9"/>
      <c r="Q699" s="9"/>
    </row>
    <row r="700">
      <c r="F700" s="63"/>
      <c r="G700" s="63"/>
      <c r="O700" s="9"/>
      <c r="P700" s="9"/>
      <c r="Q700" s="9"/>
    </row>
    <row r="701">
      <c r="F701" s="63"/>
      <c r="G701" s="63"/>
      <c r="O701" s="9"/>
      <c r="P701" s="9"/>
      <c r="Q701" s="9"/>
    </row>
    <row r="702">
      <c r="F702" s="63"/>
      <c r="G702" s="63"/>
      <c r="O702" s="9"/>
      <c r="P702" s="9"/>
      <c r="Q702" s="9"/>
    </row>
    <row r="703">
      <c r="F703" s="63"/>
      <c r="G703" s="63"/>
      <c r="O703" s="9"/>
      <c r="P703" s="9"/>
      <c r="Q703" s="9"/>
    </row>
    <row r="704">
      <c r="F704" s="63"/>
      <c r="G704" s="63"/>
      <c r="O704" s="9"/>
      <c r="P704" s="9"/>
      <c r="Q704" s="9"/>
    </row>
    <row r="705">
      <c r="F705" s="63"/>
      <c r="G705" s="63"/>
      <c r="O705" s="9"/>
      <c r="P705" s="9"/>
      <c r="Q705" s="9"/>
    </row>
    <row r="706">
      <c r="F706" s="63"/>
      <c r="G706" s="63"/>
      <c r="O706" s="9"/>
      <c r="P706" s="9"/>
      <c r="Q706" s="9"/>
    </row>
    <row r="707">
      <c r="F707" s="63"/>
      <c r="G707" s="63"/>
      <c r="O707" s="9"/>
      <c r="P707" s="9"/>
      <c r="Q707" s="9"/>
    </row>
    <row r="708">
      <c r="F708" s="63"/>
      <c r="G708" s="63"/>
      <c r="O708" s="9"/>
      <c r="P708" s="9"/>
      <c r="Q708" s="9"/>
    </row>
    <row r="709">
      <c r="F709" s="63"/>
      <c r="G709" s="63"/>
      <c r="O709" s="9"/>
      <c r="P709" s="9"/>
      <c r="Q709" s="9"/>
    </row>
    <row r="710">
      <c r="F710" s="63"/>
      <c r="G710" s="63"/>
      <c r="O710" s="9"/>
      <c r="P710" s="9"/>
      <c r="Q710" s="9"/>
    </row>
    <row r="711">
      <c r="F711" s="63"/>
      <c r="G711" s="63"/>
      <c r="O711" s="9"/>
      <c r="P711" s="9"/>
      <c r="Q711" s="9"/>
    </row>
    <row r="712">
      <c r="F712" s="63"/>
      <c r="G712" s="63"/>
      <c r="O712" s="9"/>
      <c r="P712" s="9"/>
      <c r="Q712" s="9"/>
    </row>
    <row r="713">
      <c r="F713" s="63"/>
      <c r="G713" s="63"/>
      <c r="O713" s="9"/>
      <c r="P713" s="9"/>
      <c r="Q713" s="9"/>
    </row>
    <row r="714">
      <c r="F714" s="63"/>
      <c r="G714" s="63"/>
      <c r="O714" s="9"/>
      <c r="P714" s="9"/>
      <c r="Q714" s="9"/>
    </row>
    <row r="715">
      <c r="F715" s="63"/>
      <c r="G715" s="63"/>
      <c r="O715" s="9"/>
      <c r="P715" s="9"/>
      <c r="Q715" s="9"/>
    </row>
    <row r="716">
      <c r="F716" s="63"/>
      <c r="G716" s="63"/>
      <c r="O716" s="9"/>
      <c r="P716" s="9"/>
      <c r="Q716" s="9"/>
    </row>
    <row r="717">
      <c r="F717" s="63"/>
      <c r="G717" s="63"/>
      <c r="O717" s="9"/>
      <c r="P717" s="9"/>
      <c r="Q717" s="9"/>
    </row>
    <row r="718">
      <c r="F718" s="63"/>
      <c r="G718" s="63"/>
      <c r="O718" s="9"/>
      <c r="P718" s="9"/>
      <c r="Q718" s="9"/>
    </row>
    <row r="719">
      <c r="F719" s="63"/>
      <c r="G719" s="63"/>
      <c r="O719" s="9"/>
      <c r="P719" s="9"/>
      <c r="Q719" s="9"/>
    </row>
    <row r="720">
      <c r="F720" s="63"/>
      <c r="G720" s="63"/>
      <c r="O720" s="9"/>
      <c r="P720" s="9"/>
      <c r="Q720" s="9"/>
    </row>
    <row r="721">
      <c r="F721" s="63"/>
      <c r="G721" s="63"/>
      <c r="O721" s="9"/>
      <c r="P721" s="9"/>
      <c r="Q721" s="9"/>
    </row>
    <row r="722">
      <c r="F722" s="63"/>
      <c r="G722" s="63"/>
      <c r="O722" s="9"/>
      <c r="P722" s="9"/>
      <c r="Q722" s="9"/>
    </row>
    <row r="723">
      <c r="F723" s="63"/>
      <c r="G723" s="63"/>
      <c r="O723" s="9"/>
      <c r="P723" s="9"/>
      <c r="Q723" s="9"/>
    </row>
    <row r="724">
      <c r="F724" s="63"/>
      <c r="G724" s="63"/>
      <c r="O724" s="9"/>
      <c r="P724" s="9"/>
      <c r="Q724" s="9"/>
    </row>
    <row r="725">
      <c r="F725" s="63"/>
      <c r="G725" s="63"/>
      <c r="O725" s="9"/>
      <c r="P725" s="9"/>
      <c r="Q725" s="9"/>
    </row>
    <row r="726">
      <c r="F726" s="63"/>
      <c r="G726" s="63"/>
      <c r="O726" s="9"/>
      <c r="P726" s="9"/>
      <c r="Q726" s="9"/>
    </row>
    <row r="727">
      <c r="F727" s="63"/>
      <c r="G727" s="63"/>
      <c r="O727" s="9"/>
      <c r="P727" s="9"/>
      <c r="Q727" s="9"/>
    </row>
    <row r="728">
      <c r="F728" s="63"/>
      <c r="G728" s="63"/>
      <c r="O728" s="9"/>
      <c r="P728" s="9"/>
      <c r="Q728" s="9"/>
    </row>
    <row r="729">
      <c r="F729" s="63"/>
      <c r="G729" s="63"/>
      <c r="O729" s="9"/>
      <c r="P729" s="9"/>
      <c r="Q729" s="9"/>
    </row>
    <row r="730">
      <c r="F730" s="63"/>
      <c r="G730" s="63"/>
      <c r="O730" s="9"/>
      <c r="P730" s="9"/>
      <c r="Q730" s="9"/>
    </row>
    <row r="731">
      <c r="F731" s="63"/>
      <c r="G731" s="63"/>
      <c r="O731" s="9"/>
      <c r="P731" s="9"/>
      <c r="Q731" s="9"/>
    </row>
    <row r="732">
      <c r="F732" s="63"/>
      <c r="G732" s="63"/>
      <c r="O732" s="9"/>
      <c r="P732" s="9"/>
      <c r="Q732" s="9"/>
    </row>
    <row r="733">
      <c r="F733" s="63"/>
      <c r="G733" s="63"/>
      <c r="O733" s="9"/>
      <c r="P733" s="9"/>
      <c r="Q733" s="9"/>
    </row>
    <row r="734">
      <c r="F734" s="63"/>
      <c r="G734" s="63"/>
      <c r="O734" s="9"/>
      <c r="P734" s="9"/>
      <c r="Q734" s="9"/>
    </row>
    <row r="735">
      <c r="F735" s="63"/>
      <c r="G735" s="63"/>
      <c r="O735" s="9"/>
      <c r="P735" s="9"/>
      <c r="Q735" s="9"/>
    </row>
    <row r="736">
      <c r="F736" s="63"/>
      <c r="G736" s="63"/>
      <c r="O736" s="9"/>
      <c r="P736" s="9"/>
      <c r="Q736" s="9"/>
    </row>
    <row r="737">
      <c r="F737" s="63"/>
      <c r="G737" s="63"/>
      <c r="O737" s="9"/>
      <c r="P737" s="9"/>
      <c r="Q737" s="9"/>
    </row>
    <row r="738">
      <c r="F738" s="63"/>
      <c r="G738" s="63"/>
      <c r="O738" s="9"/>
      <c r="P738" s="9"/>
      <c r="Q738" s="9"/>
    </row>
    <row r="739">
      <c r="F739" s="63"/>
      <c r="G739" s="63"/>
      <c r="O739" s="9"/>
      <c r="P739" s="9"/>
      <c r="Q739" s="9"/>
    </row>
    <row r="740">
      <c r="F740" s="63"/>
      <c r="G740" s="63"/>
      <c r="O740" s="9"/>
      <c r="P740" s="9"/>
      <c r="Q740" s="9"/>
    </row>
    <row r="741">
      <c r="F741" s="63"/>
      <c r="G741" s="63"/>
      <c r="O741" s="9"/>
      <c r="P741" s="9"/>
      <c r="Q741" s="9"/>
    </row>
    <row r="742">
      <c r="F742" s="63"/>
      <c r="G742" s="63"/>
      <c r="O742" s="9"/>
      <c r="P742" s="9"/>
      <c r="Q742" s="9"/>
    </row>
    <row r="743">
      <c r="F743" s="63"/>
      <c r="G743" s="63"/>
      <c r="O743" s="9"/>
      <c r="P743" s="9"/>
      <c r="Q743" s="9"/>
    </row>
    <row r="744">
      <c r="F744" s="63"/>
      <c r="G744" s="63"/>
      <c r="O744" s="9"/>
      <c r="P744" s="9"/>
      <c r="Q744" s="9"/>
    </row>
    <row r="745">
      <c r="F745" s="63"/>
      <c r="G745" s="63"/>
      <c r="O745" s="9"/>
      <c r="P745" s="9"/>
      <c r="Q745" s="9"/>
    </row>
    <row r="746">
      <c r="F746" s="63"/>
      <c r="G746" s="63"/>
      <c r="O746" s="9"/>
      <c r="P746" s="9"/>
      <c r="Q746" s="9"/>
    </row>
    <row r="747">
      <c r="F747" s="63"/>
      <c r="G747" s="63"/>
      <c r="O747" s="9"/>
      <c r="P747" s="9"/>
      <c r="Q747" s="9"/>
    </row>
    <row r="748">
      <c r="F748" s="63"/>
      <c r="G748" s="63"/>
      <c r="O748" s="9"/>
      <c r="P748" s="9"/>
      <c r="Q748" s="9"/>
    </row>
    <row r="749">
      <c r="F749" s="63"/>
      <c r="G749" s="63"/>
      <c r="O749" s="9"/>
      <c r="P749" s="9"/>
      <c r="Q749" s="9"/>
    </row>
    <row r="750">
      <c r="F750" s="63"/>
      <c r="G750" s="63"/>
      <c r="O750" s="9"/>
      <c r="P750" s="9"/>
      <c r="Q750" s="9"/>
    </row>
    <row r="751">
      <c r="F751" s="63"/>
      <c r="G751" s="63"/>
      <c r="O751" s="9"/>
      <c r="P751" s="9"/>
      <c r="Q751" s="9"/>
    </row>
    <row r="752">
      <c r="F752" s="63"/>
      <c r="G752" s="63"/>
      <c r="O752" s="9"/>
      <c r="P752" s="9"/>
      <c r="Q752" s="9"/>
    </row>
    <row r="753">
      <c r="F753" s="63"/>
      <c r="G753" s="63"/>
      <c r="O753" s="9"/>
      <c r="P753" s="9"/>
      <c r="Q753" s="9"/>
    </row>
    <row r="754">
      <c r="F754" s="63"/>
      <c r="G754" s="63"/>
      <c r="O754" s="9"/>
      <c r="P754" s="9"/>
      <c r="Q754" s="9"/>
    </row>
    <row r="755">
      <c r="F755" s="63"/>
      <c r="G755" s="63"/>
      <c r="O755" s="9"/>
      <c r="P755" s="9"/>
      <c r="Q755" s="9"/>
    </row>
    <row r="756">
      <c r="F756" s="63"/>
      <c r="G756" s="63"/>
      <c r="O756" s="9"/>
      <c r="P756" s="9"/>
      <c r="Q756" s="9"/>
    </row>
    <row r="757">
      <c r="F757" s="63"/>
      <c r="G757" s="63"/>
      <c r="O757" s="9"/>
      <c r="P757" s="9"/>
      <c r="Q757" s="9"/>
    </row>
    <row r="758">
      <c r="F758" s="63"/>
      <c r="G758" s="63"/>
      <c r="O758" s="9"/>
      <c r="P758" s="9"/>
      <c r="Q758" s="9"/>
    </row>
    <row r="759">
      <c r="F759" s="63"/>
      <c r="G759" s="63"/>
      <c r="O759" s="9"/>
      <c r="P759" s="9"/>
      <c r="Q759" s="9"/>
    </row>
    <row r="760">
      <c r="F760" s="63"/>
      <c r="G760" s="63"/>
      <c r="O760" s="9"/>
      <c r="P760" s="9"/>
      <c r="Q760" s="9"/>
    </row>
    <row r="761">
      <c r="F761" s="63"/>
      <c r="G761" s="63"/>
      <c r="O761" s="9"/>
      <c r="P761" s="9"/>
      <c r="Q761" s="9"/>
    </row>
    <row r="762">
      <c r="F762" s="63"/>
      <c r="G762" s="63"/>
      <c r="O762" s="9"/>
      <c r="P762" s="9"/>
      <c r="Q762" s="9"/>
    </row>
    <row r="763">
      <c r="F763" s="63"/>
      <c r="G763" s="63"/>
      <c r="O763" s="9"/>
      <c r="P763" s="9"/>
      <c r="Q763" s="9"/>
    </row>
    <row r="764">
      <c r="F764" s="63"/>
      <c r="G764" s="63"/>
      <c r="O764" s="9"/>
      <c r="P764" s="9"/>
      <c r="Q764" s="9"/>
    </row>
    <row r="765">
      <c r="F765" s="63"/>
      <c r="G765" s="63"/>
      <c r="O765" s="9"/>
      <c r="P765" s="9"/>
      <c r="Q765" s="9"/>
    </row>
    <row r="766">
      <c r="F766" s="63"/>
      <c r="G766" s="63"/>
      <c r="O766" s="9"/>
      <c r="P766" s="9"/>
      <c r="Q766" s="9"/>
    </row>
    <row r="767">
      <c r="F767" s="63"/>
      <c r="G767" s="63"/>
      <c r="O767" s="9"/>
      <c r="P767" s="9"/>
      <c r="Q767" s="9"/>
    </row>
    <row r="768">
      <c r="F768" s="63"/>
      <c r="G768" s="63"/>
      <c r="O768" s="9"/>
      <c r="P768" s="9"/>
      <c r="Q768" s="9"/>
    </row>
    <row r="769">
      <c r="F769" s="63"/>
      <c r="G769" s="63"/>
      <c r="O769" s="9"/>
      <c r="P769" s="9"/>
      <c r="Q769" s="9"/>
    </row>
    <row r="770">
      <c r="F770" s="63"/>
      <c r="G770" s="63"/>
      <c r="O770" s="9"/>
      <c r="P770" s="9"/>
      <c r="Q770" s="9"/>
    </row>
    <row r="771">
      <c r="F771" s="63"/>
      <c r="G771" s="63"/>
      <c r="O771" s="9"/>
      <c r="P771" s="9"/>
      <c r="Q771" s="9"/>
    </row>
    <row r="772">
      <c r="F772" s="63"/>
      <c r="G772" s="63"/>
      <c r="O772" s="9"/>
      <c r="P772" s="9"/>
      <c r="Q772" s="9"/>
    </row>
    <row r="773">
      <c r="F773" s="63"/>
      <c r="G773" s="63"/>
      <c r="O773" s="9"/>
      <c r="P773" s="9"/>
      <c r="Q773" s="9"/>
    </row>
    <row r="774">
      <c r="F774" s="63"/>
      <c r="G774" s="63"/>
      <c r="O774" s="9"/>
      <c r="P774" s="9"/>
      <c r="Q774" s="9"/>
    </row>
    <row r="775">
      <c r="F775" s="63"/>
      <c r="G775" s="63"/>
      <c r="O775" s="9"/>
      <c r="P775" s="9"/>
      <c r="Q775" s="9"/>
    </row>
    <row r="776">
      <c r="F776" s="63"/>
      <c r="G776" s="63"/>
      <c r="O776" s="9"/>
      <c r="P776" s="9"/>
      <c r="Q776" s="9"/>
    </row>
    <row r="777">
      <c r="F777" s="63"/>
      <c r="G777" s="63"/>
      <c r="O777" s="9"/>
      <c r="P777" s="9"/>
      <c r="Q777" s="9"/>
    </row>
    <row r="778">
      <c r="F778" s="63"/>
      <c r="G778" s="63"/>
      <c r="O778" s="9"/>
      <c r="P778" s="9"/>
      <c r="Q778" s="9"/>
    </row>
    <row r="779">
      <c r="F779" s="63"/>
      <c r="G779" s="63"/>
      <c r="O779" s="9"/>
      <c r="P779" s="9"/>
      <c r="Q779" s="9"/>
    </row>
    <row r="780">
      <c r="F780" s="63"/>
      <c r="G780" s="63"/>
      <c r="O780" s="9"/>
      <c r="P780" s="9"/>
      <c r="Q780" s="9"/>
    </row>
    <row r="781">
      <c r="F781" s="63"/>
      <c r="G781" s="63"/>
      <c r="O781" s="9"/>
      <c r="P781" s="9"/>
      <c r="Q781" s="9"/>
    </row>
    <row r="782">
      <c r="F782" s="63"/>
      <c r="G782" s="63"/>
      <c r="O782" s="9"/>
      <c r="P782" s="9"/>
      <c r="Q782" s="9"/>
    </row>
    <row r="783">
      <c r="F783" s="63"/>
      <c r="G783" s="63"/>
      <c r="O783" s="9"/>
      <c r="P783" s="9"/>
      <c r="Q783" s="9"/>
    </row>
    <row r="784">
      <c r="F784" s="63"/>
      <c r="G784" s="63"/>
      <c r="O784" s="9"/>
      <c r="P784" s="9"/>
      <c r="Q784" s="9"/>
    </row>
    <row r="785">
      <c r="F785" s="63"/>
      <c r="G785" s="63"/>
      <c r="O785" s="9"/>
      <c r="P785" s="9"/>
      <c r="Q785" s="9"/>
    </row>
    <row r="786">
      <c r="F786" s="63"/>
      <c r="G786" s="63"/>
      <c r="O786" s="9"/>
      <c r="P786" s="9"/>
      <c r="Q786" s="9"/>
    </row>
    <row r="787">
      <c r="F787" s="63"/>
      <c r="G787" s="63"/>
      <c r="O787" s="9"/>
      <c r="P787" s="9"/>
      <c r="Q787" s="9"/>
    </row>
    <row r="788">
      <c r="F788" s="63"/>
      <c r="G788" s="63"/>
      <c r="O788" s="9"/>
      <c r="P788" s="9"/>
      <c r="Q788" s="9"/>
    </row>
    <row r="789">
      <c r="F789" s="63"/>
      <c r="G789" s="63"/>
      <c r="O789" s="9"/>
      <c r="P789" s="9"/>
      <c r="Q789" s="9"/>
    </row>
    <row r="790">
      <c r="F790" s="63"/>
      <c r="G790" s="63"/>
      <c r="O790" s="9"/>
      <c r="P790" s="9"/>
      <c r="Q790" s="9"/>
    </row>
    <row r="791">
      <c r="F791" s="63"/>
      <c r="G791" s="63"/>
      <c r="O791" s="9"/>
      <c r="P791" s="9"/>
      <c r="Q791" s="9"/>
    </row>
    <row r="792">
      <c r="F792" s="63"/>
      <c r="G792" s="63"/>
      <c r="O792" s="9"/>
      <c r="P792" s="9"/>
      <c r="Q792" s="9"/>
    </row>
    <row r="793">
      <c r="F793" s="63"/>
      <c r="G793" s="63"/>
      <c r="O793" s="9"/>
      <c r="P793" s="9"/>
      <c r="Q793" s="9"/>
    </row>
    <row r="794">
      <c r="F794" s="63"/>
      <c r="G794" s="63"/>
      <c r="O794" s="9"/>
      <c r="P794" s="9"/>
      <c r="Q794" s="9"/>
    </row>
    <row r="795">
      <c r="F795" s="63"/>
      <c r="G795" s="63"/>
      <c r="O795" s="9"/>
      <c r="P795" s="9"/>
      <c r="Q795" s="9"/>
    </row>
    <row r="796">
      <c r="F796" s="63"/>
      <c r="G796" s="63"/>
      <c r="O796" s="9"/>
      <c r="P796" s="9"/>
      <c r="Q796" s="9"/>
    </row>
    <row r="797">
      <c r="F797" s="63"/>
      <c r="G797" s="63"/>
      <c r="O797" s="9"/>
      <c r="P797" s="9"/>
      <c r="Q797" s="9"/>
    </row>
    <row r="798">
      <c r="F798" s="63"/>
      <c r="G798" s="63"/>
      <c r="O798" s="9"/>
      <c r="P798" s="9"/>
      <c r="Q798" s="9"/>
    </row>
    <row r="799">
      <c r="F799" s="63"/>
      <c r="G799" s="63"/>
      <c r="O799" s="9"/>
      <c r="P799" s="9"/>
      <c r="Q799" s="9"/>
    </row>
    <row r="800">
      <c r="F800" s="63"/>
      <c r="G800" s="63"/>
      <c r="O800" s="9"/>
      <c r="P800" s="9"/>
      <c r="Q800" s="9"/>
    </row>
    <row r="801">
      <c r="F801" s="63"/>
      <c r="G801" s="63"/>
      <c r="O801" s="9"/>
      <c r="P801" s="9"/>
      <c r="Q801" s="9"/>
    </row>
    <row r="802">
      <c r="F802" s="63"/>
      <c r="G802" s="63"/>
      <c r="O802" s="9"/>
      <c r="P802" s="9"/>
      <c r="Q802" s="9"/>
    </row>
    <row r="803">
      <c r="F803" s="63"/>
      <c r="G803" s="63"/>
      <c r="O803" s="9"/>
      <c r="P803" s="9"/>
      <c r="Q803" s="9"/>
    </row>
    <row r="804">
      <c r="F804" s="63"/>
      <c r="G804" s="63"/>
      <c r="O804" s="9"/>
      <c r="P804" s="9"/>
      <c r="Q804" s="9"/>
    </row>
    <row r="805">
      <c r="F805" s="63"/>
      <c r="G805" s="63"/>
      <c r="O805" s="9"/>
      <c r="P805" s="9"/>
      <c r="Q805" s="9"/>
    </row>
    <row r="806">
      <c r="F806" s="63"/>
      <c r="G806" s="63"/>
      <c r="O806" s="9"/>
      <c r="P806" s="9"/>
      <c r="Q806" s="9"/>
    </row>
    <row r="807">
      <c r="F807" s="63"/>
      <c r="G807" s="63"/>
      <c r="O807" s="9"/>
      <c r="P807" s="9"/>
      <c r="Q807" s="9"/>
    </row>
    <row r="808">
      <c r="F808" s="63"/>
      <c r="G808" s="63"/>
      <c r="O808" s="9"/>
      <c r="P808" s="9"/>
      <c r="Q808" s="9"/>
    </row>
    <row r="809">
      <c r="F809" s="63"/>
      <c r="G809" s="63"/>
      <c r="O809" s="9"/>
      <c r="P809" s="9"/>
      <c r="Q809" s="9"/>
    </row>
    <row r="810">
      <c r="F810" s="63"/>
      <c r="G810" s="63"/>
      <c r="O810" s="9"/>
      <c r="P810" s="9"/>
      <c r="Q810" s="9"/>
    </row>
    <row r="811">
      <c r="F811" s="63"/>
      <c r="G811" s="63"/>
      <c r="O811" s="9"/>
      <c r="P811" s="9"/>
      <c r="Q811" s="9"/>
    </row>
    <row r="812">
      <c r="F812" s="63"/>
      <c r="G812" s="63"/>
      <c r="O812" s="9"/>
      <c r="P812" s="9"/>
      <c r="Q812" s="9"/>
    </row>
    <row r="813">
      <c r="F813" s="63"/>
      <c r="G813" s="63"/>
      <c r="O813" s="9"/>
      <c r="P813" s="9"/>
      <c r="Q813" s="9"/>
    </row>
    <row r="814">
      <c r="F814" s="63"/>
      <c r="G814" s="63"/>
      <c r="O814" s="9"/>
      <c r="P814" s="9"/>
      <c r="Q814" s="9"/>
    </row>
    <row r="815">
      <c r="F815" s="63"/>
      <c r="G815" s="63"/>
      <c r="O815" s="9"/>
      <c r="P815" s="9"/>
      <c r="Q815" s="9"/>
    </row>
    <row r="816">
      <c r="F816" s="63"/>
      <c r="G816" s="63"/>
      <c r="O816" s="9"/>
      <c r="P816" s="9"/>
      <c r="Q816" s="9"/>
    </row>
    <row r="817">
      <c r="F817" s="63"/>
      <c r="G817" s="63"/>
      <c r="O817" s="9"/>
      <c r="P817" s="9"/>
      <c r="Q817" s="9"/>
    </row>
    <row r="818">
      <c r="F818" s="63"/>
      <c r="G818" s="63"/>
      <c r="O818" s="9"/>
      <c r="P818" s="9"/>
      <c r="Q818" s="9"/>
    </row>
    <row r="819">
      <c r="F819" s="63"/>
      <c r="G819" s="63"/>
      <c r="O819" s="9"/>
      <c r="P819" s="9"/>
      <c r="Q819" s="9"/>
    </row>
    <row r="820">
      <c r="F820" s="63"/>
      <c r="G820" s="63"/>
      <c r="O820" s="9"/>
      <c r="P820" s="9"/>
      <c r="Q820" s="9"/>
    </row>
    <row r="821">
      <c r="F821" s="63"/>
      <c r="G821" s="63"/>
      <c r="O821" s="9"/>
      <c r="P821" s="9"/>
      <c r="Q821" s="9"/>
    </row>
    <row r="822">
      <c r="F822" s="63"/>
      <c r="G822" s="63"/>
      <c r="O822" s="9"/>
      <c r="P822" s="9"/>
      <c r="Q822" s="9"/>
    </row>
    <row r="823">
      <c r="F823" s="63"/>
      <c r="G823" s="63"/>
      <c r="O823" s="9"/>
      <c r="P823" s="9"/>
      <c r="Q823" s="9"/>
    </row>
    <row r="824">
      <c r="F824" s="63"/>
      <c r="G824" s="63"/>
      <c r="O824" s="9"/>
      <c r="P824" s="9"/>
      <c r="Q824" s="9"/>
    </row>
    <row r="825">
      <c r="F825" s="63"/>
      <c r="G825" s="63"/>
      <c r="O825" s="9"/>
      <c r="P825" s="9"/>
      <c r="Q825" s="9"/>
    </row>
    <row r="826">
      <c r="F826" s="63"/>
      <c r="G826" s="63"/>
      <c r="O826" s="9"/>
      <c r="P826" s="9"/>
      <c r="Q826" s="9"/>
    </row>
    <row r="827">
      <c r="F827" s="63"/>
      <c r="G827" s="63"/>
      <c r="O827" s="9"/>
      <c r="P827" s="9"/>
      <c r="Q827" s="9"/>
    </row>
    <row r="828">
      <c r="F828" s="63"/>
      <c r="G828" s="63"/>
      <c r="O828" s="9"/>
      <c r="P828" s="9"/>
      <c r="Q828" s="9"/>
    </row>
    <row r="829">
      <c r="F829" s="63"/>
      <c r="G829" s="63"/>
      <c r="O829" s="9"/>
      <c r="P829" s="9"/>
      <c r="Q829" s="9"/>
    </row>
    <row r="830">
      <c r="F830" s="63"/>
      <c r="G830" s="63"/>
      <c r="O830" s="9"/>
      <c r="P830" s="9"/>
      <c r="Q830" s="9"/>
    </row>
    <row r="831">
      <c r="F831" s="63"/>
      <c r="G831" s="63"/>
      <c r="O831" s="9"/>
      <c r="P831" s="9"/>
      <c r="Q831" s="9"/>
    </row>
    <row r="832">
      <c r="F832" s="63"/>
      <c r="G832" s="63"/>
      <c r="O832" s="9"/>
      <c r="P832" s="9"/>
      <c r="Q832" s="9"/>
    </row>
    <row r="833">
      <c r="F833" s="63"/>
      <c r="G833" s="63"/>
      <c r="O833" s="9"/>
      <c r="P833" s="9"/>
      <c r="Q833" s="9"/>
    </row>
    <row r="834">
      <c r="F834" s="63"/>
      <c r="G834" s="63"/>
      <c r="O834" s="9"/>
      <c r="P834" s="9"/>
      <c r="Q834" s="9"/>
    </row>
    <row r="835">
      <c r="F835" s="63"/>
      <c r="G835" s="63"/>
      <c r="O835" s="9"/>
      <c r="P835" s="9"/>
      <c r="Q835" s="9"/>
    </row>
    <row r="836">
      <c r="F836" s="63"/>
      <c r="G836" s="63"/>
      <c r="O836" s="9"/>
      <c r="P836" s="9"/>
      <c r="Q836" s="9"/>
    </row>
    <row r="837">
      <c r="F837" s="63"/>
      <c r="G837" s="63"/>
      <c r="O837" s="9"/>
      <c r="P837" s="9"/>
      <c r="Q837" s="9"/>
    </row>
    <row r="838">
      <c r="F838" s="63"/>
      <c r="G838" s="63"/>
      <c r="O838" s="9"/>
      <c r="P838" s="9"/>
      <c r="Q838" s="9"/>
    </row>
    <row r="839">
      <c r="F839" s="63"/>
      <c r="G839" s="63"/>
      <c r="O839" s="9"/>
      <c r="P839" s="9"/>
      <c r="Q839" s="9"/>
    </row>
    <row r="840">
      <c r="F840" s="63"/>
      <c r="G840" s="63"/>
      <c r="O840" s="9"/>
      <c r="P840" s="9"/>
      <c r="Q840" s="9"/>
    </row>
    <row r="841">
      <c r="F841" s="63"/>
      <c r="G841" s="63"/>
      <c r="O841" s="9"/>
      <c r="P841" s="9"/>
      <c r="Q841" s="9"/>
    </row>
    <row r="842">
      <c r="F842" s="63"/>
      <c r="G842" s="63"/>
      <c r="O842" s="9"/>
      <c r="P842" s="9"/>
      <c r="Q842" s="9"/>
    </row>
    <row r="843">
      <c r="F843" s="63"/>
      <c r="G843" s="63"/>
      <c r="O843" s="9"/>
      <c r="P843" s="9"/>
      <c r="Q843" s="9"/>
    </row>
    <row r="844">
      <c r="F844" s="63"/>
      <c r="G844" s="63"/>
      <c r="O844" s="9"/>
      <c r="P844" s="9"/>
      <c r="Q844" s="9"/>
    </row>
    <row r="845">
      <c r="F845" s="63"/>
      <c r="G845" s="63"/>
      <c r="O845" s="9"/>
      <c r="P845" s="9"/>
      <c r="Q845" s="9"/>
    </row>
    <row r="846">
      <c r="F846" s="63"/>
      <c r="G846" s="63"/>
      <c r="O846" s="9"/>
      <c r="P846" s="9"/>
      <c r="Q846" s="9"/>
    </row>
    <row r="847">
      <c r="F847" s="63"/>
      <c r="G847" s="63"/>
      <c r="O847" s="9"/>
      <c r="P847" s="9"/>
      <c r="Q847" s="9"/>
    </row>
    <row r="848">
      <c r="F848" s="63"/>
      <c r="G848" s="63"/>
      <c r="O848" s="9"/>
      <c r="P848" s="9"/>
      <c r="Q848" s="9"/>
    </row>
    <row r="849">
      <c r="F849" s="63"/>
      <c r="G849" s="63"/>
      <c r="O849" s="9"/>
      <c r="P849" s="9"/>
      <c r="Q849" s="9"/>
    </row>
    <row r="850">
      <c r="F850" s="63"/>
      <c r="G850" s="63"/>
      <c r="O850" s="9"/>
      <c r="P850" s="9"/>
      <c r="Q850" s="9"/>
    </row>
    <row r="851">
      <c r="F851" s="63"/>
      <c r="G851" s="63"/>
      <c r="O851" s="9"/>
      <c r="P851" s="9"/>
      <c r="Q851" s="9"/>
    </row>
    <row r="852">
      <c r="F852" s="63"/>
      <c r="G852" s="63"/>
      <c r="O852" s="9"/>
      <c r="P852" s="9"/>
      <c r="Q852" s="9"/>
    </row>
    <row r="853">
      <c r="F853" s="63"/>
      <c r="G853" s="63"/>
      <c r="O853" s="9"/>
      <c r="P853" s="9"/>
      <c r="Q853" s="9"/>
    </row>
    <row r="854">
      <c r="F854" s="63"/>
      <c r="G854" s="63"/>
      <c r="O854" s="9"/>
      <c r="P854" s="9"/>
      <c r="Q854" s="9"/>
    </row>
    <row r="855">
      <c r="F855" s="63"/>
      <c r="G855" s="63"/>
      <c r="O855" s="9"/>
      <c r="P855" s="9"/>
      <c r="Q855" s="9"/>
    </row>
    <row r="856">
      <c r="F856" s="63"/>
      <c r="G856" s="63"/>
      <c r="O856" s="9"/>
      <c r="P856" s="9"/>
      <c r="Q856" s="9"/>
    </row>
    <row r="857">
      <c r="F857" s="63"/>
      <c r="G857" s="63"/>
      <c r="O857" s="9"/>
      <c r="P857" s="9"/>
      <c r="Q857" s="9"/>
    </row>
    <row r="858">
      <c r="F858" s="63"/>
      <c r="G858" s="63"/>
      <c r="O858" s="9"/>
      <c r="P858" s="9"/>
      <c r="Q858" s="9"/>
    </row>
    <row r="859">
      <c r="F859" s="63"/>
      <c r="G859" s="63"/>
      <c r="O859" s="9"/>
      <c r="P859" s="9"/>
      <c r="Q859" s="9"/>
    </row>
    <row r="860">
      <c r="F860" s="63"/>
      <c r="G860" s="63"/>
      <c r="O860" s="9"/>
      <c r="P860" s="9"/>
      <c r="Q860" s="9"/>
    </row>
    <row r="861">
      <c r="F861" s="63"/>
      <c r="G861" s="63"/>
      <c r="O861" s="9"/>
      <c r="P861" s="9"/>
      <c r="Q861" s="9"/>
    </row>
    <row r="862">
      <c r="F862" s="63"/>
      <c r="G862" s="63"/>
      <c r="O862" s="9"/>
      <c r="P862" s="9"/>
      <c r="Q862" s="9"/>
    </row>
    <row r="863">
      <c r="F863" s="63"/>
      <c r="G863" s="63"/>
      <c r="O863" s="9"/>
      <c r="P863" s="9"/>
      <c r="Q863" s="9"/>
    </row>
    <row r="864">
      <c r="F864" s="63"/>
      <c r="G864" s="63"/>
      <c r="O864" s="9"/>
      <c r="P864" s="9"/>
      <c r="Q864" s="9"/>
    </row>
    <row r="865">
      <c r="F865" s="63"/>
      <c r="G865" s="63"/>
      <c r="O865" s="9"/>
      <c r="P865" s="9"/>
      <c r="Q865" s="9"/>
    </row>
    <row r="866">
      <c r="F866" s="63"/>
      <c r="G866" s="63"/>
      <c r="O866" s="9"/>
      <c r="P866" s="9"/>
      <c r="Q866" s="9"/>
    </row>
    <row r="867">
      <c r="F867" s="63"/>
      <c r="G867" s="63"/>
      <c r="O867" s="9"/>
      <c r="P867" s="9"/>
      <c r="Q867" s="9"/>
    </row>
    <row r="868">
      <c r="F868" s="63"/>
      <c r="G868" s="63"/>
      <c r="O868" s="9"/>
      <c r="P868" s="9"/>
      <c r="Q868" s="9"/>
    </row>
    <row r="869">
      <c r="F869" s="63"/>
      <c r="G869" s="63"/>
      <c r="O869" s="9"/>
      <c r="P869" s="9"/>
      <c r="Q869" s="9"/>
    </row>
    <row r="870">
      <c r="F870" s="63"/>
      <c r="G870" s="63"/>
      <c r="O870" s="9"/>
      <c r="P870" s="9"/>
      <c r="Q870" s="9"/>
    </row>
    <row r="871">
      <c r="F871" s="63"/>
      <c r="G871" s="63"/>
      <c r="O871" s="9"/>
      <c r="P871" s="9"/>
      <c r="Q871" s="9"/>
    </row>
    <row r="872">
      <c r="F872" s="63"/>
      <c r="G872" s="63"/>
      <c r="O872" s="9"/>
      <c r="P872" s="9"/>
      <c r="Q872" s="9"/>
    </row>
    <row r="873">
      <c r="F873" s="63"/>
      <c r="G873" s="63"/>
      <c r="O873" s="9"/>
      <c r="P873" s="9"/>
      <c r="Q873" s="9"/>
    </row>
    <row r="874">
      <c r="F874" s="63"/>
      <c r="G874" s="63"/>
      <c r="O874" s="9"/>
      <c r="P874" s="9"/>
      <c r="Q874" s="9"/>
    </row>
    <row r="875">
      <c r="F875" s="63"/>
      <c r="G875" s="63"/>
      <c r="O875" s="9"/>
      <c r="P875" s="9"/>
      <c r="Q875" s="9"/>
    </row>
    <row r="876">
      <c r="F876" s="63"/>
      <c r="G876" s="63"/>
      <c r="O876" s="9"/>
      <c r="P876" s="9"/>
      <c r="Q876" s="9"/>
    </row>
    <row r="877">
      <c r="F877" s="63"/>
      <c r="G877" s="63"/>
      <c r="O877" s="9"/>
      <c r="P877" s="9"/>
      <c r="Q877" s="9"/>
    </row>
    <row r="878">
      <c r="F878" s="63"/>
      <c r="G878" s="63"/>
      <c r="O878" s="9"/>
      <c r="P878" s="9"/>
      <c r="Q878" s="9"/>
    </row>
    <row r="879">
      <c r="F879" s="63"/>
      <c r="G879" s="63"/>
      <c r="O879" s="9"/>
      <c r="P879" s="9"/>
      <c r="Q879" s="9"/>
    </row>
    <row r="880">
      <c r="F880" s="63"/>
      <c r="G880" s="63"/>
      <c r="O880" s="9"/>
      <c r="P880" s="9"/>
      <c r="Q880" s="9"/>
    </row>
    <row r="881">
      <c r="F881" s="63"/>
      <c r="G881" s="63"/>
      <c r="O881" s="9"/>
      <c r="P881" s="9"/>
      <c r="Q881" s="9"/>
    </row>
    <row r="882">
      <c r="F882" s="63"/>
      <c r="G882" s="63"/>
      <c r="O882" s="9"/>
      <c r="P882" s="9"/>
      <c r="Q882" s="9"/>
    </row>
    <row r="883">
      <c r="F883" s="63"/>
      <c r="G883" s="63"/>
      <c r="O883" s="9"/>
      <c r="P883" s="9"/>
      <c r="Q883" s="9"/>
    </row>
    <row r="884">
      <c r="F884" s="63"/>
      <c r="G884" s="63"/>
      <c r="O884" s="9"/>
      <c r="P884" s="9"/>
      <c r="Q884" s="9"/>
    </row>
    <row r="885">
      <c r="F885" s="63"/>
      <c r="G885" s="63"/>
      <c r="O885" s="9"/>
      <c r="P885" s="9"/>
      <c r="Q885" s="9"/>
    </row>
    <row r="886">
      <c r="F886" s="63"/>
      <c r="G886" s="63"/>
      <c r="O886" s="9"/>
      <c r="P886" s="9"/>
      <c r="Q886" s="9"/>
    </row>
    <row r="887">
      <c r="F887" s="63"/>
      <c r="G887" s="63"/>
      <c r="O887" s="9"/>
      <c r="P887" s="9"/>
      <c r="Q887" s="9"/>
    </row>
    <row r="888">
      <c r="F888" s="63"/>
      <c r="G888" s="63"/>
      <c r="O888" s="9"/>
      <c r="P888" s="9"/>
      <c r="Q888" s="9"/>
    </row>
    <row r="889">
      <c r="F889" s="63"/>
      <c r="G889" s="63"/>
      <c r="O889" s="9"/>
      <c r="P889" s="9"/>
      <c r="Q889" s="9"/>
    </row>
    <row r="890">
      <c r="F890" s="63"/>
      <c r="G890" s="63"/>
      <c r="O890" s="9"/>
      <c r="P890" s="9"/>
      <c r="Q890" s="9"/>
    </row>
    <row r="891">
      <c r="F891" s="63"/>
      <c r="G891" s="63"/>
      <c r="O891" s="9"/>
      <c r="P891" s="9"/>
      <c r="Q891" s="9"/>
    </row>
    <row r="892">
      <c r="F892" s="63"/>
      <c r="G892" s="63"/>
      <c r="O892" s="9"/>
      <c r="P892" s="9"/>
      <c r="Q892" s="9"/>
    </row>
    <row r="893">
      <c r="F893" s="63"/>
      <c r="G893" s="63"/>
      <c r="O893" s="9"/>
      <c r="P893" s="9"/>
      <c r="Q893" s="9"/>
    </row>
    <row r="894">
      <c r="F894" s="63"/>
      <c r="G894" s="63"/>
      <c r="O894" s="9"/>
      <c r="P894" s="9"/>
      <c r="Q894" s="9"/>
    </row>
    <row r="895">
      <c r="F895" s="63"/>
      <c r="G895" s="63"/>
      <c r="O895" s="9"/>
      <c r="P895" s="9"/>
      <c r="Q895" s="9"/>
    </row>
    <row r="896">
      <c r="F896" s="63"/>
      <c r="G896" s="63"/>
      <c r="O896" s="9"/>
      <c r="P896" s="9"/>
      <c r="Q896" s="9"/>
    </row>
    <row r="897">
      <c r="F897" s="63"/>
      <c r="G897" s="63"/>
      <c r="O897" s="9"/>
      <c r="P897" s="9"/>
      <c r="Q897" s="9"/>
    </row>
    <row r="898">
      <c r="F898" s="63"/>
      <c r="G898" s="63"/>
      <c r="O898" s="9"/>
      <c r="P898" s="9"/>
      <c r="Q898" s="9"/>
    </row>
    <row r="899">
      <c r="F899" s="63"/>
      <c r="G899" s="63"/>
      <c r="O899" s="9"/>
      <c r="P899" s="9"/>
      <c r="Q899" s="9"/>
    </row>
    <row r="900">
      <c r="F900" s="63"/>
      <c r="G900" s="63"/>
      <c r="O900" s="9"/>
      <c r="P900" s="9"/>
      <c r="Q900" s="9"/>
    </row>
    <row r="901">
      <c r="F901" s="63"/>
      <c r="G901" s="63"/>
      <c r="O901" s="9"/>
      <c r="P901" s="9"/>
      <c r="Q901" s="9"/>
    </row>
    <row r="902">
      <c r="F902" s="63"/>
      <c r="G902" s="63"/>
      <c r="O902" s="9"/>
      <c r="P902" s="9"/>
      <c r="Q902" s="9"/>
    </row>
    <row r="903">
      <c r="F903" s="63"/>
      <c r="G903" s="63"/>
      <c r="O903" s="9"/>
      <c r="P903" s="9"/>
      <c r="Q903" s="9"/>
    </row>
    <row r="904">
      <c r="F904" s="63"/>
      <c r="G904" s="63"/>
      <c r="O904" s="9"/>
      <c r="P904" s="9"/>
      <c r="Q904" s="9"/>
    </row>
    <row r="905">
      <c r="F905" s="63"/>
      <c r="G905" s="63"/>
      <c r="O905" s="9"/>
      <c r="P905" s="9"/>
      <c r="Q905" s="9"/>
    </row>
    <row r="906">
      <c r="F906" s="63"/>
      <c r="G906" s="63"/>
      <c r="O906" s="9"/>
      <c r="P906" s="9"/>
      <c r="Q906" s="9"/>
    </row>
    <row r="907">
      <c r="F907" s="63"/>
      <c r="G907" s="63"/>
      <c r="O907" s="9"/>
      <c r="P907" s="9"/>
      <c r="Q907" s="9"/>
    </row>
    <row r="908">
      <c r="F908" s="63"/>
      <c r="G908" s="63"/>
      <c r="O908" s="9"/>
      <c r="P908" s="9"/>
      <c r="Q908" s="9"/>
    </row>
    <row r="909">
      <c r="F909" s="63"/>
      <c r="G909" s="63"/>
      <c r="O909" s="9"/>
      <c r="P909" s="9"/>
      <c r="Q909" s="9"/>
    </row>
    <row r="910">
      <c r="F910" s="63"/>
      <c r="G910" s="63"/>
      <c r="O910" s="9"/>
      <c r="P910" s="9"/>
      <c r="Q910" s="9"/>
    </row>
    <row r="911">
      <c r="F911" s="63"/>
      <c r="G911" s="63"/>
      <c r="O911" s="9"/>
      <c r="P911" s="9"/>
      <c r="Q911" s="9"/>
    </row>
    <row r="912">
      <c r="F912" s="63"/>
      <c r="G912" s="63"/>
      <c r="O912" s="9"/>
      <c r="P912" s="9"/>
      <c r="Q912" s="9"/>
    </row>
    <row r="913">
      <c r="F913" s="63"/>
      <c r="G913" s="63"/>
      <c r="O913" s="9"/>
      <c r="P913" s="9"/>
      <c r="Q913" s="9"/>
    </row>
    <row r="914">
      <c r="F914" s="63"/>
      <c r="G914" s="63"/>
      <c r="O914" s="9"/>
      <c r="P914" s="9"/>
      <c r="Q914" s="9"/>
    </row>
    <row r="915">
      <c r="F915" s="63"/>
      <c r="G915" s="63"/>
      <c r="O915" s="9"/>
      <c r="P915" s="9"/>
      <c r="Q915" s="9"/>
    </row>
    <row r="916">
      <c r="F916" s="63"/>
      <c r="G916" s="63"/>
      <c r="O916" s="9"/>
      <c r="P916" s="9"/>
      <c r="Q916" s="9"/>
    </row>
    <row r="917">
      <c r="F917" s="63"/>
      <c r="G917" s="63"/>
      <c r="O917" s="9"/>
      <c r="P917" s="9"/>
      <c r="Q917" s="9"/>
    </row>
    <row r="918">
      <c r="F918" s="63"/>
      <c r="G918" s="63"/>
      <c r="O918" s="9"/>
      <c r="P918" s="9"/>
      <c r="Q918" s="9"/>
    </row>
    <row r="919">
      <c r="F919" s="63"/>
      <c r="G919" s="63"/>
      <c r="O919" s="9"/>
      <c r="P919" s="9"/>
      <c r="Q919" s="9"/>
    </row>
    <row r="920">
      <c r="F920" s="63"/>
      <c r="G920" s="63"/>
      <c r="O920" s="9"/>
      <c r="P920" s="9"/>
      <c r="Q920" s="9"/>
    </row>
    <row r="921">
      <c r="F921" s="63"/>
      <c r="G921" s="63"/>
      <c r="O921" s="9"/>
      <c r="P921" s="9"/>
      <c r="Q921" s="9"/>
    </row>
    <row r="922">
      <c r="F922" s="63"/>
      <c r="G922" s="63"/>
      <c r="O922" s="9"/>
      <c r="P922" s="9"/>
      <c r="Q922" s="9"/>
    </row>
    <row r="923">
      <c r="F923" s="63"/>
      <c r="G923" s="63"/>
      <c r="O923" s="9"/>
      <c r="P923" s="9"/>
      <c r="Q923" s="9"/>
    </row>
    <row r="924">
      <c r="F924" s="63"/>
      <c r="G924" s="63"/>
      <c r="O924" s="9"/>
      <c r="P924" s="9"/>
      <c r="Q924" s="9"/>
    </row>
    <row r="925">
      <c r="F925" s="63"/>
      <c r="G925" s="63"/>
      <c r="O925" s="9"/>
      <c r="P925" s="9"/>
      <c r="Q925" s="9"/>
    </row>
    <row r="926">
      <c r="F926" s="63"/>
      <c r="G926" s="63"/>
      <c r="O926" s="9"/>
      <c r="P926" s="9"/>
      <c r="Q926" s="9"/>
    </row>
    <row r="927">
      <c r="F927" s="63"/>
      <c r="G927" s="63"/>
      <c r="O927" s="9"/>
      <c r="P927" s="9"/>
      <c r="Q927" s="9"/>
    </row>
    <row r="928">
      <c r="F928" s="63"/>
      <c r="G928" s="63"/>
      <c r="O928" s="9"/>
      <c r="P928" s="9"/>
      <c r="Q928" s="9"/>
    </row>
    <row r="929">
      <c r="F929" s="63"/>
      <c r="G929" s="63"/>
      <c r="O929" s="9"/>
      <c r="P929" s="9"/>
      <c r="Q929" s="9"/>
    </row>
    <row r="930">
      <c r="F930" s="63"/>
      <c r="G930" s="63"/>
      <c r="O930" s="9"/>
      <c r="P930" s="9"/>
      <c r="Q930" s="9"/>
    </row>
    <row r="931">
      <c r="F931" s="63"/>
      <c r="G931" s="63"/>
      <c r="O931" s="9"/>
      <c r="P931" s="9"/>
      <c r="Q931" s="9"/>
    </row>
    <row r="932">
      <c r="F932" s="63"/>
      <c r="G932" s="63"/>
      <c r="O932" s="9"/>
      <c r="P932" s="9"/>
      <c r="Q932" s="9"/>
    </row>
    <row r="933">
      <c r="F933" s="63"/>
      <c r="G933" s="63"/>
      <c r="O933" s="9"/>
      <c r="P933" s="9"/>
      <c r="Q933" s="9"/>
    </row>
    <row r="934">
      <c r="F934" s="63"/>
      <c r="G934" s="63"/>
      <c r="O934" s="9"/>
      <c r="P934" s="9"/>
      <c r="Q934" s="9"/>
    </row>
    <row r="935">
      <c r="F935" s="63"/>
      <c r="G935" s="63"/>
      <c r="O935" s="9"/>
      <c r="P935" s="9"/>
      <c r="Q935" s="9"/>
    </row>
    <row r="936">
      <c r="F936" s="63"/>
      <c r="G936" s="63"/>
      <c r="O936" s="9"/>
      <c r="P936" s="9"/>
      <c r="Q936" s="9"/>
    </row>
    <row r="937">
      <c r="F937" s="63"/>
      <c r="G937" s="63"/>
      <c r="O937" s="9"/>
      <c r="P937" s="9"/>
      <c r="Q937" s="9"/>
    </row>
    <row r="938">
      <c r="F938" s="63"/>
      <c r="G938" s="63"/>
      <c r="O938" s="9"/>
      <c r="P938" s="9"/>
      <c r="Q938" s="9"/>
    </row>
    <row r="939">
      <c r="F939" s="63"/>
      <c r="G939" s="63"/>
      <c r="O939" s="9"/>
      <c r="P939" s="9"/>
      <c r="Q939" s="9"/>
    </row>
    <row r="940">
      <c r="F940" s="63"/>
      <c r="G940" s="63"/>
      <c r="O940" s="9"/>
      <c r="P940" s="9"/>
      <c r="Q940" s="9"/>
    </row>
    <row r="941">
      <c r="F941" s="63"/>
      <c r="G941" s="63"/>
      <c r="O941" s="9"/>
      <c r="P941" s="9"/>
      <c r="Q941" s="9"/>
    </row>
    <row r="942">
      <c r="F942" s="63"/>
      <c r="G942" s="63"/>
      <c r="O942" s="9"/>
      <c r="P942" s="9"/>
      <c r="Q942" s="9"/>
    </row>
    <row r="943">
      <c r="F943" s="63"/>
      <c r="G943" s="63"/>
      <c r="O943" s="9"/>
      <c r="P943" s="9"/>
      <c r="Q943" s="9"/>
    </row>
    <row r="944">
      <c r="F944" s="63"/>
      <c r="G944" s="63"/>
      <c r="O944" s="9"/>
      <c r="P944" s="9"/>
      <c r="Q944" s="9"/>
    </row>
    <row r="945">
      <c r="F945" s="63"/>
      <c r="G945" s="63"/>
      <c r="O945" s="9"/>
      <c r="P945" s="9"/>
      <c r="Q945" s="9"/>
    </row>
    <row r="946">
      <c r="F946" s="63"/>
      <c r="G946" s="63"/>
      <c r="O946" s="9"/>
      <c r="P946" s="9"/>
      <c r="Q946" s="9"/>
    </row>
    <row r="947">
      <c r="F947" s="63"/>
      <c r="G947" s="63"/>
      <c r="O947" s="9"/>
      <c r="P947" s="9"/>
      <c r="Q947" s="9"/>
    </row>
    <row r="948">
      <c r="F948" s="63"/>
      <c r="G948" s="63"/>
      <c r="O948" s="9"/>
      <c r="P948" s="9"/>
      <c r="Q948" s="9"/>
    </row>
    <row r="949">
      <c r="F949" s="63"/>
      <c r="G949" s="63"/>
      <c r="O949" s="9"/>
      <c r="P949" s="9"/>
      <c r="Q949" s="9"/>
    </row>
    <row r="950">
      <c r="F950" s="63"/>
      <c r="G950" s="63"/>
      <c r="O950" s="9"/>
      <c r="P950" s="9"/>
      <c r="Q950" s="9"/>
    </row>
    <row r="951">
      <c r="F951" s="63"/>
      <c r="G951" s="63"/>
      <c r="O951" s="9"/>
      <c r="P951" s="9"/>
      <c r="Q951" s="9"/>
    </row>
    <row r="952">
      <c r="F952" s="63"/>
      <c r="G952" s="63"/>
      <c r="O952" s="9"/>
      <c r="P952" s="9"/>
      <c r="Q952" s="9"/>
    </row>
    <row r="953">
      <c r="F953" s="63"/>
      <c r="G953" s="63"/>
      <c r="O953" s="9"/>
      <c r="P953" s="9"/>
      <c r="Q953" s="9"/>
    </row>
    <row r="954">
      <c r="F954" s="63"/>
      <c r="G954" s="63"/>
      <c r="O954" s="9"/>
      <c r="P954" s="9"/>
      <c r="Q954" s="9"/>
    </row>
    <row r="955">
      <c r="F955" s="63"/>
      <c r="G955" s="63"/>
      <c r="O955" s="9"/>
      <c r="P955" s="9"/>
      <c r="Q955" s="9"/>
    </row>
    <row r="956">
      <c r="F956" s="63"/>
      <c r="G956" s="63"/>
      <c r="O956" s="9"/>
      <c r="P956" s="9"/>
      <c r="Q956" s="9"/>
    </row>
    <row r="957">
      <c r="F957" s="63"/>
      <c r="G957" s="63"/>
      <c r="O957" s="9"/>
      <c r="P957" s="9"/>
      <c r="Q957" s="9"/>
    </row>
    <row r="958">
      <c r="F958" s="63"/>
      <c r="G958" s="63"/>
      <c r="O958" s="9"/>
      <c r="P958" s="9"/>
      <c r="Q958" s="9"/>
    </row>
    <row r="959">
      <c r="F959" s="63"/>
      <c r="G959" s="63"/>
      <c r="O959" s="9"/>
      <c r="P959" s="9"/>
      <c r="Q959" s="9"/>
    </row>
    <row r="960">
      <c r="F960" s="63"/>
      <c r="G960" s="63"/>
      <c r="O960" s="9"/>
      <c r="P960" s="9"/>
      <c r="Q960" s="9"/>
    </row>
    <row r="961">
      <c r="F961" s="63"/>
      <c r="G961" s="63"/>
      <c r="O961" s="9"/>
      <c r="P961" s="9"/>
      <c r="Q961" s="9"/>
    </row>
    <row r="962">
      <c r="F962" s="63"/>
      <c r="G962" s="63"/>
      <c r="O962" s="9"/>
      <c r="P962" s="9"/>
      <c r="Q962" s="9"/>
    </row>
    <row r="963">
      <c r="F963" s="63"/>
      <c r="G963" s="63"/>
      <c r="O963" s="9"/>
      <c r="P963" s="9"/>
      <c r="Q963" s="9"/>
    </row>
    <row r="964">
      <c r="F964" s="63"/>
      <c r="G964" s="63"/>
      <c r="O964" s="9"/>
      <c r="P964" s="9"/>
      <c r="Q964" s="9"/>
    </row>
    <row r="965">
      <c r="F965" s="63"/>
      <c r="G965" s="63"/>
      <c r="O965" s="9"/>
      <c r="P965" s="9"/>
      <c r="Q965" s="9"/>
    </row>
    <row r="966">
      <c r="F966" s="63"/>
      <c r="G966" s="63"/>
      <c r="O966" s="9"/>
      <c r="P966" s="9"/>
      <c r="Q966" s="9"/>
    </row>
    <row r="967">
      <c r="F967" s="63"/>
      <c r="G967" s="63"/>
      <c r="O967" s="9"/>
      <c r="P967" s="9"/>
      <c r="Q967" s="9"/>
    </row>
    <row r="968">
      <c r="F968" s="63"/>
      <c r="G968" s="63"/>
      <c r="O968" s="9"/>
      <c r="P968" s="9"/>
      <c r="Q968" s="9"/>
    </row>
    <row r="969">
      <c r="F969" s="63"/>
      <c r="G969" s="63"/>
      <c r="O969" s="9"/>
      <c r="P969" s="9"/>
      <c r="Q969" s="9"/>
    </row>
    <row r="970">
      <c r="F970" s="63"/>
      <c r="G970" s="63"/>
      <c r="O970" s="9"/>
      <c r="P970" s="9"/>
      <c r="Q970" s="9"/>
    </row>
    <row r="971">
      <c r="F971" s="63"/>
      <c r="G971" s="63"/>
      <c r="O971" s="9"/>
      <c r="P971" s="9"/>
      <c r="Q971" s="9"/>
    </row>
    <row r="972">
      <c r="F972" s="63"/>
      <c r="G972" s="63"/>
      <c r="O972" s="9"/>
      <c r="P972" s="9"/>
      <c r="Q972" s="9"/>
    </row>
    <row r="973">
      <c r="F973" s="63"/>
      <c r="G973" s="63"/>
      <c r="O973" s="9"/>
      <c r="P973" s="9"/>
      <c r="Q973" s="9"/>
    </row>
    <row r="974">
      <c r="F974" s="63"/>
      <c r="G974" s="63"/>
      <c r="O974" s="9"/>
      <c r="P974" s="9"/>
      <c r="Q974" s="9"/>
    </row>
    <row r="975">
      <c r="F975" s="63"/>
      <c r="G975" s="63"/>
      <c r="O975" s="9"/>
      <c r="P975" s="9"/>
      <c r="Q975" s="9"/>
    </row>
    <row r="976">
      <c r="F976" s="63"/>
      <c r="G976" s="63"/>
      <c r="O976" s="9"/>
      <c r="P976" s="9"/>
      <c r="Q976" s="9"/>
    </row>
    <row r="977">
      <c r="F977" s="63"/>
      <c r="G977" s="63"/>
      <c r="O977" s="9"/>
      <c r="P977" s="9"/>
      <c r="Q977" s="9"/>
    </row>
    <row r="978">
      <c r="F978" s="63"/>
      <c r="G978" s="63"/>
      <c r="O978" s="9"/>
      <c r="P978" s="9"/>
      <c r="Q978" s="9"/>
    </row>
    <row r="979">
      <c r="F979" s="63"/>
      <c r="G979" s="63"/>
      <c r="O979" s="9"/>
      <c r="P979" s="9"/>
      <c r="Q979" s="9"/>
    </row>
    <row r="980">
      <c r="F980" s="63"/>
      <c r="G980" s="63"/>
      <c r="O980" s="9"/>
      <c r="P980" s="9"/>
      <c r="Q980" s="9"/>
    </row>
    <row r="981">
      <c r="F981" s="63"/>
      <c r="G981" s="63"/>
      <c r="O981" s="9"/>
      <c r="P981" s="9"/>
      <c r="Q981" s="9"/>
    </row>
    <row r="982">
      <c r="F982" s="63"/>
      <c r="G982" s="63"/>
      <c r="O982" s="9"/>
      <c r="P982" s="9"/>
      <c r="Q982" s="9"/>
    </row>
    <row r="983">
      <c r="F983" s="63"/>
      <c r="G983" s="63"/>
      <c r="O983" s="9"/>
      <c r="P983" s="9"/>
      <c r="Q983" s="9"/>
    </row>
    <row r="984">
      <c r="F984" s="63"/>
      <c r="G984" s="63"/>
      <c r="O984" s="9"/>
      <c r="P984" s="9"/>
      <c r="Q984" s="9"/>
    </row>
    <row r="985">
      <c r="F985" s="63"/>
      <c r="G985" s="63"/>
      <c r="O985" s="9"/>
      <c r="P985" s="9"/>
      <c r="Q985" s="9"/>
    </row>
    <row r="986">
      <c r="F986" s="63"/>
      <c r="G986" s="63"/>
      <c r="O986" s="9"/>
      <c r="P986" s="9"/>
      <c r="Q986" s="9"/>
    </row>
    <row r="987">
      <c r="F987" s="63"/>
      <c r="G987" s="63"/>
      <c r="O987" s="9"/>
      <c r="P987" s="9"/>
      <c r="Q987" s="9"/>
    </row>
    <row r="988">
      <c r="F988" s="63"/>
      <c r="G988" s="63"/>
      <c r="O988" s="9"/>
      <c r="P988" s="9"/>
      <c r="Q988" s="9"/>
    </row>
    <row r="989">
      <c r="F989" s="63"/>
      <c r="G989" s="63"/>
      <c r="O989" s="9"/>
      <c r="P989" s="9"/>
      <c r="Q989" s="9"/>
    </row>
    <row r="990">
      <c r="F990" s="63"/>
      <c r="G990" s="63"/>
      <c r="O990" s="9"/>
      <c r="P990" s="9"/>
      <c r="Q990" s="9"/>
    </row>
    <row r="991">
      <c r="F991" s="63"/>
      <c r="G991" s="63"/>
      <c r="O991" s="9"/>
      <c r="P991" s="9"/>
      <c r="Q991" s="9"/>
    </row>
    <row r="992">
      <c r="F992" s="63"/>
      <c r="G992" s="63"/>
      <c r="O992" s="9"/>
      <c r="P992" s="9"/>
      <c r="Q992" s="9"/>
    </row>
    <row r="993">
      <c r="F993" s="63"/>
      <c r="G993" s="63"/>
      <c r="O993" s="9"/>
      <c r="P993" s="9"/>
      <c r="Q993" s="9"/>
    </row>
    <row r="994">
      <c r="F994" s="63"/>
      <c r="G994" s="63"/>
      <c r="O994" s="9"/>
      <c r="P994" s="9"/>
      <c r="Q994" s="9"/>
    </row>
    <row r="995">
      <c r="F995" s="63"/>
      <c r="G995" s="63"/>
      <c r="O995" s="9"/>
      <c r="P995" s="9"/>
      <c r="Q995" s="9"/>
    </row>
    <row r="996">
      <c r="F996" s="63"/>
      <c r="G996" s="63"/>
      <c r="O996" s="9"/>
      <c r="P996" s="9"/>
      <c r="Q996" s="9"/>
    </row>
    <row r="997">
      <c r="F997" s="63"/>
      <c r="G997" s="63"/>
      <c r="O997" s="9"/>
      <c r="P997" s="9"/>
      <c r="Q997" s="9"/>
    </row>
    <row r="998">
      <c r="F998" s="63"/>
      <c r="G998" s="63"/>
      <c r="O998" s="9"/>
      <c r="P998" s="9"/>
      <c r="Q998" s="9"/>
    </row>
    <row r="999">
      <c r="F999" s="63"/>
      <c r="G999" s="63"/>
      <c r="O999" s="9"/>
      <c r="P999" s="9"/>
      <c r="Q999" s="9"/>
    </row>
    <row r="1000">
      <c r="F1000" s="63"/>
      <c r="G1000" s="63"/>
      <c r="O1000" s="9"/>
      <c r="P1000" s="9"/>
      <c r="Q1000" s="9"/>
    </row>
  </sheetData>
  <mergeCells count="6">
    <mergeCell ref="B1:C1"/>
    <mergeCell ref="D1:E1"/>
    <mergeCell ref="F1:G1"/>
    <mergeCell ref="H1:I1"/>
    <mergeCell ref="J1:K1"/>
    <mergeCell ref="L1:M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row>
    <row r="2">
      <c r="A2" s="16" t="s">
        <v>151</v>
      </c>
      <c r="B2" s="16" t="s">
        <v>171</v>
      </c>
      <c r="C2" s="64" t="s">
        <v>172</v>
      </c>
      <c r="D2" s="16" t="s">
        <v>171</v>
      </c>
      <c r="E2" s="31" t="s">
        <v>172</v>
      </c>
      <c r="F2" s="16" t="s">
        <v>171</v>
      </c>
      <c r="G2" s="65" t="s">
        <v>172</v>
      </c>
      <c r="H2" s="16" t="s">
        <v>171</v>
      </c>
      <c r="I2" s="16" t="s">
        <v>172</v>
      </c>
      <c r="J2" s="16" t="s">
        <v>171</v>
      </c>
      <c r="K2" s="16" t="s">
        <v>172</v>
      </c>
      <c r="L2" s="16" t="s">
        <v>171</v>
      </c>
      <c r="M2" s="16" t="s">
        <v>172</v>
      </c>
    </row>
    <row r="3">
      <c r="A3" s="18" t="s">
        <v>140</v>
      </c>
      <c r="B3" s="66">
        <v>3.0</v>
      </c>
      <c r="C3" s="67">
        <v>1278572.4</v>
      </c>
      <c r="D3" s="55">
        <v>22.0</v>
      </c>
      <c r="E3" s="68">
        <v>1322167.2</v>
      </c>
      <c r="F3" s="17">
        <v>6.0</v>
      </c>
      <c r="G3" s="69">
        <v>806365.0</v>
      </c>
      <c r="H3" s="18"/>
      <c r="I3" s="18"/>
      <c r="J3" s="18"/>
      <c r="K3" s="18"/>
      <c r="L3" s="18"/>
      <c r="M3" s="18"/>
    </row>
    <row r="4">
      <c r="A4" s="18" t="s">
        <v>131</v>
      </c>
      <c r="B4" s="66">
        <v>10.0</v>
      </c>
      <c r="C4" s="69">
        <v>1439620.0</v>
      </c>
      <c r="D4" s="17">
        <v>26.0</v>
      </c>
      <c r="E4" s="29">
        <v>1347403.0</v>
      </c>
      <c r="F4" s="17">
        <v>39.0</v>
      </c>
      <c r="G4" s="69">
        <v>2499663.5</v>
      </c>
      <c r="H4" s="18"/>
      <c r="I4" s="18"/>
      <c r="J4" s="18"/>
      <c r="K4" s="18"/>
      <c r="L4" s="18"/>
      <c r="M4" s="18"/>
    </row>
    <row r="5">
      <c r="A5" s="18" t="s">
        <v>136</v>
      </c>
      <c r="B5" s="66">
        <v>15.0</v>
      </c>
      <c r="C5" s="70">
        <v>1512762.0</v>
      </c>
      <c r="D5" s="71">
        <v>27.0</v>
      </c>
      <c r="E5" s="72">
        <v>3359368.892</v>
      </c>
      <c r="F5" s="17">
        <v>18.0</v>
      </c>
      <c r="G5" s="69">
        <v>1948225.7</v>
      </c>
      <c r="H5" s="18"/>
      <c r="I5" s="18"/>
      <c r="J5" s="18"/>
      <c r="K5" s="18"/>
      <c r="L5" s="18"/>
      <c r="M5" s="18"/>
    </row>
    <row r="6">
      <c r="A6" s="18" t="s">
        <v>135</v>
      </c>
      <c r="B6" s="66">
        <v>23.0</v>
      </c>
      <c r="C6" s="69">
        <v>2275570.0</v>
      </c>
      <c r="D6" s="17">
        <v>22.0</v>
      </c>
      <c r="E6" s="29">
        <v>4030685.0</v>
      </c>
      <c r="F6" s="17">
        <v>29.0</v>
      </c>
      <c r="G6" s="69">
        <v>1547206.0</v>
      </c>
      <c r="H6" s="18"/>
      <c r="I6" s="18"/>
      <c r="J6" s="18"/>
      <c r="K6" s="18"/>
      <c r="L6" s="18"/>
      <c r="M6" s="18"/>
    </row>
    <row r="7">
      <c r="A7" s="18" t="s">
        <v>122</v>
      </c>
      <c r="B7" s="66">
        <v>14.0</v>
      </c>
      <c r="C7" s="70">
        <v>3283850.0</v>
      </c>
      <c r="D7" s="17">
        <v>10.0</v>
      </c>
      <c r="E7" s="29">
        <v>2300593.0</v>
      </c>
      <c r="F7" s="17">
        <v>12.0</v>
      </c>
      <c r="G7" s="69">
        <v>3193516.0</v>
      </c>
      <c r="H7" s="18"/>
      <c r="I7" s="18"/>
      <c r="J7" s="18"/>
      <c r="K7" s="18"/>
      <c r="L7" s="18"/>
      <c r="M7" s="18"/>
    </row>
    <row r="8">
      <c r="A8" s="18" t="s">
        <v>116</v>
      </c>
      <c r="B8" s="66">
        <v>7.0</v>
      </c>
      <c r="C8" s="69">
        <v>648845.0</v>
      </c>
      <c r="D8" s="17">
        <v>10.0</v>
      </c>
      <c r="E8" s="73">
        <v>562927.0</v>
      </c>
      <c r="F8" s="17">
        <v>13.0</v>
      </c>
      <c r="G8" s="69">
        <v>4782.0</v>
      </c>
      <c r="H8" s="18"/>
      <c r="I8" s="18"/>
      <c r="J8" s="18"/>
      <c r="K8" s="18"/>
      <c r="L8" s="18"/>
      <c r="M8" s="18"/>
    </row>
    <row r="9">
      <c r="A9" s="18" t="s">
        <v>133</v>
      </c>
      <c r="B9" s="66">
        <v>11.0</v>
      </c>
      <c r="C9" s="74">
        <v>3277052.0</v>
      </c>
      <c r="D9" s="55">
        <v>13.0</v>
      </c>
      <c r="E9" s="75">
        <v>3990994.0</v>
      </c>
      <c r="F9" s="17">
        <v>11.0</v>
      </c>
      <c r="G9" s="76">
        <v>3336260.0</v>
      </c>
      <c r="H9" s="18"/>
      <c r="I9" s="18"/>
      <c r="J9" s="18"/>
      <c r="K9" s="18"/>
      <c r="L9" s="18"/>
      <c r="M9" s="18"/>
    </row>
    <row r="10">
      <c r="A10" s="18" t="s">
        <v>138</v>
      </c>
      <c r="B10" s="66">
        <v>12.0</v>
      </c>
      <c r="C10" s="70">
        <v>1705817.5</v>
      </c>
      <c r="D10" s="17">
        <v>14.0</v>
      </c>
      <c r="E10" s="29">
        <v>1637134.4</v>
      </c>
      <c r="F10" s="17">
        <v>19.0</v>
      </c>
      <c r="G10" s="69">
        <v>1302792.75</v>
      </c>
      <c r="H10" s="18"/>
      <c r="I10" s="18"/>
      <c r="J10" s="18"/>
      <c r="K10" s="18"/>
      <c r="L10" s="18"/>
      <c r="M10" s="18"/>
    </row>
    <row r="11">
      <c r="A11" s="18" t="s">
        <v>143</v>
      </c>
      <c r="B11" s="66">
        <v>0.0</v>
      </c>
      <c r="C11" s="77"/>
      <c r="D11" s="17">
        <v>8.0</v>
      </c>
      <c r="E11" s="29">
        <v>912452.0</v>
      </c>
      <c r="F11" s="17">
        <v>15.0</v>
      </c>
      <c r="G11" s="69">
        <v>2023304.0</v>
      </c>
      <c r="H11" s="18"/>
      <c r="I11" s="18"/>
      <c r="J11" s="18"/>
      <c r="K11" s="18"/>
      <c r="L11" s="18"/>
      <c r="M11" s="18"/>
    </row>
    <row r="12">
      <c r="A12" s="18" t="s">
        <v>137</v>
      </c>
      <c r="B12" s="66">
        <v>2.0</v>
      </c>
      <c r="C12" s="69">
        <v>3449940.0</v>
      </c>
      <c r="D12" s="17">
        <v>30.0</v>
      </c>
      <c r="E12" s="29">
        <v>3631506.0</v>
      </c>
      <c r="F12" s="17">
        <v>25.0</v>
      </c>
      <c r="G12" s="69">
        <v>1861025.0</v>
      </c>
      <c r="H12" s="18"/>
      <c r="I12" s="18"/>
      <c r="J12" s="18"/>
      <c r="K12" s="18"/>
      <c r="L12" s="18"/>
      <c r="M12" s="18"/>
    </row>
    <row r="13">
      <c r="A13" s="18" t="s">
        <v>128</v>
      </c>
      <c r="B13" s="66">
        <v>11.0</v>
      </c>
      <c r="C13" s="69">
        <v>3371687.0</v>
      </c>
      <c r="D13" s="17">
        <v>25.0</v>
      </c>
      <c r="E13" s="29">
        <v>2905539.4</v>
      </c>
      <c r="F13" s="17">
        <v>10.0</v>
      </c>
      <c r="G13" s="69">
        <v>3313680.0</v>
      </c>
      <c r="H13" s="18"/>
      <c r="I13" s="18"/>
      <c r="J13" s="18"/>
      <c r="K13" s="18"/>
      <c r="L13" s="18"/>
      <c r="M13" s="18"/>
    </row>
    <row r="14">
      <c r="A14" s="18" t="s">
        <v>121</v>
      </c>
      <c r="B14" s="66">
        <v>24.0</v>
      </c>
      <c r="C14" s="67">
        <v>2568650.0</v>
      </c>
      <c r="D14" s="17">
        <v>6.0</v>
      </c>
      <c r="E14" s="78">
        <v>1348814.0</v>
      </c>
      <c r="F14" s="17">
        <v>23.0</v>
      </c>
      <c r="G14" s="79">
        <v>1786094.0</v>
      </c>
      <c r="H14" s="18"/>
      <c r="I14" s="18"/>
      <c r="J14" s="18"/>
      <c r="K14" s="18"/>
      <c r="L14" s="18"/>
      <c r="M14" s="18"/>
    </row>
    <row r="15">
      <c r="A15" s="18" t="s">
        <v>139</v>
      </c>
      <c r="B15" s="66">
        <v>11.0</v>
      </c>
      <c r="C15" s="70">
        <v>4043917.0</v>
      </c>
      <c r="D15" s="17">
        <v>19.0</v>
      </c>
      <c r="E15" s="29">
        <v>7446893.3</v>
      </c>
      <c r="F15" s="17">
        <v>21.0</v>
      </c>
      <c r="G15" s="69">
        <v>4628499.613</v>
      </c>
      <c r="H15" s="18"/>
      <c r="I15" s="18"/>
      <c r="J15" s="18"/>
      <c r="K15" s="18"/>
      <c r="L15" s="18"/>
      <c r="M15" s="18"/>
    </row>
    <row r="16">
      <c r="A16" s="18" t="s">
        <v>142</v>
      </c>
      <c r="B16" s="66">
        <v>19.0</v>
      </c>
      <c r="C16" s="67">
        <v>2337719.0</v>
      </c>
      <c r="D16" s="17">
        <v>13.0</v>
      </c>
      <c r="E16" s="29">
        <v>1527848.2</v>
      </c>
      <c r="F16" s="17">
        <v>14.0</v>
      </c>
      <c r="G16" s="69">
        <v>1904354.0</v>
      </c>
      <c r="H16" s="18"/>
      <c r="I16" s="18"/>
      <c r="J16" s="18"/>
      <c r="K16" s="18"/>
      <c r="L16" s="18"/>
      <c r="M16" s="18"/>
    </row>
    <row r="17">
      <c r="A17" s="18" t="s">
        <v>132</v>
      </c>
      <c r="B17" s="66">
        <v>21.0</v>
      </c>
      <c r="C17" s="69">
        <v>5830750.0</v>
      </c>
      <c r="D17" s="17">
        <v>6.0</v>
      </c>
      <c r="E17" s="29">
        <v>3076032.0</v>
      </c>
      <c r="F17" s="17">
        <v>11.0</v>
      </c>
      <c r="G17" s="69">
        <v>1483273.0</v>
      </c>
      <c r="H17" s="18"/>
      <c r="I17" s="18"/>
      <c r="J17" s="18"/>
      <c r="K17" s="18"/>
      <c r="L17" s="18"/>
      <c r="M17" s="18"/>
    </row>
    <row r="18">
      <c r="A18" s="18" t="s">
        <v>114</v>
      </c>
      <c r="B18" s="66">
        <v>29.0</v>
      </c>
      <c r="C18" s="69">
        <v>3941034.0</v>
      </c>
      <c r="D18" s="17">
        <v>30.0</v>
      </c>
      <c r="E18" s="29">
        <v>3569233.5</v>
      </c>
      <c r="F18" s="17">
        <v>25.0</v>
      </c>
      <c r="G18" s="69">
        <v>3280764.0</v>
      </c>
      <c r="H18" s="18"/>
      <c r="I18" s="18"/>
      <c r="J18" s="18"/>
      <c r="K18" s="18"/>
      <c r="L18" s="18"/>
      <c r="M18" s="18"/>
    </row>
    <row r="19">
      <c r="A19" s="18" t="s">
        <v>111</v>
      </c>
      <c r="B19" s="66">
        <v>6.0</v>
      </c>
      <c r="C19" s="80">
        <v>1669966.0</v>
      </c>
      <c r="D19" s="17">
        <v>15.0</v>
      </c>
      <c r="E19" s="29">
        <v>1444873.0</v>
      </c>
      <c r="F19" s="17">
        <v>7.0</v>
      </c>
      <c r="G19" s="69">
        <v>1659544.0</v>
      </c>
      <c r="H19" s="18"/>
      <c r="I19" s="18"/>
      <c r="J19" s="18"/>
      <c r="K19" s="18"/>
      <c r="L19" s="18"/>
      <c r="M19" s="18"/>
    </row>
    <row r="20">
      <c r="A20" s="18" t="s">
        <v>109</v>
      </c>
      <c r="B20" s="66">
        <v>15.0</v>
      </c>
      <c r="C20" s="69">
        <v>3238482.1</v>
      </c>
      <c r="D20" s="17">
        <v>17.0</v>
      </c>
      <c r="E20" s="29">
        <v>3319472.0</v>
      </c>
      <c r="F20" s="17">
        <v>13.0</v>
      </c>
      <c r="G20" s="69">
        <v>3914577.0</v>
      </c>
      <c r="H20" s="18"/>
      <c r="I20" s="18"/>
      <c r="J20" s="18"/>
      <c r="K20" s="18"/>
      <c r="L20" s="18"/>
      <c r="M20" s="18"/>
    </row>
    <row r="21">
      <c r="A21" s="18" t="s">
        <v>124</v>
      </c>
      <c r="B21" s="66">
        <v>20.0</v>
      </c>
      <c r="C21" s="81">
        <v>4802463.0</v>
      </c>
      <c r="D21" s="17">
        <v>0.0</v>
      </c>
      <c r="E21" s="29">
        <v>0.0</v>
      </c>
      <c r="F21" s="17">
        <v>12.0</v>
      </c>
      <c r="G21" s="69">
        <v>4251372.0</v>
      </c>
      <c r="H21" s="18"/>
      <c r="I21" s="18"/>
      <c r="J21" s="18"/>
      <c r="K21" s="18"/>
      <c r="L21" s="18"/>
      <c r="M21" s="18"/>
    </row>
    <row r="22">
      <c r="A22" s="18" t="s">
        <v>127</v>
      </c>
      <c r="B22" s="66">
        <v>24.0</v>
      </c>
      <c r="C22" s="69">
        <v>2388562.0</v>
      </c>
      <c r="D22" s="17">
        <v>29.0</v>
      </c>
      <c r="E22" s="29">
        <v>2512001.0</v>
      </c>
      <c r="F22" s="17">
        <v>27.0</v>
      </c>
      <c r="G22" s="69">
        <v>3156110.0</v>
      </c>
      <c r="H22" s="18"/>
      <c r="I22" s="18"/>
      <c r="J22" s="18"/>
      <c r="K22" s="18"/>
      <c r="L22" s="18"/>
      <c r="M22" s="18"/>
    </row>
    <row r="23">
      <c r="A23" s="18" t="s">
        <v>130</v>
      </c>
      <c r="B23" s="66">
        <v>30.0</v>
      </c>
      <c r="C23" s="69">
        <v>3487462.0</v>
      </c>
      <c r="D23" s="17">
        <v>18.0</v>
      </c>
      <c r="E23" s="29">
        <v>2818146.0</v>
      </c>
      <c r="F23" s="17">
        <v>28.0</v>
      </c>
      <c r="G23" s="69">
        <v>3267877.0</v>
      </c>
      <c r="H23" s="18"/>
      <c r="I23" s="18"/>
      <c r="J23" s="18"/>
      <c r="K23" s="18"/>
      <c r="L23" s="18"/>
      <c r="M23" s="18"/>
    </row>
    <row r="24">
      <c r="A24" s="18" t="s">
        <v>141</v>
      </c>
      <c r="B24" s="66">
        <v>0.0</v>
      </c>
      <c r="C24" s="77"/>
      <c r="D24" s="17">
        <v>25.0</v>
      </c>
      <c r="E24" s="29">
        <v>2009998.0</v>
      </c>
      <c r="F24" s="17">
        <v>19.0</v>
      </c>
      <c r="G24" s="69">
        <v>2336921.0</v>
      </c>
      <c r="H24" s="18"/>
      <c r="I24" s="18"/>
      <c r="J24" s="18"/>
      <c r="K24" s="18"/>
      <c r="L24" s="18"/>
      <c r="M24" s="18"/>
    </row>
    <row r="25">
      <c r="A25" s="18" t="s">
        <v>123</v>
      </c>
      <c r="B25" s="66">
        <v>28.0</v>
      </c>
      <c r="C25" s="82">
        <v>1019760.0</v>
      </c>
      <c r="D25" s="17">
        <v>13.0</v>
      </c>
      <c r="E25" s="29">
        <v>604376.0</v>
      </c>
      <c r="F25" s="17">
        <v>33.0</v>
      </c>
      <c r="G25" s="69">
        <v>735700.0</v>
      </c>
      <c r="H25" s="18"/>
      <c r="I25" s="18"/>
      <c r="J25" s="18"/>
      <c r="K25" s="18"/>
      <c r="L25" s="18"/>
      <c r="M25" s="18"/>
    </row>
    <row r="26">
      <c r="A26" s="18" t="s">
        <v>112</v>
      </c>
      <c r="B26" s="66">
        <v>10.0</v>
      </c>
      <c r="C26" s="69">
        <v>2234045.0</v>
      </c>
      <c r="D26" s="17">
        <v>3.0</v>
      </c>
      <c r="E26" s="29">
        <v>2361495.0</v>
      </c>
      <c r="F26" s="17">
        <v>11.0</v>
      </c>
      <c r="G26" s="69">
        <v>1858742.0</v>
      </c>
      <c r="H26" s="18"/>
      <c r="I26" s="18"/>
      <c r="J26" s="18"/>
      <c r="K26" s="18"/>
      <c r="L26" s="18"/>
      <c r="M26" s="18"/>
    </row>
    <row r="27">
      <c r="A27" s="18" t="s">
        <v>134</v>
      </c>
      <c r="B27" s="66">
        <v>12.0</v>
      </c>
      <c r="C27" s="69">
        <v>2242198.0</v>
      </c>
      <c r="D27" s="17">
        <v>23.0</v>
      </c>
      <c r="E27" s="29">
        <v>2287952.0</v>
      </c>
      <c r="F27" s="17">
        <v>16.0</v>
      </c>
      <c r="G27" s="69">
        <v>1932706.0</v>
      </c>
      <c r="H27" s="18"/>
      <c r="I27" s="18"/>
      <c r="J27" s="18"/>
      <c r="K27" s="18"/>
      <c r="L27" s="18"/>
      <c r="M27" s="18"/>
    </row>
    <row r="28">
      <c r="A28" s="18" t="s">
        <v>125</v>
      </c>
      <c r="B28" s="66">
        <v>5.0</v>
      </c>
      <c r="C28" s="69">
        <v>1928321.0</v>
      </c>
      <c r="D28" s="17">
        <v>5.0</v>
      </c>
      <c r="E28" s="29">
        <v>1572844.0</v>
      </c>
      <c r="F28" s="17">
        <v>4.0</v>
      </c>
      <c r="G28" s="69">
        <v>1596874.0</v>
      </c>
      <c r="H28" s="18"/>
      <c r="I28" s="18"/>
      <c r="J28" s="18"/>
      <c r="K28" s="18"/>
      <c r="L28" s="18"/>
      <c r="M28" s="18"/>
    </row>
    <row r="29">
      <c r="A29" s="18" t="s">
        <v>129</v>
      </c>
      <c r="B29" s="66">
        <v>5.0</v>
      </c>
      <c r="C29" s="69">
        <v>910089.0</v>
      </c>
      <c r="D29" s="17">
        <v>6.0</v>
      </c>
      <c r="E29" s="29">
        <v>876283.0</v>
      </c>
      <c r="F29" s="17">
        <v>8.0</v>
      </c>
      <c r="G29" s="69">
        <v>862126.0</v>
      </c>
      <c r="H29" s="18"/>
      <c r="I29" s="18"/>
      <c r="J29" s="18"/>
      <c r="K29" s="18"/>
      <c r="L29" s="18"/>
      <c r="M29" s="18"/>
    </row>
    <row r="30">
      <c r="A30" s="18" t="s">
        <v>120</v>
      </c>
      <c r="B30" s="66">
        <v>14.0</v>
      </c>
      <c r="C30" s="69">
        <v>2645386.0</v>
      </c>
      <c r="D30" s="17">
        <v>15.0</v>
      </c>
      <c r="E30" s="29">
        <v>1754551.0</v>
      </c>
      <c r="F30" s="17">
        <v>17.0</v>
      </c>
      <c r="G30" s="69">
        <v>2356860.0</v>
      </c>
      <c r="H30" s="18"/>
      <c r="I30" s="18"/>
      <c r="J30" s="18"/>
      <c r="K30" s="18"/>
      <c r="L30" s="18"/>
      <c r="M30" s="18"/>
    </row>
    <row r="31">
      <c r="A31" s="18" t="s">
        <v>126</v>
      </c>
      <c r="B31" s="66">
        <v>10.0</v>
      </c>
      <c r="C31" s="69">
        <v>1125848.0</v>
      </c>
      <c r="D31" s="17">
        <v>7.0</v>
      </c>
      <c r="E31" s="29">
        <v>1491486.0</v>
      </c>
      <c r="F31" s="17">
        <v>6.0</v>
      </c>
      <c r="G31" s="69">
        <v>1741650.0</v>
      </c>
      <c r="H31" s="18"/>
      <c r="I31" s="18"/>
      <c r="J31" s="18"/>
      <c r="K31" s="18"/>
      <c r="L31" s="18"/>
      <c r="M31" s="18"/>
    </row>
    <row r="32">
      <c r="A32" s="18" t="s">
        <v>118</v>
      </c>
      <c r="B32" s="66">
        <v>4.0</v>
      </c>
      <c r="C32" s="69">
        <v>2435140.0</v>
      </c>
      <c r="D32" s="17">
        <v>7.0</v>
      </c>
      <c r="E32" s="29">
        <v>2295763.0</v>
      </c>
      <c r="F32" s="17">
        <v>7.0</v>
      </c>
      <c r="G32" s="69">
        <v>2295763.0</v>
      </c>
      <c r="H32" s="18"/>
      <c r="I32" s="18"/>
      <c r="J32" s="18"/>
      <c r="K32" s="18"/>
      <c r="L32" s="18"/>
      <c r="M32" s="18"/>
    </row>
    <row r="33">
      <c r="B33" s="83"/>
      <c r="C33" s="84"/>
      <c r="E33" s="36"/>
      <c r="G33" s="84"/>
    </row>
    <row r="34">
      <c r="B34" s="83"/>
      <c r="C34" s="84"/>
      <c r="E34" s="36"/>
      <c r="G34" s="84"/>
    </row>
    <row r="35">
      <c r="B35" s="83"/>
      <c r="C35" s="84"/>
      <c r="E35" s="36"/>
      <c r="G35" s="84"/>
    </row>
    <row r="36">
      <c r="B36" s="83"/>
      <c r="C36" s="84"/>
      <c r="E36" s="36"/>
      <c r="G36" s="84"/>
    </row>
    <row r="37">
      <c r="B37" s="83"/>
      <c r="C37" s="84"/>
      <c r="E37" s="36"/>
      <c r="G37" s="84"/>
    </row>
    <row r="38">
      <c r="B38" s="83"/>
      <c r="C38" s="84"/>
      <c r="E38" s="36"/>
      <c r="G38" s="84"/>
    </row>
    <row r="39">
      <c r="B39" s="83"/>
      <c r="C39" s="84"/>
      <c r="E39" s="36"/>
      <c r="G39" s="84"/>
    </row>
    <row r="40">
      <c r="B40" s="83"/>
      <c r="C40" s="84"/>
      <c r="E40" s="36"/>
      <c r="G40" s="84"/>
    </row>
    <row r="41">
      <c r="B41" s="83"/>
      <c r="C41" s="84"/>
      <c r="E41" s="36"/>
      <c r="G41" s="84"/>
    </row>
    <row r="42">
      <c r="B42" s="83"/>
      <c r="C42" s="84"/>
      <c r="E42" s="36"/>
      <c r="G42" s="84"/>
    </row>
    <row r="43">
      <c r="B43" s="83"/>
      <c r="C43" s="84"/>
      <c r="E43" s="36"/>
      <c r="G43" s="84"/>
    </row>
    <row r="44">
      <c r="B44" s="83"/>
      <c r="C44" s="84"/>
      <c r="E44" s="36"/>
      <c r="G44" s="84"/>
    </row>
    <row r="45">
      <c r="B45" s="83"/>
      <c r="C45" s="84"/>
      <c r="E45" s="36"/>
      <c r="G45" s="84"/>
    </row>
    <row r="46">
      <c r="B46" s="83"/>
      <c r="C46" s="84"/>
      <c r="E46" s="36"/>
      <c r="G46" s="84"/>
    </row>
    <row r="47">
      <c r="B47" s="83"/>
      <c r="C47" s="84"/>
      <c r="E47" s="36"/>
      <c r="G47" s="84"/>
    </row>
    <row r="48">
      <c r="B48" s="83"/>
      <c r="C48" s="84"/>
      <c r="E48" s="36"/>
      <c r="G48" s="84"/>
    </row>
    <row r="49">
      <c r="B49" s="83"/>
      <c r="C49" s="84"/>
      <c r="E49" s="36"/>
      <c r="G49" s="84"/>
    </row>
    <row r="50">
      <c r="B50" s="83"/>
      <c r="C50" s="84"/>
      <c r="E50" s="36"/>
      <c r="G50" s="84"/>
    </row>
    <row r="51">
      <c r="B51" s="83"/>
      <c r="C51" s="84"/>
      <c r="E51" s="36"/>
      <c r="G51" s="84"/>
    </row>
    <row r="52">
      <c r="B52" s="83"/>
      <c r="C52" s="84"/>
      <c r="E52" s="36"/>
      <c r="G52" s="84"/>
    </row>
    <row r="53">
      <c r="B53" s="83"/>
      <c r="C53" s="84"/>
      <c r="E53" s="36"/>
      <c r="G53" s="84"/>
    </row>
    <row r="54">
      <c r="B54" s="83"/>
      <c r="C54" s="84"/>
      <c r="E54" s="36"/>
      <c r="G54" s="84"/>
    </row>
    <row r="55">
      <c r="B55" s="83"/>
      <c r="C55" s="84"/>
      <c r="E55" s="36"/>
      <c r="G55" s="84"/>
    </row>
    <row r="56">
      <c r="B56" s="83"/>
      <c r="C56" s="84"/>
      <c r="E56" s="36"/>
      <c r="G56" s="84"/>
    </row>
    <row r="57">
      <c r="B57" s="83"/>
      <c r="C57" s="84"/>
      <c r="E57" s="36"/>
      <c r="G57" s="84"/>
    </row>
    <row r="58">
      <c r="B58" s="83"/>
      <c r="C58" s="84"/>
      <c r="E58" s="36"/>
      <c r="G58" s="84"/>
    </row>
    <row r="59">
      <c r="B59" s="83"/>
      <c r="C59" s="84"/>
      <c r="E59" s="36"/>
      <c r="G59" s="84"/>
    </row>
    <row r="60">
      <c r="B60" s="83"/>
      <c r="C60" s="84"/>
      <c r="E60" s="36"/>
      <c r="G60" s="84"/>
    </row>
    <row r="61">
      <c r="B61" s="83"/>
      <c r="C61" s="84"/>
      <c r="E61" s="36"/>
      <c r="G61" s="84"/>
    </row>
    <row r="62">
      <c r="B62" s="83"/>
      <c r="C62" s="84"/>
      <c r="E62" s="36"/>
      <c r="G62" s="84"/>
    </row>
    <row r="63">
      <c r="B63" s="83"/>
      <c r="C63" s="84"/>
      <c r="E63" s="36"/>
      <c r="G63" s="84"/>
    </row>
    <row r="64">
      <c r="B64" s="83"/>
      <c r="C64" s="84"/>
      <c r="E64" s="36"/>
      <c r="G64" s="84"/>
    </row>
    <row r="65">
      <c r="B65" s="83"/>
      <c r="C65" s="84"/>
      <c r="E65" s="36"/>
      <c r="G65" s="84"/>
    </row>
    <row r="66">
      <c r="B66" s="83"/>
      <c r="C66" s="84"/>
      <c r="E66" s="36"/>
      <c r="G66" s="84"/>
    </row>
    <row r="67">
      <c r="B67" s="83"/>
      <c r="C67" s="84"/>
      <c r="E67" s="36"/>
      <c r="G67" s="84"/>
    </row>
    <row r="68">
      <c r="B68" s="83"/>
      <c r="C68" s="84"/>
      <c r="E68" s="36"/>
      <c r="G68" s="84"/>
    </row>
    <row r="69">
      <c r="B69" s="83"/>
      <c r="C69" s="84"/>
      <c r="E69" s="36"/>
      <c r="G69" s="84"/>
    </row>
    <row r="70">
      <c r="B70" s="83"/>
      <c r="C70" s="84"/>
      <c r="E70" s="36"/>
      <c r="G70" s="84"/>
    </row>
    <row r="71">
      <c r="B71" s="83"/>
      <c r="C71" s="84"/>
      <c r="E71" s="36"/>
      <c r="G71" s="84"/>
    </row>
    <row r="72">
      <c r="B72" s="83"/>
      <c r="C72" s="84"/>
      <c r="E72" s="36"/>
      <c r="G72" s="84"/>
    </row>
    <row r="73">
      <c r="B73" s="83"/>
      <c r="C73" s="84"/>
      <c r="E73" s="36"/>
      <c r="G73" s="84"/>
    </row>
    <row r="74">
      <c r="B74" s="83"/>
      <c r="C74" s="84"/>
      <c r="E74" s="36"/>
      <c r="G74" s="84"/>
    </row>
    <row r="75">
      <c r="B75" s="83"/>
      <c r="C75" s="84"/>
      <c r="E75" s="36"/>
      <c r="G75" s="84"/>
    </row>
    <row r="76">
      <c r="B76" s="83"/>
      <c r="C76" s="84"/>
      <c r="E76" s="36"/>
      <c r="G76" s="84"/>
    </row>
    <row r="77">
      <c r="B77" s="83"/>
      <c r="C77" s="84"/>
      <c r="E77" s="36"/>
      <c r="G77" s="84"/>
    </row>
    <row r="78">
      <c r="B78" s="83"/>
      <c r="C78" s="84"/>
      <c r="E78" s="36"/>
      <c r="G78" s="84"/>
    </row>
    <row r="79">
      <c r="B79" s="83"/>
      <c r="C79" s="84"/>
      <c r="E79" s="36"/>
      <c r="G79" s="84"/>
    </row>
    <row r="80">
      <c r="B80" s="83"/>
      <c r="C80" s="84"/>
      <c r="E80" s="36"/>
      <c r="G80" s="84"/>
    </row>
    <row r="81">
      <c r="B81" s="83"/>
      <c r="C81" s="84"/>
      <c r="E81" s="36"/>
      <c r="G81" s="84"/>
    </row>
    <row r="82">
      <c r="B82" s="83"/>
      <c r="C82" s="84"/>
      <c r="E82" s="36"/>
      <c r="G82" s="84"/>
    </row>
    <row r="83">
      <c r="B83" s="83"/>
      <c r="C83" s="84"/>
      <c r="E83" s="36"/>
      <c r="G83" s="84"/>
    </row>
    <row r="84">
      <c r="B84" s="83"/>
      <c r="C84" s="84"/>
      <c r="E84" s="36"/>
      <c r="G84" s="84"/>
    </row>
    <row r="85">
      <c r="B85" s="83"/>
      <c r="C85" s="84"/>
      <c r="E85" s="36"/>
      <c r="G85" s="84"/>
    </row>
    <row r="86">
      <c r="B86" s="83"/>
      <c r="C86" s="84"/>
      <c r="E86" s="36"/>
      <c r="G86" s="84"/>
    </row>
    <row r="87">
      <c r="B87" s="83"/>
      <c r="C87" s="84"/>
      <c r="E87" s="36"/>
      <c r="G87" s="84"/>
    </row>
    <row r="88">
      <c r="B88" s="83"/>
      <c r="C88" s="84"/>
      <c r="E88" s="36"/>
      <c r="G88" s="84"/>
    </row>
    <row r="89">
      <c r="B89" s="83"/>
      <c r="C89" s="84"/>
      <c r="E89" s="36"/>
      <c r="G89" s="84"/>
    </row>
    <row r="90">
      <c r="B90" s="83"/>
      <c r="C90" s="84"/>
      <c r="E90" s="36"/>
      <c r="G90" s="84"/>
    </row>
    <row r="91">
      <c r="B91" s="83"/>
      <c r="C91" s="84"/>
      <c r="E91" s="36"/>
      <c r="G91" s="84"/>
    </row>
    <row r="92">
      <c r="B92" s="83"/>
      <c r="C92" s="84"/>
      <c r="E92" s="36"/>
      <c r="G92" s="84"/>
    </row>
    <row r="93">
      <c r="B93" s="83"/>
      <c r="C93" s="84"/>
      <c r="E93" s="36"/>
      <c r="G93" s="84"/>
    </row>
    <row r="94">
      <c r="B94" s="83"/>
      <c r="C94" s="84"/>
      <c r="E94" s="36"/>
      <c r="G94" s="84"/>
    </row>
    <row r="95">
      <c r="B95" s="83"/>
      <c r="C95" s="84"/>
      <c r="E95" s="36"/>
      <c r="G95" s="84"/>
    </row>
    <row r="96">
      <c r="B96" s="83"/>
      <c r="C96" s="84"/>
      <c r="E96" s="36"/>
      <c r="G96" s="84"/>
    </row>
    <row r="97">
      <c r="B97" s="83"/>
      <c r="C97" s="84"/>
      <c r="E97" s="36"/>
      <c r="G97" s="84"/>
    </row>
    <row r="98">
      <c r="B98" s="83"/>
      <c r="C98" s="84"/>
      <c r="E98" s="36"/>
      <c r="G98" s="84"/>
    </row>
    <row r="99">
      <c r="B99" s="83"/>
      <c r="C99" s="84"/>
      <c r="E99" s="36"/>
      <c r="G99" s="84"/>
    </row>
    <row r="100">
      <c r="B100" s="83"/>
      <c r="C100" s="84"/>
      <c r="E100" s="36"/>
      <c r="G100" s="84"/>
    </row>
    <row r="101">
      <c r="B101" s="83"/>
      <c r="C101" s="84"/>
      <c r="E101" s="36"/>
      <c r="G101" s="84"/>
    </row>
    <row r="102">
      <c r="B102" s="83"/>
      <c r="C102" s="84"/>
      <c r="E102" s="36"/>
      <c r="G102" s="84"/>
    </row>
    <row r="103">
      <c r="B103" s="83"/>
      <c r="C103" s="84"/>
      <c r="E103" s="36"/>
      <c r="G103" s="84"/>
    </row>
    <row r="104">
      <c r="B104" s="83"/>
      <c r="C104" s="84"/>
      <c r="E104" s="36"/>
      <c r="G104" s="84"/>
    </row>
    <row r="105">
      <c r="B105" s="83"/>
      <c r="C105" s="84"/>
      <c r="E105" s="36"/>
      <c r="G105" s="84"/>
    </row>
    <row r="106">
      <c r="B106" s="83"/>
      <c r="C106" s="84"/>
      <c r="E106" s="36"/>
      <c r="G106" s="84"/>
    </row>
    <row r="107">
      <c r="B107" s="83"/>
      <c r="C107" s="84"/>
      <c r="E107" s="36"/>
      <c r="G107" s="84"/>
    </row>
    <row r="108">
      <c r="B108" s="83"/>
      <c r="C108" s="84"/>
      <c r="E108" s="36"/>
      <c r="G108" s="84"/>
    </row>
    <row r="109">
      <c r="B109" s="83"/>
      <c r="C109" s="84"/>
      <c r="E109" s="36"/>
      <c r="G109" s="84"/>
    </row>
    <row r="110">
      <c r="B110" s="83"/>
      <c r="C110" s="84"/>
      <c r="E110" s="36"/>
      <c r="G110" s="84"/>
    </row>
    <row r="111">
      <c r="B111" s="83"/>
      <c r="C111" s="84"/>
      <c r="E111" s="36"/>
      <c r="G111" s="84"/>
    </row>
    <row r="112">
      <c r="B112" s="83"/>
      <c r="C112" s="84"/>
      <c r="E112" s="36"/>
      <c r="G112" s="84"/>
    </row>
    <row r="113">
      <c r="B113" s="83"/>
      <c r="C113" s="84"/>
      <c r="E113" s="36"/>
      <c r="G113" s="84"/>
    </row>
    <row r="114">
      <c r="B114" s="83"/>
      <c r="C114" s="84"/>
      <c r="E114" s="36"/>
      <c r="G114" s="84"/>
    </row>
    <row r="115">
      <c r="B115" s="83"/>
      <c r="C115" s="84"/>
      <c r="E115" s="36"/>
      <c r="G115" s="84"/>
    </row>
    <row r="116">
      <c r="B116" s="83"/>
      <c r="C116" s="84"/>
      <c r="E116" s="36"/>
      <c r="G116" s="84"/>
    </row>
    <row r="117">
      <c r="B117" s="83"/>
      <c r="C117" s="84"/>
      <c r="E117" s="36"/>
      <c r="G117" s="84"/>
    </row>
    <row r="118">
      <c r="B118" s="83"/>
      <c r="C118" s="84"/>
      <c r="E118" s="36"/>
      <c r="G118" s="84"/>
    </row>
    <row r="119">
      <c r="B119" s="83"/>
      <c r="C119" s="84"/>
      <c r="E119" s="36"/>
      <c r="G119" s="84"/>
    </row>
    <row r="120">
      <c r="B120" s="83"/>
      <c r="C120" s="84"/>
      <c r="E120" s="36"/>
      <c r="G120" s="84"/>
    </row>
    <row r="121">
      <c r="B121" s="83"/>
      <c r="C121" s="84"/>
      <c r="E121" s="36"/>
      <c r="G121" s="84"/>
    </row>
    <row r="122">
      <c r="B122" s="83"/>
      <c r="C122" s="84"/>
      <c r="E122" s="36"/>
      <c r="G122" s="84"/>
    </row>
    <row r="123">
      <c r="B123" s="83"/>
      <c r="C123" s="84"/>
      <c r="E123" s="36"/>
      <c r="G123" s="84"/>
    </row>
    <row r="124">
      <c r="B124" s="83"/>
      <c r="C124" s="84"/>
      <c r="E124" s="36"/>
      <c r="G124" s="84"/>
    </row>
    <row r="125">
      <c r="B125" s="83"/>
      <c r="C125" s="84"/>
      <c r="E125" s="36"/>
      <c r="G125" s="84"/>
    </row>
    <row r="126">
      <c r="B126" s="83"/>
      <c r="C126" s="84"/>
      <c r="E126" s="36"/>
      <c r="G126" s="84"/>
    </row>
    <row r="127">
      <c r="B127" s="83"/>
      <c r="C127" s="84"/>
      <c r="E127" s="36"/>
      <c r="G127" s="84"/>
    </row>
    <row r="128">
      <c r="B128" s="83"/>
      <c r="C128" s="84"/>
      <c r="E128" s="36"/>
      <c r="G128" s="84"/>
    </row>
    <row r="129">
      <c r="B129" s="83"/>
      <c r="C129" s="84"/>
      <c r="E129" s="36"/>
      <c r="G129" s="84"/>
    </row>
    <row r="130">
      <c r="B130" s="83"/>
      <c r="C130" s="84"/>
      <c r="E130" s="36"/>
      <c r="G130" s="84"/>
    </row>
    <row r="131">
      <c r="B131" s="83"/>
      <c r="C131" s="84"/>
      <c r="E131" s="36"/>
      <c r="G131" s="84"/>
    </row>
    <row r="132">
      <c r="B132" s="83"/>
      <c r="C132" s="84"/>
      <c r="E132" s="36"/>
      <c r="G132" s="84"/>
    </row>
    <row r="133">
      <c r="B133" s="83"/>
      <c r="C133" s="84"/>
      <c r="E133" s="36"/>
      <c r="G133" s="84"/>
    </row>
    <row r="134">
      <c r="B134" s="83"/>
      <c r="C134" s="84"/>
      <c r="E134" s="36"/>
      <c r="G134" s="84"/>
    </row>
    <row r="135">
      <c r="B135" s="83"/>
      <c r="C135" s="84"/>
      <c r="E135" s="36"/>
      <c r="G135" s="84"/>
    </row>
    <row r="136">
      <c r="B136" s="83"/>
      <c r="C136" s="84"/>
      <c r="E136" s="36"/>
      <c r="G136" s="84"/>
    </row>
    <row r="137">
      <c r="B137" s="83"/>
      <c r="C137" s="84"/>
      <c r="E137" s="36"/>
      <c r="G137" s="84"/>
    </row>
    <row r="138">
      <c r="B138" s="83"/>
      <c r="C138" s="84"/>
      <c r="E138" s="36"/>
      <c r="G138" s="84"/>
    </row>
    <row r="139">
      <c r="B139" s="83"/>
      <c r="C139" s="84"/>
      <c r="E139" s="36"/>
      <c r="G139" s="84"/>
    </row>
    <row r="140">
      <c r="B140" s="83"/>
      <c r="C140" s="84"/>
      <c r="E140" s="36"/>
      <c r="G140" s="84"/>
    </row>
    <row r="141">
      <c r="B141" s="83"/>
      <c r="C141" s="84"/>
      <c r="E141" s="36"/>
      <c r="G141" s="84"/>
    </row>
    <row r="142">
      <c r="B142" s="83"/>
      <c r="C142" s="84"/>
      <c r="E142" s="36"/>
      <c r="G142" s="84"/>
    </row>
    <row r="143">
      <c r="B143" s="83"/>
      <c r="C143" s="84"/>
      <c r="E143" s="36"/>
      <c r="G143" s="84"/>
    </row>
    <row r="144">
      <c r="B144" s="83"/>
      <c r="C144" s="84"/>
      <c r="E144" s="36"/>
      <c r="G144" s="84"/>
    </row>
    <row r="145">
      <c r="B145" s="83"/>
      <c r="C145" s="84"/>
      <c r="E145" s="36"/>
      <c r="G145" s="84"/>
    </row>
    <row r="146">
      <c r="B146" s="83"/>
      <c r="C146" s="84"/>
      <c r="E146" s="36"/>
      <c r="G146" s="84"/>
    </row>
    <row r="147">
      <c r="B147" s="83"/>
      <c r="C147" s="84"/>
      <c r="E147" s="36"/>
      <c r="G147" s="84"/>
    </row>
    <row r="148">
      <c r="B148" s="83"/>
      <c r="C148" s="84"/>
      <c r="E148" s="36"/>
      <c r="G148" s="84"/>
    </row>
    <row r="149">
      <c r="B149" s="83"/>
      <c r="C149" s="84"/>
      <c r="E149" s="36"/>
      <c r="G149" s="84"/>
    </row>
    <row r="150">
      <c r="B150" s="83"/>
      <c r="C150" s="84"/>
      <c r="E150" s="36"/>
      <c r="G150" s="84"/>
    </row>
    <row r="151">
      <c r="B151" s="83"/>
      <c r="C151" s="84"/>
      <c r="E151" s="36"/>
      <c r="G151" s="84"/>
    </row>
    <row r="152">
      <c r="B152" s="83"/>
      <c r="C152" s="84"/>
      <c r="E152" s="36"/>
      <c r="G152" s="84"/>
    </row>
    <row r="153">
      <c r="B153" s="83"/>
      <c r="C153" s="84"/>
      <c r="E153" s="36"/>
      <c r="G153" s="84"/>
    </row>
    <row r="154">
      <c r="B154" s="83"/>
      <c r="C154" s="84"/>
      <c r="E154" s="36"/>
      <c r="G154" s="84"/>
    </row>
    <row r="155">
      <c r="B155" s="83"/>
      <c r="C155" s="84"/>
      <c r="E155" s="36"/>
      <c r="G155" s="84"/>
    </row>
    <row r="156">
      <c r="B156" s="83"/>
      <c r="C156" s="84"/>
      <c r="E156" s="36"/>
      <c r="G156" s="84"/>
    </row>
    <row r="157">
      <c r="B157" s="83"/>
      <c r="C157" s="84"/>
      <c r="E157" s="36"/>
      <c r="G157" s="84"/>
    </row>
    <row r="158">
      <c r="B158" s="83"/>
      <c r="C158" s="84"/>
      <c r="E158" s="36"/>
      <c r="G158" s="84"/>
    </row>
    <row r="159">
      <c r="B159" s="83"/>
      <c r="C159" s="84"/>
      <c r="E159" s="36"/>
      <c r="G159" s="84"/>
    </row>
    <row r="160">
      <c r="B160" s="83"/>
      <c r="C160" s="84"/>
      <c r="E160" s="36"/>
      <c r="G160" s="84"/>
    </row>
    <row r="161">
      <c r="B161" s="83"/>
      <c r="C161" s="84"/>
      <c r="E161" s="36"/>
      <c r="G161" s="84"/>
    </row>
    <row r="162">
      <c r="B162" s="83"/>
      <c r="C162" s="84"/>
      <c r="E162" s="36"/>
      <c r="G162" s="84"/>
    </row>
    <row r="163">
      <c r="B163" s="83"/>
      <c r="C163" s="84"/>
      <c r="E163" s="36"/>
      <c r="G163" s="84"/>
    </row>
    <row r="164">
      <c r="B164" s="83"/>
      <c r="C164" s="84"/>
      <c r="E164" s="36"/>
      <c r="G164" s="84"/>
    </row>
    <row r="165">
      <c r="B165" s="83"/>
      <c r="C165" s="84"/>
      <c r="E165" s="36"/>
      <c r="G165" s="84"/>
    </row>
    <row r="166">
      <c r="B166" s="83"/>
      <c r="C166" s="84"/>
      <c r="E166" s="36"/>
      <c r="G166" s="84"/>
    </row>
    <row r="167">
      <c r="B167" s="83"/>
      <c r="C167" s="84"/>
      <c r="E167" s="36"/>
      <c r="G167" s="84"/>
    </row>
    <row r="168">
      <c r="B168" s="83"/>
      <c r="C168" s="84"/>
      <c r="E168" s="36"/>
      <c r="G168" s="84"/>
    </row>
    <row r="169">
      <c r="B169" s="83"/>
      <c r="C169" s="84"/>
      <c r="E169" s="36"/>
      <c r="G169" s="84"/>
    </row>
    <row r="170">
      <c r="B170" s="83"/>
      <c r="C170" s="84"/>
      <c r="E170" s="36"/>
      <c r="G170" s="84"/>
    </row>
    <row r="171">
      <c r="B171" s="83"/>
      <c r="C171" s="84"/>
      <c r="E171" s="36"/>
      <c r="G171" s="84"/>
    </row>
    <row r="172">
      <c r="B172" s="83"/>
      <c r="C172" s="84"/>
      <c r="E172" s="36"/>
      <c r="G172" s="84"/>
    </row>
    <row r="173">
      <c r="B173" s="83"/>
      <c r="C173" s="84"/>
      <c r="E173" s="36"/>
      <c r="G173" s="84"/>
    </row>
    <row r="174">
      <c r="B174" s="83"/>
      <c r="C174" s="84"/>
      <c r="E174" s="36"/>
      <c r="G174" s="84"/>
    </row>
    <row r="175">
      <c r="B175" s="83"/>
      <c r="C175" s="84"/>
      <c r="E175" s="36"/>
      <c r="G175" s="84"/>
    </row>
    <row r="176">
      <c r="B176" s="83"/>
      <c r="C176" s="84"/>
      <c r="E176" s="36"/>
      <c r="G176" s="84"/>
    </row>
    <row r="177">
      <c r="B177" s="83"/>
      <c r="C177" s="84"/>
      <c r="E177" s="36"/>
      <c r="G177" s="84"/>
    </row>
    <row r="178">
      <c r="B178" s="83"/>
      <c r="C178" s="84"/>
      <c r="E178" s="36"/>
      <c r="G178" s="84"/>
    </row>
    <row r="179">
      <c r="B179" s="83"/>
      <c r="C179" s="84"/>
      <c r="E179" s="36"/>
      <c r="G179" s="84"/>
    </row>
    <row r="180">
      <c r="B180" s="83"/>
      <c r="C180" s="84"/>
      <c r="E180" s="36"/>
      <c r="G180" s="84"/>
    </row>
    <row r="181">
      <c r="B181" s="83"/>
      <c r="C181" s="84"/>
      <c r="E181" s="36"/>
      <c r="G181" s="84"/>
    </row>
    <row r="182">
      <c r="B182" s="83"/>
      <c r="C182" s="84"/>
      <c r="E182" s="36"/>
      <c r="G182" s="84"/>
    </row>
    <row r="183">
      <c r="B183" s="83"/>
      <c r="C183" s="84"/>
      <c r="E183" s="36"/>
      <c r="G183" s="84"/>
    </row>
    <row r="184">
      <c r="B184" s="83"/>
      <c r="C184" s="84"/>
      <c r="E184" s="36"/>
      <c r="G184" s="84"/>
    </row>
    <row r="185">
      <c r="B185" s="83"/>
      <c r="C185" s="84"/>
      <c r="E185" s="36"/>
      <c r="G185" s="84"/>
    </row>
    <row r="186">
      <c r="B186" s="83"/>
      <c r="C186" s="84"/>
      <c r="E186" s="36"/>
      <c r="G186" s="84"/>
    </row>
    <row r="187">
      <c r="B187" s="83"/>
      <c r="C187" s="84"/>
      <c r="E187" s="36"/>
      <c r="G187" s="84"/>
    </row>
    <row r="188">
      <c r="B188" s="83"/>
      <c r="C188" s="84"/>
      <c r="E188" s="36"/>
      <c r="G188" s="84"/>
    </row>
    <row r="189">
      <c r="B189" s="83"/>
      <c r="C189" s="84"/>
      <c r="E189" s="36"/>
      <c r="G189" s="84"/>
    </row>
    <row r="190">
      <c r="B190" s="83"/>
      <c r="C190" s="84"/>
      <c r="E190" s="36"/>
      <c r="G190" s="84"/>
    </row>
    <row r="191">
      <c r="B191" s="83"/>
      <c r="C191" s="84"/>
      <c r="E191" s="36"/>
      <c r="G191" s="84"/>
    </row>
    <row r="192">
      <c r="B192" s="83"/>
      <c r="C192" s="84"/>
      <c r="E192" s="36"/>
      <c r="G192" s="84"/>
    </row>
    <row r="193">
      <c r="B193" s="83"/>
      <c r="C193" s="84"/>
      <c r="E193" s="36"/>
      <c r="G193" s="84"/>
    </row>
    <row r="194">
      <c r="B194" s="83"/>
      <c r="C194" s="84"/>
      <c r="E194" s="36"/>
      <c r="G194" s="84"/>
    </row>
    <row r="195">
      <c r="B195" s="83"/>
      <c r="C195" s="84"/>
      <c r="E195" s="36"/>
      <c r="G195" s="84"/>
    </row>
    <row r="196">
      <c r="B196" s="83"/>
      <c r="C196" s="84"/>
      <c r="E196" s="36"/>
      <c r="G196" s="84"/>
    </row>
    <row r="197">
      <c r="B197" s="83"/>
      <c r="C197" s="84"/>
      <c r="E197" s="36"/>
      <c r="G197" s="84"/>
    </row>
    <row r="198">
      <c r="B198" s="83"/>
      <c r="C198" s="84"/>
      <c r="E198" s="36"/>
      <c r="G198" s="84"/>
    </row>
    <row r="199">
      <c r="B199" s="83"/>
      <c r="C199" s="84"/>
      <c r="E199" s="36"/>
      <c r="G199" s="84"/>
    </row>
    <row r="200">
      <c r="B200" s="83"/>
      <c r="C200" s="84"/>
      <c r="E200" s="36"/>
      <c r="G200" s="84"/>
    </row>
    <row r="201">
      <c r="B201" s="83"/>
      <c r="C201" s="84"/>
      <c r="E201" s="36"/>
      <c r="G201" s="84"/>
    </row>
    <row r="202">
      <c r="B202" s="83"/>
      <c r="C202" s="84"/>
      <c r="E202" s="36"/>
      <c r="G202" s="84"/>
    </row>
    <row r="203">
      <c r="B203" s="83"/>
      <c r="C203" s="84"/>
      <c r="E203" s="36"/>
      <c r="G203" s="84"/>
    </row>
    <row r="204">
      <c r="B204" s="83"/>
      <c r="C204" s="84"/>
      <c r="E204" s="36"/>
      <c r="G204" s="84"/>
    </row>
    <row r="205">
      <c r="B205" s="83"/>
      <c r="C205" s="84"/>
      <c r="E205" s="36"/>
      <c r="G205" s="84"/>
    </row>
    <row r="206">
      <c r="B206" s="83"/>
      <c r="C206" s="84"/>
      <c r="E206" s="36"/>
      <c r="G206" s="84"/>
    </row>
    <row r="207">
      <c r="B207" s="83"/>
      <c r="C207" s="84"/>
      <c r="E207" s="36"/>
      <c r="G207" s="84"/>
    </row>
    <row r="208">
      <c r="B208" s="83"/>
      <c r="C208" s="84"/>
      <c r="E208" s="36"/>
      <c r="G208" s="84"/>
    </row>
    <row r="209">
      <c r="B209" s="83"/>
      <c r="C209" s="84"/>
      <c r="E209" s="36"/>
      <c r="G209" s="84"/>
    </row>
    <row r="210">
      <c r="B210" s="83"/>
      <c r="C210" s="84"/>
      <c r="E210" s="36"/>
      <c r="G210" s="84"/>
    </row>
    <row r="211">
      <c r="B211" s="83"/>
      <c r="C211" s="84"/>
      <c r="E211" s="36"/>
      <c r="G211" s="84"/>
    </row>
    <row r="212">
      <c r="B212" s="83"/>
      <c r="C212" s="84"/>
      <c r="E212" s="36"/>
      <c r="G212" s="84"/>
    </row>
    <row r="213">
      <c r="B213" s="83"/>
      <c r="C213" s="84"/>
      <c r="E213" s="36"/>
      <c r="G213" s="84"/>
    </row>
    <row r="214">
      <c r="B214" s="83"/>
      <c r="C214" s="84"/>
      <c r="E214" s="36"/>
      <c r="G214" s="84"/>
    </row>
    <row r="215">
      <c r="B215" s="83"/>
      <c r="C215" s="84"/>
      <c r="E215" s="36"/>
      <c r="G215" s="84"/>
    </row>
    <row r="216">
      <c r="B216" s="83"/>
      <c r="C216" s="84"/>
      <c r="E216" s="36"/>
      <c r="G216" s="84"/>
    </row>
    <row r="217">
      <c r="B217" s="83"/>
      <c r="C217" s="84"/>
      <c r="E217" s="36"/>
      <c r="G217" s="84"/>
    </row>
    <row r="218">
      <c r="B218" s="83"/>
      <c r="C218" s="84"/>
      <c r="E218" s="36"/>
      <c r="G218" s="84"/>
    </row>
    <row r="219">
      <c r="B219" s="83"/>
      <c r="C219" s="84"/>
      <c r="E219" s="36"/>
      <c r="G219" s="84"/>
    </row>
    <row r="220">
      <c r="B220" s="83"/>
      <c r="C220" s="84"/>
      <c r="E220" s="36"/>
      <c r="G220" s="84"/>
    </row>
    <row r="221">
      <c r="B221" s="83"/>
      <c r="C221" s="84"/>
      <c r="E221" s="36"/>
      <c r="G221" s="84"/>
    </row>
    <row r="222">
      <c r="B222" s="83"/>
      <c r="C222" s="84"/>
      <c r="E222" s="36"/>
      <c r="G222" s="84"/>
    </row>
    <row r="223">
      <c r="B223" s="83"/>
      <c r="C223" s="84"/>
      <c r="E223" s="36"/>
      <c r="G223" s="84"/>
    </row>
    <row r="224">
      <c r="B224" s="83"/>
      <c r="C224" s="84"/>
      <c r="E224" s="36"/>
      <c r="G224" s="84"/>
    </row>
    <row r="225">
      <c r="B225" s="83"/>
      <c r="C225" s="84"/>
      <c r="E225" s="36"/>
      <c r="G225" s="84"/>
    </row>
    <row r="226">
      <c r="B226" s="83"/>
      <c r="C226" s="84"/>
      <c r="E226" s="36"/>
      <c r="G226" s="84"/>
    </row>
    <row r="227">
      <c r="B227" s="83"/>
      <c r="C227" s="84"/>
      <c r="E227" s="36"/>
      <c r="G227" s="84"/>
    </row>
    <row r="228">
      <c r="B228" s="83"/>
      <c r="C228" s="84"/>
      <c r="E228" s="36"/>
      <c r="G228" s="84"/>
    </row>
    <row r="229">
      <c r="B229" s="83"/>
      <c r="C229" s="84"/>
      <c r="E229" s="36"/>
      <c r="G229" s="84"/>
    </row>
    <row r="230">
      <c r="B230" s="83"/>
      <c r="C230" s="84"/>
      <c r="E230" s="36"/>
      <c r="G230" s="84"/>
    </row>
    <row r="231">
      <c r="B231" s="83"/>
      <c r="C231" s="84"/>
      <c r="E231" s="36"/>
      <c r="G231" s="84"/>
    </row>
    <row r="232">
      <c r="B232" s="83"/>
      <c r="C232" s="84"/>
      <c r="E232" s="36"/>
      <c r="G232" s="84"/>
    </row>
    <row r="233">
      <c r="B233" s="83"/>
      <c r="C233" s="84"/>
      <c r="E233" s="36"/>
      <c r="G233" s="84"/>
    </row>
    <row r="234">
      <c r="B234" s="83"/>
      <c r="C234" s="84"/>
      <c r="E234" s="36"/>
      <c r="G234" s="84"/>
    </row>
    <row r="235">
      <c r="B235" s="83"/>
      <c r="C235" s="84"/>
      <c r="E235" s="36"/>
      <c r="G235" s="84"/>
    </row>
    <row r="236">
      <c r="B236" s="83"/>
      <c r="C236" s="84"/>
      <c r="E236" s="36"/>
      <c r="G236" s="84"/>
    </row>
    <row r="237">
      <c r="B237" s="83"/>
      <c r="C237" s="84"/>
      <c r="E237" s="36"/>
      <c r="G237" s="84"/>
    </row>
    <row r="238">
      <c r="B238" s="83"/>
      <c r="C238" s="84"/>
      <c r="E238" s="36"/>
      <c r="G238" s="84"/>
    </row>
    <row r="239">
      <c r="B239" s="83"/>
      <c r="C239" s="84"/>
      <c r="E239" s="36"/>
      <c r="G239" s="84"/>
    </row>
    <row r="240">
      <c r="B240" s="83"/>
      <c r="C240" s="84"/>
      <c r="E240" s="36"/>
      <c r="G240" s="84"/>
    </row>
    <row r="241">
      <c r="B241" s="83"/>
      <c r="C241" s="84"/>
      <c r="E241" s="36"/>
      <c r="G241" s="84"/>
    </row>
    <row r="242">
      <c r="B242" s="83"/>
      <c r="C242" s="84"/>
      <c r="E242" s="36"/>
      <c r="G242" s="84"/>
    </row>
    <row r="243">
      <c r="B243" s="83"/>
      <c r="C243" s="84"/>
      <c r="E243" s="36"/>
      <c r="G243" s="84"/>
    </row>
    <row r="244">
      <c r="B244" s="83"/>
      <c r="C244" s="84"/>
      <c r="E244" s="36"/>
      <c r="G244" s="84"/>
    </row>
    <row r="245">
      <c r="B245" s="83"/>
      <c r="C245" s="84"/>
      <c r="E245" s="36"/>
      <c r="G245" s="84"/>
    </row>
    <row r="246">
      <c r="B246" s="83"/>
      <c r="C246" s="84"/>
      <c r="E246" s="36"/>
      <c r="G246" s="84"/>
    </row>
    <row r="247">
      <c r="B247" s="83"/>
      <c r="C247" s="84"/>
      <c r="E247" s="36"/>
      <c r="G247" s="84"/>
    </row>
    <row r="248">
      <c r="B248" s="83"/>
      <c r="C248" s="84"/>
      <c r="E248" s="36"/>
      <c r="G248" s="84"/>
    </row>
    <row r="249">
      <c r="B249" s="83"/>
      <c r="C249" s="84"/>
      <c r="E249" s="36"/>
      <c r="G249" s="84"/>
    </row>
    <row r="250">
      <c r="B250" s="83"/>
      <c r="C250" s="84"/>
      <c r="E250" s="36"/>
      <c r="G250" s="84"/>
    </row>
    <row r="251">
      <c r="B251" s="83"/>
      <c r="C251" s="84"/>
      <c r="E251" s="36"/>
      <c r="G251" s="84"/>
    </row>
    <row r="252">
      <c r="B252" s="83"/>
      <c r="C252" s="84"/>
      <c r="E252" s="36"/>
      <c r="G252" s="84"/>
    </row>
    <row r="253">
      <c r="B253" s="83"/>
      <c r="C253" s="84"/>
      <c r="E253" s="36"/>
      <c r="G253" s="84"/>
    </row>
    <row r="254">
      <c r="B254" s="83"/>
      <c r="C254" s="84"/>
      <c r="E254" s="36"/>
      <c r="G254" s="84"/>
    </row>
    <row r="255">
      <c r="B255" s="83"/>
      <c r="C255" s="84"/>
      <c r="E255" s="36"/>
      <c r="G255" s="84"/>
    </row>
    <row r="256">
      <c r="B256" s="83"/>
      <c r="C256" s="84"/>
      <c r="E256" s="36"/>
      <c r="G256" s="84"/>
    </row>
    <row r="257">
      <c r="B257" s="83"/>
      <c r="C257" s="84"/>
      <c r="E257" s="36"/>
      <c r="G257" s="84"/>
    </row>
    <row r="258">
      <c r="B258" s="83"/>
      <c r="C258" s="84"/>
      <c r="E258" s="36"/>
      <c r="G258" s="84"/>
    </row>
    <row r="259">
      <c r="B259" s="83"/>
      <c r="C259" s="84"/>
      <c r="E259" s="36"/>
      <c r="G259" s="84"/>
    </row>
    <row r="260">
      <c r="B260" s="83"/>
      <c r="C260" s="84"/>
      <c r="E260" s="36"/>
      <c r="G260" s="84"/>
    </row>
    <row r="261">
      <c r="B261" s="83"/>
      <c r="C261" s="84"/>
      <c r="E261" s="36"/>
      <c r="G261" s="84"/>
    </row>
    <row r="262">
      <c r="B262" s="83"/>
      <c r="C262" s="84"/>
      <c r="E262" s="36"/>
      <c r="G262" s="84"/>
    </row>
    <row r="263">
      <c r="B263" s="83"/>
      <c r="C263" s="84"/>
      <c r="E263" s="36"/>
      <c r="G263" s="84"/>
    </row>
    <row r="264">
      <c r="B264" s="83"/>
      <c r="C264" s="84"/>
      <c r="E264" s="36"/>
      <c r="G264" s="84"/>
    </row>
    <row r="265">
      <c r="B265" s="83"/>
      <c r="C265" s="84"/>
      <c r="E265" s="36"/>
      <c r="G265" s="84"/>
    </row>
    <row r="266">
      <c r="B266" s="83"/>
      <c r="C266" s="84"/>
      <c r="E266" s="36"/>
      <c r="G266" s="84"/>
    </row>
    <row r="267">
      <c r="B267" s="83"/>
      <c r="C267" s="84"/>
      <c r="E267" s="36"/>
      <c r="G267" s="84"/>
    </row>
    <row r="268">
      <c r="B268" s="83"/>
      <c r="C268" s="84"/>
      <c r="E268" s="36"/>
      <c r="G268" s="84"/>
    </row>
    <row r="269">
      <c r="B269" s="83"/>
      <c r="C269" s="84"/>
      <c r="E269" s="36"/>
      <c r="G269" s="84"/>
    </row>
    <row r="270">
      <c r="B270" s="83"/>
      <c r="C270" s="84"/>
      <c r="E270" s="36"/>
      <c r="G270" s="84"/>
    </row>
    <row r="271">
      <c r="B271" s="83"/>
      <c r="C271" s="84"/>
      <c r="E271" s="36"/>
      <c r="G271" s="84"/>
    </row>
    <row r="272">
      <c r="B272" s="83"/>
      <c r="C272" s="84"/>
      <c r="E272" s="36"/>
      <c r="G272" s="84"/>
    </row>
    <row r="273">
      <c r="B273" s="83"/>
      <c r="C273" s="84"/>
      <c r="E273" s="36"/>
      <c r="G273" s="84"/>
    </row>
    <row r="274">
      <c r="B274" s="83"/>
      <c r="C274" s="84"/>
      <c r="E274" s="36"/>
      <c r="G274" s="84"/>
    </row>
    <row r="275">
      <c r="B275" s="83"/>
      <c r="C275" s="84"/>
      <c r="E275" s="36"/>
      <c r="G275" s="84"/>
    </row>
    <row r="276">
      <c r="B276" s="83"/>
      <c r="C276" s="84"/>
      <c r="E276" s="36"/>
      <c r="G276" s="84"/>
    </row>
    <row r="277">
      <c r="B277" s="83"/>
      <c r="C277" s="84"/>
      <c r="E277" s="36"/>
      <c r="G277" s="84"/>
    </row>
    <row r="278">
      <c r="B278" s="83"/>
      <c r="C278" s="84"/>
      <c r="E278" s="36"/>
      <c r="G278" s="84"/>
    </row>
    <row r="279">
      <c r="B279" s="83"/>
      <c r="C279" s="84"/>
      <c r="E279" s="36"/>
      <c r="G279" s="84"/>
    </row>
    <row r="280">
      <c r="B280" s="83"/>
      <c r="C280" s="84"/>
      <c r="E280" s="36"/>
      <c r="G280" s="84"/>
    </row>
    <row r="281">
      <c r="B281" s="83"/>
      <c r="C281" s="84"/>
      <c r="E281" s="36"/>
      <c r="G281" s="84"/>
    </row>
    <row r="282">
      <c r="B282" s="83"/>
      <c r="C282" s="84"/>
      <c r="E282" s="36"/>
      <c r="G282" s="84"/>
    </row>
    <row r="283">
      <c r="B283" s="83"/>
      <c r="C283" s="84"/>
      <c r="E283" s="36"/>
      <c r="G283" s="84"/>
    </row>
    <row r="284">
      <c r="B284" s="83"/>
      <c r="C284" s="84"/>
      <c r="E284" s="36"/>
      <c r="G284" s="84"/>
    </row>
    <row r="285">
      <c r="B285" s="83"/>
      <c r="C285" s="84"/>
      <c r="E285" s="36"/>
      <c r="G285" s="84"/>
    </row>
    <row r="286">
      <c r="B286" s="83"/>
      <c r="C286" s="84"/>
      <c r="E286" s="36"/>
      <c r="G286" s="84"/>
    </row>
    <row r="287">
      <c r="B287" s="83"/>
      <c r="C287" s="84"/>
      <c r="E287" s="36"/>
      <c r="G287" s="84"/>
    </row>
    <row r="288">
      <c r="B288" s="83"/>
      <c r="C288" s="84"/>
      <c r="E288" s="36"/>
      <c r="G288" s="84"/>
    </row>
    <row r="289">
      <c r="B289" s="83"/>
      <c r="C289" s="84"/>
      <c r="E289" s="36"/>
      <c r="G289" s="84"/>
    </row>
    <row r="290">
      <c r="B290" s="83"/>
      <c r="C290" s="84"/>
      <c r="E290" s="36"/>
      <c r="G290" s="84"/>
    </row>
    <row r="291">
      <c r="B291" s="83"/>
      <c r="C291" s="84"/>
      <c r="E291" s="36"/>
      <c r="G291" s="84"/>
    </row>
    <row r="292">
      <c r="B292" s="83"/>
      <c r="C292" s="84"/>
      <c r="E292" s="36"/>
      <c r="G292" s="84"/>
    </row>
    <row r="293">
      <c r="B293" s="83"/>
      <c r="C293" s="84"/>
      <c r="E293" s="36"/>
      <c r="G293" s="84"/>
    </row>
    <row r="294">
      <c r="B294" s="83"/>
      <c r="C294" s="84"/>
      <c r="E294" s="36"/>
      <c r="G294" s="84"/>
    </row>
    <row r="295">
      <c r="B295" s="83"/>
      <c r="C295" s="84"/>
      <c r="E295" s="36"/>
      <c r="G295" s="84"/>
    </row>
    <row r="296">
      <c r="B296" s="83"/>
      <c r="C296" s="84"/>
      <c r="E296" s="36"/>
      <c r="G296" s="84"/>
    </row>
    <row r="297">
      <c r="B297" s="83"/>
      <c r="C297" s="84"/>
      <c r="E297" s="36"/>
      <c r="G297" s="84"/>
    </row>
    <row r="298">
      <c r="B298" s="83"/>
      <c r="C298" s="84"/>
      <c r="E298" s="36"/>
      <c r="G298" s="84"/>
    </row>
    <row r="299">
      <c r="B299" s="83"/>
      <c r="C299" s="84"/>
      <c r="E299" s="36"/>
      <c r="G299" s="84"/>
    </row>
    <row r="300">
      <c r="B300" s="83"/>
      <c r="C300" s="84"/>
      <c r="E300" s="36"/>
      <c r="G300" s="84"/>
    </row>
    <row r="301">
      <c r="B301" s="83"/>
      <c r="C301" s="84"/>
      <c r="E301" s="36"/>
      <c r="G301" s="84"/>
    </row>
    <row r="302">
      <c r="B302" s="83"/>
      <c r="C302" s="84"/>
      <c r="E302" s="36"/>
      <c r="G302" s="84"/>
    </row>
    <row r="303">
      <c r="B303" s="83"/>
      <c r="C303" s="84"/>
      <c r="E303" s="36"/>
      <c r="G303" s="84"/>
    </row>
    <row r="304">
      <c r="B304" s="83"/>
      <c r="C304" s="84"/>
      <c r="E304" s="36"/>
      <c r="G304" s="84"/>
    </row>
    <row r="305">
      <c r="B305" s="83"/>
      <c r="C305" s="84"/>
      <c r="E305" s="36"/>
      <c r="G305" s="84"/>
    </row>
    <row r="306">
      <c r="B306" s="83"/>
      <c r="C306" s="84"/>
      <c r="E306" s="36"/>
      <c r="G306" s="84"/>
    </row>
    <row r="307">
      <c r="B307" s="83"/>
      <c r="C307" s="84"/>
      <c r="E307" s="36"/>
      <c r="G307" s="84"/>
    </row>
    <row r="308">
      <c r="B308" s="83"/>
      <c r="C308" s="84"/>
      <c r="E308" s="36"/>
      <c r="G308" s="84"/>
    </row>
    <row r="309">
      <c r="B309" s="83"/>
      <c r="C309" s="84"/>
      <c r="E309" s="36"/>
      <c r="G309" s="84"/>
    </row>
    <row r="310">
      <c r="B310" s="83"/>
      <c r="C310" s="84"/>
      <c r="E310" s="36"/>
      <c r="G310" s="84"/>
    </row>
    <row r="311">
      <c r="B311" s="83"/>
      <c r="C311" s="84"/>
      <c r="E311" s="36"/>
      <c r="G311" s="84"/>
    </row>
    <row r="312">
      <c r="B312" s="83"/>
      <c r="C312" s="84"/>
      <c r="E312" s="36"/>
      <c r="G312" s="84"/>
    </row>
    <row r="313">
      <c r="B313" s="83"/>
      <c r="C313" s="84"/>
      <c r="E313" s="36"/>
      <c r="G313" s="84"/>
    </row>
    <row r="314">
      <c r="B314" s="83"/>
      <c r="C314" s="84"/>
      <c r="E314" s="36"/>
      <c r="G314" s="84"/>
    </row>
    <row r="315">
      <c r="B315" s="83"/>
      <c r="C315" s="84"/>
      <c r="E315" s="36"/>
      <c r="G315" s="84"/>
    </row>
    <row r="316">
      <c r="B316" s="83"/>
      <c r="C316" s="84"/>
      <c r="E316" s="36"/>
      <c r="G316" s="84"/>
    </row>
    <row r="317">
      <c r="B317" s="83"/>
      <c r="C317" s="84"/>
      <c r="E317" s="36"/>
      <c r="G317" s="84"/>
    </row>
    <row r="318">
      <c r="B318" s="83"/>
      <c r="C318" s="84"/>
      <c r="E318" s="36"/>
      <c r="G318" s="84"/>
    </row>
    <row r="319">
      <c r="B319" s="83"/>
      <c r="C319" s="84"/>
      <c r="E319" s="36"/>
      <c r="G319" s="84"/>
    </row>
    <row r="320">
      <c r="B320" s="83"/>
      <c r="C320" s="84"/>
      <c r="E320" s="36"/>
      <c r="G320" s="84"/>
    </row>
    <row r="321">
      <c r="B321" s="83"/>
      <c r="C321" s="84"/>
      <c r="E321" s="36"/>
      <c r="G321" s="84"/>
    </row>
    <row r="322">
      <c r="B322" s="83"/>
      <c r="C322" s="84"/>
      <c r="E322" s="36"/>
      <c r="G322" s="84"/>
    </row>
    <row r="323">
      <c r="B323" s="83"/>
      <c r="C323" s="84"/>
      <c r="E323" s="36"/>
      <c r="G323" s="84"/>
    </row>
    <row r="324">
      <c r="B324" s="83"/>
      <c r="C324" s="84"/>
      <c r="E324" s="36"/>
      <c r="G324" s="84"/>
    </row>
    <row r="325">
      <c r="B325" s="83"/>
      <c r="C325" s="84"/>
      <c r="E325" s="36"/>
      <c r="G325" s="84"/>
    </row>
    <row r="326">
      <c r="B326" s="83"/>
      <c r="C326" s="84"/>
      <c r="E326" s="36"/>
      <c r="G326" s="84"/>
    </row>
    <row r="327">
      <c r="B327" s="83"/>
      <c r="C327" s="84"/>
      <c r="E327" s="36"/>
      <c r="G327" s="84"/>
    </row>
    <row r="328">
      <c r="B328" s="83"/>
      <c r="C328" s="84"/>
      <c r="E328" s="36"/>
      <c r="G328" s="84"/>
    </row>
    <row r="329">
      <c r="B329" s="83"/>
      <c r="C329" s="84"/>
      <c r="E329" s="36"/>
      <c r="G329" s="84"/>
    </row>
    <row r="330">
      <c r="B330" s="83"/>
      <c r="C330" s="84"/>
      <c r="E330" s="36"/>
      <c r="G330" s="84"/>
    </row>
    <row r="331">
      <c r="B331" s="83"/>
      <c r="C331" s="84"/>
      <c r="E331" s="36"/>
      <c r="G331" s="84"/>
    </row>
    <row r="332">
      <c r="B332" s="83"/>
      <c r="C332" s="84"/>
      <c r="E332" s="36"/>
      <c r="G332" s="84"/>
    </row>
    <row r="333">
      <c r="B333" s="83"/>
      <c r="C333" s="84"/>
      <c r="E333" s="36"/>
      <c r="G333" s="84"/>
    </row>
    <row r="334">
      <c r="B334" s="83"/>
      <c r="C334" s="84"/>
      <c r="E334" s="36"/>
      <c r="G334" s="84"/>
    </row>
    <row r="335">
      <c r="B335" s="83"/>
      <c r="C335" s="84"/>
      <c r="E335" s="36"/>
      <c r="G335" s="84"/>
    </row>
    <row r="336">
      <c r="B336" s="83"/>
      <c r="C336" s="84"/>
      <c r="E336" s="36"/>
      <c r="G336" s="84"/>
    </row>
    <row r="337">
      <c r="B337" s="83"/>
      <c r="C337" s="84"/>
      <c r="E337" s="36"/>
      <c r="G337" s="84"/>
    </row>
    <row r="338">
      <c r="B338" s="83"/>
      <c r="C338" s="84"/>
      <c r="E338" s="36"/>
      <c r="G338" s="84"/>
    </row>
    <row r="339">
      <c r="B339" s="83"/>
      <c r="C339" s="84"/>
      <c r="E339" s="36"/>
      <c r="G339" s="84"/>
    </row>
    <row r="340">
      <c r="B340" s="83"/>
      <c r="C340" s="84"/>
      <c r="E340" s="36"/>
      <c r="G340" s="84"/>
    </row>
    <row r="341">
      <c r="B341" s="83"/>
      <c r="C341" s="84"/>
      <c r="E341" s="36"/>
      <c r="G341" s="84"/>
    </row>
    <row r="342">
      <c r="B342" s="83"/>
      <c r="C342" s="84"/>
      <c r="E342" s="36"/>
      <c r="G342" s="84"/>
    </row>
    <row r="343">
      <c r="B343" s="83"/>
      <c r="C343" s="84"/>
      <c r="E343" s="36"/>
      <c r="G343" s="84"/>
    </row>
    <row r="344">
      <c r="B344" s="83"/>
      <c r="C344" s="84"/>
      <c r="E344" s="36"/>
      <c r="G344" s="84"/>
    </row>
    <row r="345">
      <c r="B345" s="83"/>
      <c r="C345" s="84"/>
      <c r="E345" s="36"/>
      <c r="G345" s="84"/>
    </row>
    <row r="346">
      <c r="B346" s="83"/>
      <c r="C346" s="84"/>
      <c r="E346" s="36"/>
      <c r="G346" s="84"/>
    </row>
    <row r="347">
      <c r="B347" s="83"/>
      <c r="C347" s="84"/>
      <c r="E347" s="36"/>
      <c r="G347" s="84"/>
    </row>
    <row r="348">
      <c r="B348" s="83"/>
      <c r="C348" s="84"/>
      <c r="E348" s="36"/>
      <c r="G348" s="84"/>
    </row>
    <row r="349">
      <c r="B349" s="83"/>
      <c r="C349" s="84"/>
      <c r="E349" s="36"/>
      <c r="G349" s="84"/>
    </row>
    <row r="350">
      <c r="B350" s="83"/>
      <c r="C350" s="84"/>
      <c r="E350" s="36"/>
      <c r="G350" s="84"/>
    </row>
    <row r="351">
      <c r="B351" s="83"/>
      <c r="C351" s="84"/>
      <c r="E351" s="36"/>
      <c r="G351" s="84"/>
    </row>
    <row r="352">
      <c r="B352" s="83"/>
      <c r="C352" s="84"/>
      <c r="E352" s="36"/>
      <c r="G352" s="84"/>
    </row>
    <row r="353">
      <c r="B353" s="83"/>
      <c r="C353" s="84"/>
      <c r="E353" s="36"/>
      <c r="G353" s="84"/>
    </row>
    <row r="354">
      <c r="B354" s="83"/>
      <c r="C354" s="84"/>
      <c r="E354" s="36"/>
      <c r="G354" s="84"/>
    </row>
    <row r="355">
      <c r="B355" s="83"/>
      <c r="C355" s="84"/>
      <c r="E355" s="36"/>
      <c r="G355" s="84"/>
    </row>
    <row r="356">
      <c r="B356" s="83"/>
      <c r="C356" s="84"/>
      <c r="E356" s="36"/>
      <c r="G356" s="84"/>
    </row>
    <row r="357">
      <c r="B357" s="83"/>
      <c r="C357" s="84"/>
      <c r="E357" s="36"/>
      <c r="G357" s="84"/>
    </row>
    <row r="358">
      <c r="B358" s="83"/>
      <c r="C358" s="84"/>
      <c r="E358" s="36"/>
      <c r="G358" s="84"/>
    </row>
    <row r="359">
      <c r="B359" s="83"/>
      <c r="C359" s="84"/>
      <c r="E359" s="36"/>
      <c r="G359" s="84"/>
    </row>
    <row r="360">
      <c r="B360" s="83"/>
      <c r="C360" s="84"/>
      <c r="E360" s="36"/>
      <c r="G360" s="84"/>
    </row>
    <row r="361">
      <c r="B361" s="83"/>
      <c r="C361" s="84"/>
      <c r="E361" s="36"/>
      <c r="G361" s="84"/>
    </row>
    <row r="362">
      <c r="B362" s="83"/>
      <c r="C362" s="84"/>
      <c r="E362" s="36"/>
      <c r="G362" s="84"/>
    </row>
    <row r="363">
      <c r="B363" s="83"/>
      <c r="C363" s="84"/>
      <c r="E363" s="36"/>
      <c r="G363" s="84"/>
    </row>
    <row r="364">
      <c r="B364" s="83"/>
      <c r="C364" s="84"/>
      <c r="E364" s="36"/>
      <c r="G364" s="84"/>
    </row>
    <row r="365">
      <c r="B365" s="83"/>
      <c r="C365" s="84"/>
      <c r="E365" s="36"/>
      <c r="G365" s="84"/>
    </row>
    <row r="366">
      <c r="B366" s="83"/>
      <c r="C366" s="84"/>
      <c r="E366" s="36"/>
      <c r="G366" s="84"/>
    </row>
    <row r="367">
      <c r="B367" s="83"/>
      <c r="C367" s="84"/>
      <c r="E367" s="36"/>
      <c r="G367" s="84"/>
    </row>
    <row r="368">
      <c r="B368" s="83"/>
      <c r="C368" s="84"/>
      <c r="E368" s="36"/>
      <c r="G368" s="84"/>
    </row>
    <row r="369">
      <c r="B369" s="83"/>
      <c r="C369" s="84"/>
      <c r="E369" s="36"/>
      <c r="G369" s="84"/>
    </row>
    <row r="370">
      <c r="B370" s="83"/>
      <c r="C370" s="84"/>
      <c r="E370" s="36"/>
      <c r="G370" s="84"/>
    </row>
    <row r="371">
      <c r="B371" s="83"/>
      <c r="C371" s="84"/>
      <c r="E371" s="36"/>
      <c r="G371" s="84"/>
    </row>
    <row r="372">
      <c r="B372" s="83"/>
      <c r="C372" s="84"/>
      <c r="E372" s="36"/>
      <c r="G372" s="84"/>
    </row>
    <row r="373">
      <c r="B373" s="83"/>
      <c r="C373" s="84"/>
      <c r="E373" s="36"/>
      <c r="G373" s="84"/>
    </row>
    <row r="374">
      <c r="B374" s="83"/>
      <c r="C374" s="84"/>
      <c r="E374" s="36"/>
      <c r="G374" s="84"/>
    </row>
    <row r="375">
      <c r="B375" s="83"/>
      <c r="C375" s="84"/>
      <c r="E375" s="36"/>
      <c r="G375" s="84"/>
    </row>
    <row r="376">
      <c r="B376" s="83"/>
      <c r="C376" s="84"/>
      <c r="E376" s="36"/>
      <c r="G376" s="84"/>
    </row>
    <row r="377">
      <c r="B377" s="83"/>
      <c r="C377" s="84"/>
      <c r="E377" s="36"/>
      <c r="G377" s="84"/>
    </row>
    <row r="378">
      <c r="B378" s="83"/>
      <c r="C378" s="84"/>
      <c r="E378" s="36"/>
      <c r="G378" s="84"/>
    </row>
    <row r="379">
      <c r="B379" s="83"/>
      <c r="C379" s="84"/>
      <c r="E379" s="36"/>
      <c r="G379" s="84"/>
    </row>
    <row r="380">
      <c r="B380" s="83"/>
      <c r="C380" s="84"/>
      <c r="E380" s="36"/>
      <c r="G380" s="84"/>
    </row>
    <row r="381">
      <c r="B381" s="83"/>
      <c r="C381" s="84"/>
      <c r="E381" s="36"/>
      <c r="G381" s="84"/>
    </row>
    <row r="382">
      <c r="B382" s="83"/>
      <c r="C382" s="84"/>
      <c r="E382" s="36"/>
      <c r="G382" s="84"/>
    </row>
    <row r="383">
      <c r="B383" s="83"/>
      <c r="C383" s="84"/>
      <c r="E383" s="36"/>
      <c r="G383" s="84"/>
    </row>
    <row r="384">
      <c r="B384" s="83"/>
      <c r="C384" s="84"/>
      <c r="E384" s="36"/>
      <c r="G384" s="84"/>
    </row>
    <row r="385">
      <c r="B385" s="83"/>
      <c r="C385" s="84"/>
      <c r="E385" s="36"/>
      <c r="G385" s="84"/>
    </row>
    <row r="386">
      <c r="B386" s="83"/>
      <c r="C386" s="84"/>
      <c r="E386" s="36"/>
      <c r="G386" s="84"/>
    </row>
    <row r="387">
      <c r="B387" s="83"/>
      <c r="C387" s="84"/>
      <c r="E387" s="36"/>
      <c r="G387" s="84"/>
    </row>
    <row r="388">
      <c r="B388" s="83"/>
      <c r="C388" s="84"/>
      <c r="E388" s="36"/>
      <c r="G388" s="84"/>
    </row>
    <row r="389">
      <c r="B389" s="83"/>
      <c r="C389" s="84"/>
      <c r="E389" s="36"/>
      <c r="G389" s="84"/>
    </row>
    <row r="390">
      <c r="B390" s="83"/>
      <c r="C390" s="84"/>
      <c r="E390" s="36"/>
      <c r="G390" s="84"/>
    </row>
    <row r="391">
      <c r="B391" s="83"/>
      <c r="C391" s="84"/>
      <c r="E391" s="36"/>
      <c r="G391" s="84"/>
    </row>
    <row r="392">
      <c r="B392" s="83"/>
      <c r="C392" s="84"/>
      <c r="E392" s="36"/>
      <c r="G392" s="84"/>
    </row>
    <row r="393">
      <c r="B393" s="83"/>
      <c r="C393" s="84"/>
      <c r="E393" s="36"/>
      <c r="G393" s="84"/>
    </row>
    <row r="394">
      <c r="B394" s="83"/>
      <c r="C394" s="84"/>
      <c r="E394" s="36"/>
      <c r="G394" s="84"/>
    </row>
    <row r="395">
      <c r="B395" s="83"/>
      <c r="C395" s="84"/>
      <c r="E395" s="36"/>
      <c r="G395" s="84"/>
    </row>
    <row r="396">
      <c r="B396" s="83"/>
      <c r="C396" s="84"/>
      <c r="E396" s="36"/>
      <c r="G396" s="84"/>
    </row>
    <row r="397">
      <c r="B397" s="83"/>
      <c r="C397" s="84"/>
      <c r="E397" s="36"/>
      <c r="G397" s="84"/>
    </row>
    <row r="398">
      <c r="B398" s="83"/>
      <c r="C398" s="84"/>
      <c r="E398" s="36"/>
      <c r="G398" s="84"/>
    </row>
    <row r="399">
      <c r="B399" s="83"/>
      <c r="C399" s="84"/>
      <c r="E399" s="36"/>
      <c r="G399" s="84"/>
    </row>
    <row r="400">
      <c r="B400" s="83"/>
      <c r="C400" s="84"/>
      <c r="E400" s="36"/>
      <c r="G400" s="84"/>
    </row>
    <row r="401">
      <c r="B401" s="83"/>
      <c r="C401" s="84"/>
      <c r="E401" s="36"/>
      <c r="G401" s="84"/>
    </row>
    <row r="402">
      <c r="B402" s="83"/>
      <c r="C402" s="84"/>
      <c r="E402" s="36"/>
      <c r="G402" s="84"/>
    </row>
    <row r="403">
      <c r="B403" s="83"/>
      <c r="C403" s="84"/>
      <c r="E403" s="36"/>
      <c r="G403" s="84"/>
    </row>
    <row r="404">
      <c r="B404" s="83"/>
      <c r="C404" s="84"/>
      <c r="E404" s="36"/>
      <c r="G404" s="84"/>
    </row>
    <row r="405">
      <c r="B405" s="83"/>
      <c r="C405" s="84"/>
      <c r="E405" s="36"/>
      <c r="G405" s="84"/>
    </row>
    <row r="406">
      <c r="B406" s="83"/>
      <c r="C406" s="84"/>
      <c r="E406" s="36"/>
      <c r="G406" s="84"/>
    </row>
    <row r="407">
      <c r="B407" s="83"/>
      <c r="C407" s="84"/>
      <c r="E407" s="36"/>
      <c r="G407" s="84"/>
    </row>
    <row r="408">
      <c r="B408" s="83"/>
      <c r="C408" s="84"/>
      <c r="E408" s="36"/>
      <c r="G408" s="84"/>
    </row>
    <row r="409">
      <c r="B409" s="83"/>
      <c r="C409" s="84"/>
      <c r="E409" s="36"/>
      <c r="G409" s="84"/>
    </row>
    <row r="410">
      <c r="B410" s="83"/>
      <c r="C410" s="84"/>
      <c r="E410" s="36"/>
      <c r="G410" s="84"/>
    </row>
    <row r="411">
      <c r="B411" s="83"/>
      <c r="C411" s="84"/>
      <c r="E411" s="36"/>
      <c r="G411" s="84"/>
    </row>
    <row r="412">
      <c r="B412" s="83"/>
      <c r="C412" s="84"/>
      <c r="E412" s="36"/>
      <c r="G412" s="84"/>
    </row>
    <row r="413">
      <c r="B413" s="83"/>
      <c r="C413" s="84"/>
      <c r="E413" s="36"/>
      <c r="G413" s="84"/>
    </row>
    <row r="414">
      <c r="B414" s="83"/>
      <c r="C414" s="84"/>
      <c r="E414" s="36"/>
      <c r="G414" s="84"/>
    </row>
    <row r="415">
      <c r="B415" s="83"/>
      <c r="C415" s="84"/>
      <c r="E415" s="36"/>
      <c r="G415" s="84"/>
    </row>
    <row r="416">
      <c r="B416" s="83"/>
      <c r="C416" s="84"/>
      <c r="E416" s="36"/>
      <c r="G416" s="84"/>
    </row>
    <row r="417">
      <c r="B417" s="83"/>
      <c r="C417" s="84"/>
      <c r="E417" s="36"/>
      <c r="G417" s="84"/>
    </row>
    <row r="418">
      <c r="B418" s="83"/>
      <c r="C418" s="84"/>
      <c r="E418" s="36"/>
      <c r="G418" s="84"/>
    </row>
    <row r="419">
      <c r="B419" s="83"/>
      <c r="C419" s="84"/>
      <c r="E419" s="36"/>
      <c r="G419" s="84"/>
    </row>
    <row r="420">
      <c r="B420" s="83"/>
      <c r="C420" s="84"/>
      <c r="E420" s="36"/>
      <c r="G420" s="84"/>
    </row>
    <row r="421">
      <c r="B421" s="83"/>
      <c r="C421" s="84"/>
      <c r="E421" s="36"/>
      <c r="G421" s="84"/>
    </row>
    <row r="422">
      <c r="B422" s="83"/>
      <c r="C422" s="84"/>
      <c r="E422" s="36"/>
      <c r="G422" s="84"/>
    </row>
    <row r="423">
      <c r="B423" s="83"/>
      <c r="C423" s="84"/>
      <c r="E423" s="36"/>
      <c r="G423" s="84"/>
    </row>
    <row r="424">
      <c r="B424" s="83"/>
      <c r="C424" s="84"/>
      <c r="E424" s="36"/>
      <c r="G424" s="84"/>
    </row>
    <row r="425">
      <c r="B425" s="83"/>
      <c r="C425" s="84"/>
      <c r="E425" s="36"/>
      <c r="G425" s="84"/>
    </row>
    <row r="426">
      <c r="B426" s="83"/>
      <c r="C426" s="84"/>
      <c r="E426" s="36"/>
      <c r="G426" s="84"/>
    </row>
    <row r="427">
      <c r="B427" s="83"/>
      <c r="C427" s="84"/>
      <c r="E427" s="36"/>
      <c r="G427" s="84"/>
    </row>
    <row r="428">
      <c r="B428" s="83"/>
      <c r="C428" s="84"/>
      <c r="E428" s="36"/>
      <c r="G428" s="84"/>
    </row>
    <row r="429">
      <c r="B429" s="83"/>
      <c r="C429" s="84"/>
      <c r="E429" s="36"/>
      <c r="G429" s="84"/>
    </row>
    <row r="430">
      <c r="B430" s="83"/>
      <c r="C430" s="84"/>
      <c r="E430" s="36"/>
      <c r="G430" s="84"/>
    </row>
    <row r="431">
      <c r="B431" s="83"/>
      <c r="C431" s="84"/>
      <c r="E431" s="36"/>
      <c r="G431" s="84"/>
    </row>
    <row r="432">
      <c r="B432" s="83"/>
      <c r="C432" s="84"/>
      <c r="E432" s="36"/>
      <c r="G432" s="84"/>
    </row>
    <row r="433">
      <c r="B433" s="83"/>
      <c r="C433" s="84"/>
      <c r="E433" s="36"/>
      <c r="G433" s="84"/>
    </row>
    <row r="434">
      <c r="B434" s="83"/>
      <c r="C434" s="84"/>
      <c r="E434" s="36"/>
      <c r="G434" s="84"/>
    </row>
    <row r="435">
      <c r="B435" s="83"/>
      <c r="C435" s="84"/>
      <c r="E435" s="36"/>
      <c r="G435" s="84"/>
    </row>
    <row r="436">
      <c r="B436" s="83"/>
      <c r="C436" s="84"/>
      <c r="E436" s="36"/>
      <c r="G436" s="84"/>
    </row>
    <row r="437">
      <c r="B437" s="83"/>
      <c r="C437" s="84"/>
      <c r="E437" s="36"/>
      <c r="G437" s="84"/>
    </row>
    <row r="438">
      <c r="B438" s="83"/>
      <c r="C438" s="84"/>
      <c r="E438" s="36"/>
      <c r="G438" s="84"/>
    </row>
    <row r="439">
      <c r="B439" s="83"/>
      <c r="C439" s="84"/>
      <c r="E439" s="36"/>
      <c r="G439" s="84"/>
    </row>
    <row r="440">
      <c r="B440" s="83"/>
      <c r="C440" s="84"/>
      <c r="E440" s="36"/>
      <c r="G440" s="84"/>
    </row>
    <row r="441">
      <c r="B441" s="83"/>
      <c r="C441" s="84"/>
      <c r="E441" s="36"/>
      <c r="G441" s="84"/>
    </row>
    <row r="442">
      <c r="B442" s="83"/>
      <c r="C442" s="84"/>
      <c r="E442" s="36"/>
      <c r="G442" s="84"/>
    </row>
    <row r="443">
      <c r="B443" s="83"/>
      <c r="C443" s="84"/>
      <c r="E443" s="36"/>
      <c r="G443" s="84"/>
    </row>
    <row r="444">
      <c r="B444" s="83"/>
      <c r="C444" s="84"/>
      <c r="E444" s="36"/>
      <c r="G444" s="84"/>
    </row>
    <row r="445">
      <c r="B445" s="83"/>
      <c r="C445" s="84"/>
      <c r="E445" s="36"/>
      <c r="G445" s="84"/>
    </row>
    <row r="446">
      <c r="B446" s="83"/>
      <c r="C446" s="84"/>
      <c r="E446" s="36"/>
      <c r="G446" s="84"/>
    </row>
    <row r="447">
      <c r="B447" s="83"/>
      <c r="C447" s="84"/>
      <c r="E447" s="36"/>
      <c r="G447" s="84"/>
    </row>
    <row r="448">
      <c r="B448" s="83"/>
      <c r="C448" s="84"/>
      <c r="E448" s="36"/>
      <c r="G448" s="84"/>
    </row>
    <row r="449">
      <c r="B449" s="83"/>
      <c r="C449" s="84"/>
      <c r="E449" s="36"/>
      <c r="G449" s="84"/>
    </row>
    <row r="450">
      <c r="B450" s="83"/>
      <c r="C450" s="84"/>
      <c r="E450" s="36"/>
      <c r="G450" s="84"/>
    </row>
    <row r="451">
      <c r="B451" s="83"/>
      <c r="C451" s="84"/>
      <c r="E451" s="36"/>
      <c r="G451" s="84"/>
    </row>
    <row r="452">
      <c r="B452" s="83"/>
      <c r="C452" s="84"/>
      <c r="E452" s="36"/>
      <c r="G452" s="84"/>
    </row>
    <row r="453">
      <c r="B453" s="83"/>
      <c r="C453" s="84"/>
      <c r="E453" s="36"/>
      <c r="G453" s="84"/>
    </row>
    <row r="454">
      <c r="B454" s="83"/>
      <c r="C454" s="84"/>
      <c r="E454" s="36"/>
      <c r="G454" s="84"/>
    </row>
    <row r="455">
      <c r="B455" s="83"/>
      <c r="C455" s="84"/>
      <c r="E455" s="36"/>
      <c r="G455" s="84"/>
    </row>
    <row r="456">
      <c r="B456" s="83"/>
      <c r="C456" s="84"/>
      <c r="E456" s="36"/>
      <c r="G456" s="84"/>
    </row>
    <row r="457">
      <c r="B457" s="83"/>
      <c r="C457" s="84"/>
      <c r="E457" s="36"/>
      <c r="G457" s="84"/>
    </row>
    <row r="458">
      <c r="B458" s="83"/>
      <c r="C458" s="84"/>
      <c r="E458" s="36"/>
      <c r="G458" s="84"/>
    </row>
    <row r="459">
      <c r="B459" s="83"/>
      <c r="C459" s="84"/>
      <c r="E459" s="36"/>
      <c r="G459" s="84"/>
    </row>
    <row r="460">
      <c r="B460" s="83"/>
      <c r="C460" s="84"/>
      <c r="E460" s="36"/>
      <c r="G460" s="84"/>
    </row>
    <row r="461">
      <c r="B461" s="83"/>
      <c r="C461" s="84"/>
      <c r="E461" s="36"/>
      <c r="G461" s="84"/>
    </row>
    <row r="462">
      <c r="B462" s="83"/>
      <c r="C462" s="84"/>
      <c r="E462" s="36"/>
      <c r="G462" s="84"/>
    </row>
    <row r="463">
      <c r="B463" s="83"/>
      <c r="C463" s="84"/>
      <c r="E463" s="36"/>
      <c r="G463" s="84"/>
    </row>
    <row r="464">
      <c r="B464" s="83"/>
      <c r="C464" s="84"/>
      <c r="E464" s="36"/>
      <c r="G464" s="84"/>
    </row>
    <row r="465">
      <c r="B465" s="83"/>
      <c r="C465" s="84"/>
      <c r="E465" s="36"/>
      <c r="G465" s="84"/>
    </row>
    <row r="466">
      <c r="B466" s="83"/>
      <c r="C466" s="84"/>
      <c r="E466" s="36"/>
      <c r="G466" s="84"/>
    </row>
    <row r="467">
      <c r="B467" s="83"/>
      <c r="C467" s="84"/>
      <c r="E467" s="36"/>
      <c r="G467" s="84"/>
    </row>
    <row r="468">
      <c r="B468" s="83"/>
      <c r="C468" s="84"/>
      <c r="E468" s="36"/>
      <c r="G468" s="84"/>
    </row>
    <row r="469">
      <c r="B469" s="83"/>
      <c r="C469" s="84"/>
      <c r="E469" s="36"/>
      <c r="G469" s="84"/>
    </row>
    <row r="470">
      <c r="B470" s="83"/>
      <c r="C470" s="84"/>
      <c r="E470" s="36"/>
      <c r="G470" s="84"/>
    </row>
    <row r="471">
      <c r="B471" s="83"/>
      <c r="C471" s="84"/>
      <c r="E471" s="36"/>
      <c r="G471" s="84"/>
    </row>
    <row r="472">
      <c r="B472" s="83"/>
      <c r="C472" s="84"/>
      <c r="E472" s="36"/>
      <c r="G472" s="84"/>
    </row>
    <row r="473">
      <c r="B473" s="83"/>
      <c r="C473" s="84"/>
      <c r="E473" s="36"/>
      <c r="G473" s="84"/>
    </row>
    <row r="474">
      <c r="B474" s="83"/>
      <c r="C474" s="84"/>
      <c r="E474" s="36"/>
      <c r="G474" s="84"/>
    </row>
    <row r="475">
      <c r="B475" s="83"/>
      <c r="C475" s="84"/>
      <c r="E475" s="36"/>
      <c r="G475" s="84"/>
    </row>
    <row r="476">
      <c r="B476" s="83"/>
      <c r="C476" s="84"/>
      <c r="E476" s="36"/>
      <c r="G476" s="84"/>
    </row>
    <row r="477">
      <c r="B477" s="83"/>
      <c r="C477" s="84"/>
      <c r="E477" s="36"/>
      <c r="G477" s="84"/>
    </row>
    <row r="478">
      <c r="B478" s="83"/>
      <c r="C478" s="84"/>
      <c r="E478" s="36"/>
      <c r="G478" s="84"/>
    </row>
    <row r="479">
      <c r="B479" s="83"/>
      <c r="C479" s="84"/>
      <c r="E479" s="36"/>
      <c r="G479" s="84"/>
    </row>
    <row r="480">
      <c r="B480" s="83"/>
      <c r="C480" s="84"/>
      <c r="E480" s="36"/>
      <c r="G480" s="84"/>
    </row>
    <row r="481">
      <c r="B481" s="83"/>
      <c r="C481" s="84"/>
      <c r="E481" s="36"/>
      <c r="G481" s="84"/>
    </row>
    <row r="482">
      <c r="B482" s="83"/>
      <c r="C482" s="84"/>
      <c r="E482" s="36"/>
      <c r="G482" s="84"/>
    </row>
    <row r="483">
      <c r="B483" s="83"/>
      <c r="C483" s="84"/>
      <c r="E483" s="36"/>
      <c r="G483" s="84"/>
    </row>
    <row r="484">
      <c r="B484" s="83"/>
      <c r="C484" s="84"/>
      <c r="E484" s="36"/>
      <c r="G484" s="84"/>
    </row>
    <row r="485">
      <c r="B485" s="83"/>
      <c r="C485" s="84"/>
      <c r="E485" s="36"/>
      <c r="G485" s="84"/>
    </row>
    <row r="486">
      <c r="B486" s="83"/>
      <c r="C486" s="84"/>
      <c r="E486" s="36"/>
      <c r="G486" s="84"/>
    </row>
    <row r="487">
      <c r="B487" s="83"/>
      <c r="C487" s="84"/>
      <c r="E487" s="36"/>
      <c r="G487" s="84"/>
    </row>
    <row r="488">
      <c r="B488" s="83"/>
      <c r="C488" s="84"/>
      <c r="E488" s="36"/>
      <c r="G488" s="84"/>
    </row>
    <row r="489">
      <c r="B489" s="83"/>
      <c r="C489" s="84"/>
      <c r="E489" s="36"/>
      <c r="G489" s="84"/>
    </row>
    <row r="490">
      <c r="B490" s="83"/>
      <c r="C490" s="84"/>
      <c r="E490" s="36"/>
      <c r="G490" s="84"/>
    </row>
    <row r="491">
      <c r="B491" s="83"/>
      <c r="C491" s="84"/>
      <c r="E491" s="36"/>
      <c r="G491" s="84"/>
    </row>
    <row r="492">
      <c r="B492" s="83"/>
      <c r="C492" s="84"/>
      <c r="E492" s="36"/>
      <c r="G492" s="84"/>
    </row>
    <row r="493">
      <c r="B493" s="83"/>
      <c r="C493" s="84"/>
      <c r="E493" s="36"/>
      <c r="G493" s="84"/>
    </row>
    <row r="494">
      <c r="B494" s="83"/>
      <c r="C494" s="84"/>
      <c r="E494" s="36"/>
      <c r="G494" s="84"/>
    </row>
    <row r="495">
      <c r="B495" s="83"/>
      <c r="C495" s="84"/>
      <c r="E495" s="36"/>
      <c r="G495" s="84"/>
    </row>
    <row r="496">
      <c r="B496" s="83"/>
      <c r="C496" s="84"/>
      <c r="E496" s="36"/>
      <c r="G496" s="84"/>
    </row>
    <row r="497">
      <c r="B497" s="83"/>
      <c r="C497" s="84"/>
      <c r="E497" s="36"/>
      <c r="G497" s="84"/>
    </row>
    <row r="498">
      <c r="B498" s="83"/>
      <c r="C498" s="84"/>
      <c r="E498" s="36"/>
      <c r="G498" s="84"/>
    </row>
    <row r="499">
      <c r="B499" s="83"/>
      <c r="C499" s="84"/>
      <c r="E499" s="36"/>
      <c r="G499" s="84"/>
    </row>
    <row r="500">
      <c r="B500" s="83"/>
      <c r="C500" s="84"/>
      <c r="E500" s="36"/>
      <c r="G500" s="84"/>
    </row>
    <row r="501">
      <c r="B501" s="83"/>
      <c r="C501" s="84"/>
      <c r="E501" s="36"/>
      <c r="G501" s="84"/>
    </row>
    <row r="502">
      <c r="B502" s="83"/>
      <c r="C502" s="84"/>
      <c r="E502" s="36"/>
      <c r="G502" s="84"/>
    </row>
    <row r="503">
      <c r="B503" s="83"/>
      <c r="C503" s="84"/>
      <c r="E503" s="36"/>
      <c r="G503" s="84"/>
    </row>
    <row r="504">
      <c r="B504" s="83"/>
      <c r="C504" s="84"/>
      <c r="E504" s="36"/>
      <c r="G504" s="84"/>
    </row>
    <row r="505">
      <c r="B505" s="83"/>
      <c r="C505" s="84"/>
      <c r="E505" s="36"/>
      <c r="G505" s="84"/>
    </row>
    <row r="506">
      <c r="B506" s="83"/>
      <c r="C506" s="84"/>
      <c r="E506" s="36"/>
      <c r="G506" s="84"/>
    </row>
    <row r="507">
      <c r="B507" s="83"/>
      <c r="C507" s="84"/>
      <c r="E507" s="36"/>
      <c r="G507" s="84"/>
    </row>
    <row r="508">
      <c r="B508" s="83"/>
      <c r="C508" s="84"/>
      <c r="E508" s="36"/>
      <c r="G508" s="84"/>
    </row>
    <row r="509">
      <c r="B509" s="83"/>
      <c r="C509" s="84"/>
      <c r="E509" s="36"/>
      <c r="G509" s="84"/>
    </row>
    <row r="510">
      <c r="B510" s="83"/>
      <c r="C510" s="84"/>
      <c r="E510" s="36"/>
      <c r="G510" s="84"/>
    </row>
    <row r="511">
      <c r="B511" s="83"/>
      <c r="C511" s="84"/>
      <c r="E511" s="36"/>
      <c r="G511" s="84"/>
    </row>
    <row r="512">
      <c r="B512" s="83"/>
      <c r="C512" s="84"/>
      <c r="E512" s="36"/>
      <c r="G512" s="84"/>
    </row>
    <row r="513">
      <c r="B513" s="83"/>
      <c r="C513" s="84"/>
      <c r="E513" s="36"/>
      <c r="G513" s="84"/>
    </row>
    <row r="514">
      <c r="B514" s="83"/>
      <c r="C514" s="84"/>
      <c r="E514" s="36"/>
      <c r="G514" s="84"/>
    </row>
    <row r="515">
      <c r="B515" s="83"/>
      <c r="C515" s="84"/>
      <c r="E515" s="36"/>
      <c r="G515" s="84"/>
    </row>
    <row r="516">
      <c r="B516" s="83"/>
      <c r="C516" s="84"/>
      <c r="E516" s="36"/>
      <c r="G516" s="84"/>
    </row>
    <row r="517">
      <c r="B517" s="83"/>
      <c r="C517" s="84"/>
      <c r="E517" s="36"/>
      <c r="G517" s="84"/>
    </row>
    <row r="518">
      <c r="B518" s="83"/>
      <c r="C518" s="84"/>
      <c r="E518" s="36"/>
      <c r="G518" s="84"/>
    </row>
    <row r="519">
      <c r="B519" s="83"/>
      <c r="C519" s="84"/>
      <c r="E519" s="36"/>
      <c r="G519" s="84"/>
    </row>
    <row r="520">
      <c r="B520" s="83"/>
      <c r="C520" s="84"/>
      <c r="E520" s="36"/>
      <c r="G520" s="84"/>
    </row>
    <row r="521">
      <c r="B521" s="83"/>
      <c r="C521" s="84"/>
      <c r="E521" s="36"/>
      <c r="G521" s="84"/>
    </row>
    <row r="522">
      <c r="B522" s="83"/>
      <c r="C522" s="84"/>
      <c r="E522" s="36"/>
      <c r="G522" s="84"/>
    </row>
    <row r="523">
      <c r="B523" s="83"/>
      <c r="C523" s="84"/>
      <c r="E523" s="36"/>
      <c r="G523" s="84"/>
    </row>
    <row r="524">
      <c r="B524" s="83"/>
      <c r="C524" s="84"/>
      <c r="E524" s="36"/>
      <c r="G524" s="84"/>
    </row>
    <row r="525">
      <c r="B525" s="83"/>
      <c r="C525" s="84"/>
      <c r="E525" s="36"/>
      <c r="G525" s="84"/>
    </row>
    <row r="526">
      <c r="B526" s="83"/>
      <c r="C526" s="84"/>
      <c r="E526" s="36"/>
      <c r="G526" s="84"/>
    </row>
    <row r="527">
      <c r="B527" s="83"/>
      <c r="C527" s="84"/>
      <c r="E527" s="36"/>
      <c r="G527" s="84"/>
    </row>
    <row r="528">
      <c r="B528" s="83"/>
      <c r="C528" s="84"/>
      <c r="E528" s="36"/>
      <c r="G528" s="84"/>
    </row>
    <row r="529">
      <c r="B529" s="83"/>
      <c r="C529" s="84"/>
      <c r="E529" s="36"/>
      <c r="G529" s="84"/>
    </row>
    <row r="530">
      <c r="B530" s="83"/>
      <c r="C530" s="84"/>
      <c r="E530" s="36"/>
      <c r="G530" s="84"/>
    </row>
    <row r="531">
      <c r="B531" s="83"/>
      <c r="C531" s="84"/>
      <c r="E531" s="36"/>
      <c r="G531" s="84"/>
    </row>
    <row r="532">
      <c r="B532" s="83"/>
      <c r="C532" s="84"/>
      <c r="E532" s="36"/>
      <c r="G532" s="84"/>
    </row>
    <row r="533">
      <c r="B533" s="83"/>
      <c r="C533" s="84"/>
      <c r="E533" s="36"/>
      <c r="G533" s="84"/>
    </row>
    <row r="534">
      <c r="B534" s="83"/>
      <c r="C534" s="84"/>
      <c r="E534" s="36"/>
      <c r="G534" s="84"/>
    </row>
    <row r="535">
      <c r="B535" s="83"/>
      <c r="C535" s="84"/>
      <c r="E535" s="36"/>
      <c r="G535" s="84"/>
    </row>
    <row r="536">
      <c r="B536" s="83"/>
      <c r="C536" s="84"/>
      <c r="E536" s="36"/>
      <c r="G536" s="84"/>
    </row>
    <row r="537">
      <c r="B537" s="83"/>
      <c r="C537" s="84"/>
      <c r="E537" s="36"/>
      <c r="G537" s="84"/>
    </row>
    <row r="538">
      <c r="B538" s="83"/>
      <c r="C538" s="84"/>
      <c r="E538" s="36"/>
      <c r="G538" s="84"/>
    </row>
    <row r="539">
      <c r="B539" s="83"/>
      <c r="C539" s="84"/>
      <c r="E539" s="36"/>
      <c r="G539" s="84"/>
    </row>
    <row r="540">
      <c r="B540" s="83"/>
      <c r="C540" s="84"/>
      <c r="E540" s="36"/>
      <c r="G540" s="84"/>
    </row>
    <row r="541">
      <c r="B541" s="83"/>
      <c r="C541" s="84"/>
      <c r="E541" s="36"/>
      <c r="G541" s="84"/>
    </row>
    <row r="542">
      <c r="B542" s="83"/>
      <c r="C542" s="84"/>
      <c r="E542" s="36"/>
      <c r="G542" s="84"/>
    </row>
    <row r="543">
      <c r="B543" s="83"/>
      <c r="C543" s="84"/>
      <c r="E543" s="36"/>
      <c r="G543" s="84"/>
    </row>
    <row r="544">
      <c r="B544" s="83"/>
      <c r="C544" s="84"/>
      <c r="E544" s="36"/>
      <c r="G544" s="84"/>
    </row>
    <row r="545">
      <c r="B545" s="83"/>
      <c r="C545" s="84"/>
      <c r="E545" s="36"/>
      <c r="G545" s="84"/>
    </row>
    <row r="546">
      <c r="B546" s="83"/>
      <c r="C546" s="84"/>
      <c r="E546" s="36"/>
      <c r="G546" s="84"/>
    </row>
    <row r="547">
      <c r="B547" s="83"/>
      <c r="C547" s="84"/>
      <c r="E547" s="36"/>
      <c r="G547" s="84"/>
    </row>
    <row r="548">
      <c r="B548" s="83"/>
      <c r="C548" s="84"/>
      <c r="E548" s="36"/>
      <c r="G548" s="84"/>
    </row>
    <row r="549">
      <c r="B549" s="83"/>
      <c r="C549" s="84"/>
      <c r="E549" s="36"/>
      <c r="G549" s="84"/>
    </row>
    <row r="550">
      <c r="B550" s="83"/>
      <c r="C550" s="84"/>
      <c r="E550" s="36"/>
      <c r="G550" s="84"/>
    </row>
    <row r="551">
      <c r="B551" s="83"/>
      <c r="C551" s="84"/>
      <c r="E551" s="36"/>
      <c r="G551" s="84"/>
    </row>
    <row r="552">
      <c r="B552" s="83"/>
      <c r="C552" s="84"/>
      <c r="E552" s="36"/>
      <c r="G552" s="84"/>
    </row>
    <row r="553">
      <c r="B553" s="83"/>
      <c r="C553" s="84"/>
      <c r="E553" s="36"/>
      <c r="G553" s="84"/>
    </row>
    <row r="554">
      <c r="B554" s="83"/>
      <c r="C554" s="84"/>
      <c r="E554" s="36"/>
      <c r="G554" s="84"/>
    </row>
    <row r="555">
      <c r="B555" s="83"/>
      <c r="C555" s="84"/>
      <c r="E555" s="36"/>
      <c r="G555" s="84"/>
    </row>
    <row r="556">
      <c r="B556" s="83"/>
      <c r="C556" s="84"/>
      <c r="E556" s="36"/>
      <c r="G556" s="84"/>
    </row>
    <row r="557">
      <c r="B557" s="83"/>
      <c r="C557" s="84"/>
      <c r="E557" s="36"/>
      <c r="G557" s="84"/>
    </row>
    <row r="558">
      <c r="B558" s="83"/>
      <c r="C558" s="84"/>
      <c r="E558" s="36"/>
      <c r="G558" s="84"/>
    </row>
    <row r="559">
      <c r="B559" s="83"/>
      <c r="C559" s="84"/>
      <c r="E559" s="36"/>
      <c r="G559" s="84"/>
    </row>
    <row r="560">
      <c r="B560" s="83"/>
      <c r="C560" s="84"/>
      <c r="E560" s="36"/>
      <c r="G560" s="84"/>
    </row>
    <row r="561">
      <c r="B561" s="83"/>
      <c r="C561" s="84"/>
      <c r="E561" s="36"/>
      <c r="G561" s="84"/>
    </row>
    <row r="562">
      <c r="B562" s="83"/>
      <c r="C562" s="84"/>
      <c r="E562" s="36"/>
      <c r="G562" s="84"/>
    </row>
    <row r="563">
      <c r="B563" s="83"/>
      <c r="C563" s="84"/>
      <c r="E563" s="36"/>
      <c r="G563" s="84"/>
    </row>
    <row r="564">
      <c r="B564" s="83"/>
      <c r="C564" s="84"/>
      <c r="E564" s="36"/>
      <c r="G564" s="84"/>
    </row>
    <row r="565">
      <c r="B565" s="83"/>
      <c r="C565" s="84"/>
      <c r="E565" s="36"/>
      <c r="G565" s="84"/>
    </row>
    <row r="566">
      <c r="B566" s="83"/>
      <c r="C566" s="84"/>
      <c r="E566" s="36"/>
      <c r="G566" s="84"/>
    </row>
    <row r="567">
      <c r="B567" s="83"/>
      <c r="C567" s="84"/>
      <c r="E567" s="36"/>
      <c r="G567" s="84"/>
    </row>
    <row r="568">
      <c r="B568" s="83"/>
      <c r="C568" s="84"/>
      <c r="E568" s="36"/>
      <c r="G568" s="84"/>
    </row>
    <row r="569">
      <c r="B569" s="83"/>
      <c r="C569" s="84"/>
      <c r="E569" s="36"/>
      <c r="G569" s="84"/>
    </row>
    <row r="570">
      <c r="B570" s="83"/>
      <c r="C570" s="84"/>
      <c r="E570" s="36"/>
      <c r="G570" s="84"/>
    </row>
    <row r="571">
      <c r="B571" s="83"/>
      <c r="C571" s="84"/>
      <c r="E571" s="36"/>
      <c r="G571" s="84"/>
    </row>
    <row r="572">
      <c r="B572" s="83"/>
      <c r="C572" s="84"/>
      <c r="E572" s="36"/>
      <c r="G572" s="84"/>
    </row>
    <row r="573">
      <c r="B573" s="83"/>
      <c r="C573" s="84"/>
      <c r="E573" s="36"/>
      <c r="G573" s="84"/>
    </row>
    <row r="574">
      <c r="B574" s="83"/>
      <c r="C574" s="84"/>
      <c r="E574" s="36"/>
      <c r="G574" s="84"/>
    </row>
    <row r="575">
      <c r="B575" s="83"/>
      <c r="C575" s="84"/>
      <c r="E575" s="36"/>
      <c r="G575" s="84"/>
    </row>
    <row r="576">
      <c r="B576" s="83"/>
      <c r="C576" s="84"/>
      <c r="E576" s="36"/>
      <c r="G576" s="84"/>
    </row>
    <row r="577">
      <c r="B577" s="83"/>
      <c r="C577" s="84"/>
      <c r="E577" s="36"/>
      <c r="G577" s="84"/>
    </row>
    <row r="578">
      <c r="B578" s="83"/>
      <c r="C578" s="84"/>
      <c r="E578" s="36"/>
      <c r="G578" s="84"/>
    </row>
    <row r="579">
      <c r="B579" s="83"/>
      <c r="C579" s="84"/>
      <c r="E579" s="36"/>
      <c r="G579" s="84"/>
    </row>
    <row r="580">
      <c r="B580" s="83"/>
      <c r="C580" s="84"/>
      <c r="E580" s="36"/>
      <c r="G580" s="84"/>
    </row>
    <row r="581">
      <c r="B581" s="83"/>
      <c r="C581" s="84"/>
      <c r="E581" s="36"/>
      <c r="G581" s="84"/>
    </row>
    <row r="582">
      <c r="B582" s="83"/>
      <c r="C582" s="84"/>
      <c r="E582" s="36"/>
      <c r="G582" s="84"/>
    </row>
    <row r="583">
      <c r="B583" s="83"/>
      <c r="C583" s="84"/>
      <c r="E583" s="36"/>
      <c r="G583" s="84"/>
    </row>
    <row r="584">
      <c r="B584" s="83"/>
      <c r="C584" s="84"/>
      <c r="E584" s="36"/>
      <c r="G584" s="84"/>
    </row>
    <row r="585">
      <c r="B585" s="83"/>
      <c r="C585" s="84"/>
      <c r="E585" s="36"/>
      <c r="G585" s="84"/>
    </row>
    <row r="586">
      <c r="B586" s="83"/>
      <c r="C586" s="84"/>
      <c r="E586" s="36"/>
      <c r="G586" s="84"/>
    </row>
    <row r="587">
      <c r="B587" s="83"/>
      <c r="C587" s="84"/>
      <c r="E587" s="36"/>
      <c r="G587" s="84"/>
    </row>
    <row r="588">
      <c r="B588" s="83"/>
      <c r="C588" s="84"/>
      <c r="E588" s="36"/>
      <c r="G588" s="84"/>
    </row>
    <row r="589">
      <c r="B589" s="83"/>
      <c r="C589" s="84"/>
      <c r="E589" s="36"/>
      <c r="G589" s="84"/>
    </row>
    <row r="590">
      <c r="B590" s="83"/>
      <c r="C590" s="84"/>
      <c r="E590" s="36"/>
      <c r="G590" s="84"/>
    </row>
    <row r="591">
      <c r="B591" s="83"/>
      <c r="C591" s="84"/>
      <c r="E591" s="36"/>
      <c r="G591" s="84"/>
    </row>
    <row r="592">
      <c r="B592" s="83"/>
      <c r="C592" s="84"/>
      <c r="E592" s="36"/>
      <c r="G592" s="84"/>
    </row>
    <row r="593">
      <c r="B593" s="83"/>
      <c r="C593" s="84"/>
      <c r="E593" s="36"/>
      <c r="G593" s="84"/>
    </row>
    <row r="594">
      <c r="B594" s="83"/>
      <c r="C594" s="84"/>
      <c r="E594" s="36"/>
      <c r="G594" s="84"/>
    </row>
    <row r="595">
      <c r="B595" s="83"/>
      <c r="C595" s="84"/>
      <c r="E595" s="36"/>
      <c r="G595" s="84"/>
    </row>
    <row r="596">
      <c r="B596" s="83"/>
      <c r="C596" s="84"/>
      <c r="E596" s="36"/>
      <c r="G596" s="84"/>
    </row>
    <row r="597">
      <c r="B597" s="83"/>
      <c r="C597" s="84"/>
      <c r="E597" s="36"/>
      <c r="G597" s="84"/>
    </row>
    <row r="598">
      <c r="B598" s="83"/>
      <c r="C598" s="84"/>
      <c r="E598" s="36"/>
      <c r="G598" s="84"/>
    </row>
    <row r="599">
      <c r="B599" s="83"/>
      <c r="C599" s="84"/>
      <c r="E599" s="36"/>
      <c r="G599" s="84"/>
    </row>
    <row r="600">
      <c r="B600" s="83"/>
      <c r="C600" s="84"/>
      <c r="E600" s="36"/>
      <c r="G600" s="84"/>
    </row>
    <row r="601">
      <c r="B601" s="83"/>
      <c r="C601" s="84"/>
      <c r="E601" s="36"/>
      <c r="G601" s="84"/>
    </row>
    <row r="602">
      <c r="B602" s="83"/>
      <c r="C602" s="84"/>
      <c r="E602" s="36"/>
      <c r="G602" s="84"/>
    </row>
    <row r="603">
      <c r="B603" s="83"/>
      <c r="C603" s="84"/>
      <c r="E603" s="36"/>
      <c r="G603" s="84"/>
    </row>
    <row r="604">
      <c r="B604" s="83"/>
      <c r="C604" s="84"/>
      <c r="E604" s="36"/>
      <c r="G604" s="84"/>
    </row>
    <row r="605">
      <c r="B605" s="83"/>
      <c r="C605" s="84"/>
      <c r="E605" s="36"/>
      <c r="G605" s="84"/>
    </row>
    <row r="606">
      <c r="B606" s="83"/>
      <c r="C606" s="84"/>
      <c r="E606" s="36"/>
      <c r="G606" s="84"/>
    </row>
    <row r="607">
      <c r="B607" s="83"/>
      <c r="C607" s="84"/>
      <c r="E607" s="36"/>
      <c r="G607" s="84"/>
    </row>
    <row r="608">
      <c r="B608" s="83"/>
      <c r="C608" s="84"/>
      <c r="E608" s="36"/>
      <c r="G608" s="84"/>
    </row>
    <row r="609">
      <c r="B609" s="83"/>
      <c r="C609" s="84"/>
      <c r="E609" s="36"/>
      <c r="G609" s="84"/>
    </row>
    <row r="610">
      <c r="B610" s="83"/>
      <c r="C610" s="84"/>
      <c r="E610" s="36"/>
      <c r="G610" s="84"/>
    </row>
    <row r="611">
      <c r="B611" s="83"/>
      <c r="C611" s="84"/>
      <c r="E611" s="36"/>
      <c r="G611" s="84"/>
    </row>
    <row r="612">
      <c r="B612" s="83"/>
      <c r="C612" s="84"/>
      <c r="E612" s="36"/>
      <c r="G612" s="84"/>
    </row>
    <row r="613">
      <c r="B613" s="83"/>
      <c r="C613" s="84"/>
      <c r="E613" s="36"/>
      <c r="G613" s="84"/>
    </row>
    <row r="614">
      <c r="B614" s="83"/>
      <c r="C614" s="84"/>
      <c r="E614" s="36"/>
      <c r="G614" s="84"/>
    </row>
    <row r="615">
      <c r="B615" s="83"/>
      <c r="C615" s="84"/>
      <c r="E615" s="36"/>
      <c r="G615" s="84"/>
    </row>
    <row r="616">
      <c r="B616" s="83"/>
      <c r="C616" s="84"/>
      <c r="E616" s="36"/>
      <c r="G616" s="84"/>
    </row>
    <row r="617">
      <c r="B617" s="83"/>
      <c r="C617" s="84"/>
      <c r="E617" s="36"/>
      <c r="G617" s="84"/>
    </row>
    <row r="618">
      <c r="B618" s="83"/>
      <c r="C618" s="84"/>
      <c r="E618" s="36"/>
      <c r="G618" s="84"/>
    </row>
    <row r="619">
      <c r="B619" s="83"/>
      <c r="C619" s="84"/>
      <c r="E619" s="36"/>
      <c r="G619" s="84"/>
    </row>
    <row r="620">
      <c r="B620" s="83"/>
      <c r="C620" s="84"/>
      <c r="E620" s="36"/>
      <c r="G620" s="84"/>
    </row>
    <row r="621">
      <c r="B621" s="83"/>
      <c r="C621" s="84"/>
      <c r="E621" s="36"/>
      <c r="G621" s="84"/>
    </row>
    <row r="622">
      <c r="B622" s="83"/>
      <c r="C622" s="84"/>
      <c r="E622" s="36"/>
      <c r="G622" s="84"/>
    </row>
    <row r="623">
      <c r="B623" s="83"/>
      <c r="C623" s="84"/>
      <c r="E623" s="36"/>
      <c r="G623" s="84"/>
    </row>
    <row r="624">
      <c r="B624" s="83"/>
      <c r="C624" s="84"/>
      <c r="E624" s="36"/>
      <c r="G624" s="84"/>
    </row>
    <row r="625">
      <c r="B625" s="83"/>
      <c r="C625" s="84"/>
      <c r="E625" s="36"/>
      <c r="G625" s="84"/>
    </row>
    <row r="626">
      <c r="B626" s="83"/>
      <c r="C626" s="84"/>
      <c r="E626" s="36"/>
      <c r="G626" s="84"/>
    </row>
    <row r="627">
      <c r="B627" s="83"/>
      <c r="C627" s="84"/>
      <c r="E627" s="36"/>
      <c r="G627" s="84"/>
    </row>
    <row r="628">
      <c r="B628" s="83"/>
      <c r="C628" s="84"/>
      <c r="E628" s="36"/>
      <c r="G628" s="84"/>
    </row>
    <row r="629">
      <c r="B629" s="83"/>
      <c r="C629" s="84"/>
      <c r="E629" s="36"/>
      <c r="G629" s="84"/>
    </row>
    <row r="630">
      <c r="B630" s="83"/>
      <c r="C630" s="84"/>
      <c r="E630" s="36"/>
      <c r="G630" s="84"/>
    </row>
    <row r="631">
      <c r="B631" s="83"/>
      <c r="C631" s="84"/>
      <c r="E631" s="36"/>
      <c r="G631" s="84"/>
    </row>
    <row r="632">
      <c r="B632" s="83"/>
      <c r="C632" s="84"/>
      <c r="E632" s="36"/>
      <c r="G632" s="84"/>
    </row>
    <row r="633">
      <c r="B633" s="83"/>
      <c r="C633" s="84"/>
      <c r="E633" s="36"/>
      <c r="G633" s="84"/>
    </row>
    <row r="634">
      <c r="B634" s="83"/>
      <c r="C634" s="84"/>
      <c r="E634" s="36"/>
      <c r="G634" s="84"/>
    </row>
    <row r="635">
      <c r="B635" s="83"/>
      <c r="C635" s="84"/>
      <c r="E635" s="36"/>
      <c r="G635" s="84"/>
    </row>
    <row r="636">
      <c r="B636" s="83"/>
      <c r="C636" s="84"/>
      <c r="E636" s="36"/>
      <c r="G636" s="84"/>
    </row>
    <row r="637">
      <c r="B637" s="83"/>
      <c r="C637" s="84"/>
      <c r="E637" s="36"/>
      <c r="G637" s="84"/>
    </row>
    <row r="638">
      <c r="B638" s="83"/>
      <c r="C638" s="84"/>
      <c r="E638" s="36"/>
      <c r="G638" s="84"/>
    </row>
    <row r="639">
      <c r="B639" s="83"/>
      <c r="C639" s="84"/>
      <c r="E639" s="36"/>
      <c r="G639" s="84"/>
    </row>
    <row r="640">
      <c r="B640" s="83"/>
      <c r="C640" s="84"/>
      <c r="E640" s="36"/>
      <c r="G640" s="84"/>
    </row>
    <row r="641">
      <c r="B641" s="83"/>
      <c r="C641" s="84"/>
      <c r="E641" s="36"/>
      <c r="G641" s="84"/>
    </row>
    <row r="642">
      <c r="B642" s="83"/>
      <c r="C642" s="84"/>
      <c r="E642" s="36"/>
      <c r="G642" s="84"/>
    </row>
    <row r="643">
      <c r="B643" s="83"/>
      <c r="C643" s="84"/>
      <c r="E643" s="36"/>
      <c r="G643" s="84"/>
    </row>
    <row r="644">
      <c r="B644" s="83"/>
      <c r="C644" s="84"/>
      <c r="E644" s="36"/>
      <c r="G644" s="84"/>
    </row>
    <row r="645">
      <c r="B645" s="83"/>
      <c r="C645" s="84"/>
      <c r="E645" s="36"/>
      <c r="G645" s="84"/>
    </row>
    <row r="646">
      <c r="B646" s="83"/>
      <c r="C646" s="84"/>
      <c r="E646" s="36"/>
      <c r="G646" s="84"/>
    </row>
    <row r="647">
      <c r="B647" s="83"/>
      <c r="C647" s="84"/>
      <c r="E647" s="36"/>
      <c r="G647" s="84"/>
    </row>
    <row r="648">
      <c r="B648" s="83"/>
      <c r="C648" s="84"/>
      <c r="E648" s="36"/>
      <c r="G648" s="84"/>
    </row>
    <row r="649">
      <c r="B649" s="83"/>
      <c r="C649" s="84"/>
      <c r="E649" s="36"/>
      <c r="G649" s="84"/>
    </row>
    <row r="650">
      <c r="B650" s="83"/>
      <c r="C650" s="84"/>
      <c r="E650" s="36"/>
      <c r="G650" s="84"/>
    </row>
    <row r="651">
      <c r="B651" s="83"/>
      <c r="C651" s="84"/>
      <c r="E651" s="36"/>
      <c r="G651" s="84"/>
    </row>
    <row r="652">
      <c r="B652" s="83"/>
      <c r="C652" s="84"/>
      <c r="E652" s="36"/>
      <c r="G652" s="84"/>
    </row>
    <row r="653">
      <c r="B653" s="83"/>
      <c r="C653" s="84"/>
      <c r="E653" s="36"/>
      <c r="G653" s="84"/>
    </row>
    <row r="654">
      <c r="B654" s="83"/>
      <c r="C654" s="84"/>
      <c r="E654" s="36"/>
      <c r="G654" s="84"/>
    </row>
    <row r="655">
      <c r="B655" s="83"/>
      <c r="C655" s="84"/>
      <c r="E655" s="36"/>
      <c r="G655" s="84"/>
    </row>
    <row r="656">
      <c r="B656" s="83"/>
      <c r="C656" s="84"/>
      <c r="E656" s="36"/>
      <c r="G656" s="84"/>
    </row>
    <row r="657">
      <c r="B657" s="83"/>
      <c r="C657" s="84"/>
      <c r="E657" s="36"/>
      <c r="G657" s="84"/>
    </row>
    <row r="658">
      <c r="B658" s="83"/>
      <c r="C658" s="84"/>
      <c r="E658" s="36"/>
      <c r="G658" s="84"/>
    </row>
    <row r="659">
      <c r="B659" s="83"/>
      <c r="C659" s="84"/>
      <c r="E659" s="36"/>
      <c r="G659" s="84"/>
    </row>
    <row r="660">
      <c r="B660" s="83"/>
      <c r="C660" s="84"/>
      <c r="E660" s="36"/>
      <c r="G660" s="84"/>
    </row>
    <row r="661">
      <c r="B661" s="83"/>
      <c r="C661" s="84"/>
      <c r="E661" s="36"/>
      <c r="G661" s="84"/>
    </row>
    <row r="662">
      <c r="B662" s="83"/>
      <c r="C662" s="84"/>
      <c r="E662" s="36"/>
      <c r="G662" s="84"/>
    </row>
    <row r="663">
      <c r="B663" s="83"/>
      <c r="C663" s="84"/>
      <c r="E663" s="36"/>
      <c r="G663" s="84"/>
    </row>
    <row r="664">
      <c r="B664" s="83"/>
      <c r="C664" s="84"/>
      <c r="E664" s="36"/>
      <c r="G664" s="84"/>
    </row>
    <row r="665">
      <c r="B665" s="83"/>
      <c r="C665" s="84"/>
      <c r="E665" s="36"/>
      <c r="G665" s="84"/>
    </row>
    <row r="666">
      <c r="B666" s="83"/>
      <c r="C666" s="84"/>
      <c r="E666" s="36"/>
      <c r="G666" s="84"/>
    </row>
    <row r="667">
      <c r="B667" s="83"/>
      <c r="C667" s="84"/>
      <c r="E667" s="36"/>
      <c r="G667" s="84"/>
    </row>
    <row r="668">
      <c r="B668" s="83"/>
      <c r="C668" s="84"/>
      <c r="E668" s="36"/>
      <c r="G668" s="84"/>
    </row>
    <row r="669">
      <c r="B669" s="83"/>
      <c r="C669" s="84"/>
      <c r="E669" s="36"/>
      <c r="G669" s="84"/>
    </row>
    <row r="670">
      <c r="B670" s="83"/>
      <c r="C670" s="84"/>
      <c r="E670" s="36"/>
      <c r="G670" s="84"/>
    </row>
    <row r="671">
      <c r="B671" s="83"/>
      <c r="C671" s="84"/>
      <c r="E671" s="36"/>
      <c r="G671" s="84"/>
    </row>
    <row r="672">
      <c r="B672" s="83"/>
      <c r="C672" s="84"/>
      <c r="E672" s="36"/>
      <c r="G672" s="84"/>
    </row>
    <row r="673">
      <c r="B673" s="83"/>
      <c r="C673" s="84"/>
      <c r="E673" s="36"/>
      <c r="G673" s="84"/>
    </row>
    <row r="674">
      <c r="B674" s="83"/>
      <c r="C674" s="84"/>
      <c r="E674" s="36"/>
      <c r="G674" s="84"/>
    </row>
    <row r="675">
      <c r="B675" s="83"/>
      <c r="C675" s="84"/>
      <c r="E675" s="36"/>
      <c r="G675" s="84"/>
    </row>
    <row r="676">
      <c r="B676" s="83"/>
      <c r="C676" s="84"/>
      <c r="E676" s="36"/>
      <c r="G676" s="84"/>
    </row>
    <row r="677">
      <c r="B677" s="83"/>
      <c r="C677" s="84"/>
      <c r="E677" s="36"/>
      <c r="G677" s="84"/>
    </row>
    <row r="678">
      <c r="B678" s="83"/>
      <c r="C678" s="84"/>
      <c r="E678" s="36"/>
      <c r="G678" s="84"/>
    </row>
    <row r="679">
      <c r="B679" s="83"/>
      <c r="C679" s="84"/>
      <c r="E679" s="36"/>
      <c r="G679" s="84"/>
    </row>
    <row r="680">
      <c r="B680" s="83"/>
      <c r="C680" s="84"/>
      <c r="E680" s="36"/>
      <c r="G680" s="84"/>
    </row>
    <row r="681">
      <c r="B681" s="83"/>
      <c r="C681" s="84"/>
      <c r="E681" s="36"/>
      <c r="G681" s="84"/>
    </row>
    <row r="682">
      <c r="B682" s="83"/>
      <c r="C682" s="84"/>
      <c r="E682" s="36"/>
      <c r="G682" s="84"/>
    </row>
    <row r="683">
      <c r="B683" s="83"/>
      <c r="C683" s="84"/>
      <c r="E683" s="36"/>
      <c r="G683" s="84"/>
    </row>
    <row r="684">
      <c r="B684" s="83"/>
      <c r="C684" s="84"/>
      <c r="E684" s="36"/>
      <c r="G684" s="84"/>
    </row>
    <row r="685">
      <c r="B685" s="83"/>
      <c r="C685" s="84"/>
      <c r="E685" s="36"/>
      <c r="G685" s="84"/>
    </row>
    <row r="686">
      <c r="B686" s="83"/>
      <c r="C686" s="84"/>
      <c r="E686" s="36"/>
      <c r="G686" s="84"/>
    </row>
    <row r="687">
      <c r="B687" s="83"/>
      <c r="C687" s="84"/>
      <c r="E687" s="36"/>
      <c r="G687" s="84"/>
    </row>
    <row r="688">
      <c r="B688" s="83"/>
      <c r="C688" s="84"/>
      <c r="E688" s="36"/>
      <c r="G688" s="84"/>
    </row>
    <row r="689">
      <c r="B689" s="83"/>
      <c r="C689" s="84"/>
      <c r="E689" s="36"/>
      <c r="G689" s="84"/>
    </row>
    <row r="690">
      <c r="B690" s="83"/>
      <c r="C690" s="84"/>
      <c r="E690" s="36"/>
      <c r="G690" s="84"/>
    </row>
    <row r="691">
      <c r="B691" s="83"/>
      <c r="C691" s="84"/>
      <c r="E691" s="36"/>
      <c r="G691" s="84"/>
    </row>
    <row r="692">
      <c r="B692" s="83"/>
      <c r="C692" s="84"/>
      <c r="E692" s="36"/>
      <c r="G692" s="84"/>
    </row>
    <row r="693">
      <c r="B693" s="83"/>
      <c r="C693" s="84"/>
      <c r="E693" s="36"/>
      <c r="G693" s="84"/>
    </row>
    <row r="694">
      <c r="B694" s="83"/>
      <c r="C694" s="84"/>
      <c r="E694" s="36"/>
      <c r="G694" s="84"/>
    </row>
    <row r="695">
      <c r="B695" s="83"/>
      <c r="C695" s="84"/>
      <c r="E695" s="36"/>
      <c r="G695" s="84"/>
    </row>
    <row r="696">
      <c r="B696" s="83"/>
      <c r="C696" s="84"/>
      <c r="E696" s="36"/>
      <c r="G696" s="84"/>
    </row>
    <row r="697">
      <c r="B697" s="83"/>
      <c r="C697" s="84"/>
      <c r="E697" s="36"/>
      <c r="G697" s="84"/>
    </row>
    <row r="698">
      <c r="B698" s="83"/>
      <c r="C698" s="84"/>
      <c r="E698" s="36"/>
      <c r="G698" s="84"/>
    </row>
    <row r="699">
      <c r="B699" s="83"/>
      <c r="C699" s="84"/>
      <c r="E699" s="36"/>
      <c r="G699" s="84"/>
    </row>
    <row r="700">
      <c r="B700" s="83"/>
      <c r="C700" s="84"/>
      <c r="E700" s="36"/>
      <c r="G700" s="84"/>
    </row>
    <row r="701">
      <c r="B701" s="83"/>
      <c r="C701" s="84"/>
      <c r="E701" s="36"/>
      <c r="G701" s="84"/>
    </row>
    <row r="702">
      <c r="B702" s="83"/>
      <c r="C702" s="84"/>
      <c r="E702" s="36"/>
      <c r="G702" s="84"/>
    </row>
    <row r="703">
      <c r="B703" s="83"/>
      <c r="C703" s="84"/>
      <c r="E703" s="36"/>
      <c r="G703" s="84"/>
    </row>
    <row r="704">
      <c r="B704" s="83"/>
      <c r="C704" s="84"/>
      <c r="E704" s="36"/>
      <c r="G704" s="84"/>
    </row>
    <row r="705">
      <c r="B705" s="83"/>
      <c r="C705" s="84"/>
      <c r="E705" s="36"/>
      <c r="G705" s="84"/>
    </row>
    <row r="706">
      <c r="B706" s="83"/>
      <c r="C706" s="84"/>
      <c r="E706" s="36"/>
      <c r="G706" s="84"/>
    </row>
    <row r="707">
      <c r="B707" s="83"/>
      <c r="C707" s="84"/>
      <c r="E707" s="36"/>
      <c r="G707" s="84"/>
    </row>
    <row r="708">
      <c r="B708" s="83"/>
      <c r="C708" s="84"/>
      <c r="E708" s="36"/>
      <c r="G708" s="84"/>
    </row>
    <row r="709">
      <c r="B709" s="83"/>
      <c r="C709" s="84"/>
      <c r="E709" s="36"/>
      <c r="G709" s="84"/>
    </row>
    <row r="710">
      <c r="B710" s="83"/>
      <c r="C710" s="84"/>
      <c r="E710" s="36"/>
      <c r="G710" s="84"/>
    </row>
    <row r="711">
      <c r="B711" s="83"/>
      <c r="C711" s="84"/>
      <c r="E711" s="36"/>
      <c r="G711" s="84"/>
    </row>
    <row r="712">
      <c r="B712" s="83"/>
      <c r="C712" s="84"/>
      <c r="E712" s="36"/>
      <c r="G712" s="84"/>
    </row>
    <row r="713">
      <c r="B713" s="83"/>
      <c r="C713" s="84"/>
      <c r="E713" s="36"/>
      <c r="G713" s="84"/>
    </row>
    <row r="714">
      <c r="B714" s="83"/>
      <c r="C714" s="84"/>
      <c r="E714" s="36"/>
      <c r="G714" s="84"/>
    </row>
    <row r="715">
      <c r="B715" s="83"/>
      <c r="C715" s="84"/>
      <c r="E715" s="36"/>
      <c r="G715" s="84"/>
    </row>
    <row r="716">
      <c r="B716" s="83"/>
      <c r="C716" s="84"/>
      <c r="E716" s="36"/>
      <c r="G716" s="84"/>
    </row>
    <row r="717">
      <c r="B717" s="83"/>
      <c r="C717" s="84"/>
      <c r="E717" s="36"/>
      <c r="G717" s="84"/>
    </row>
    <row r="718">
      <c r="B718" s="83"/>
      <c r="C718" s="84"/>
      <c r="E718" s="36"/>
      <c r="G718" s="84"/>
    </row>
    <row r="719">
      <c r="B719" s="83"/>
      <c r="C719" s="84"/>
      <c r="E719" s="36"/>
      <c r="G719" s="84"/>
    </row>
    <row r="720">
      <c r="B720" s="83"/>
      <c r="C720" s="84"/>
      <c r="E720" s="36"/>
      <c r="G720" s="84"/>
    </row>
    <row r="721">
      <c r="B721" s="83"/>
      <c r="C721" s="84"/>
      <c r="E721" s="36"/>
      <c r="G721" s="84"/>
    </row>
    <row r="722">
      <c r="B722" s="83"/>
      <c r="C722" s="84"/>
      <c r="E722" s="36"/>
      <c r="G722" s="84"/>
    </row>
    <row r="723">
      <c r="B723" s="83"/>
      <c r="C723" s="84"/>
      <c r="E723" s="36"/>
      <c r="G723" s="84"/>
    </row>
    <row r="724">
      <c r="B724" s="83"/>
      <c r="C724" s="84"/>
      <c r="E724" s="36"/>
      <c r="G724" s="84"/>
    </row>
    <row r="725">
      <c r="B725" s="83"/>
      <c r="C725" s="84"/>
      <c r="E725" s="36"/>
      <c r="G725" s="84"/>
    </row>
    <row r="726">
      <c r="B726" s="83"/>
      <c r="C726" s="84"/>
      <c r="E726" s="36"/>
      <c r="G726" s="84"/>
    </row>
    <row r="727">
      <c r="B727" s="83"/>
      <c r="C727" s="84"/>
      <c r="E727" s="36"/>
      <c r="G727" s="84"/>
    </row>
    <row r="728">
      <c r="B728" s="83"/>
      <c r="C728" s="84"/>
      <c r="E728" s="36"/>
      <c r="G728" s="84"/>
    </row>
    <row r="729">
      <c r="B729" s="83"/>
      <c r="C729" s="84"/>
      <c r="E729" s="36"/>
      <c r="G729" s="84"/>
    </row>
    <row r="730">
      <c r="B730" s="83"/>
      <c r="C730" s="84"/>
      <c r="E730" s="36"/>
      <c r="G730" s="84"/>
    </row>
    <row r="731">
      <c r="B731" s="83"/>
      <c r="C731" s="84"/>
      <c r="E731" s="36"/>
      <c r="G731" s="84"/>
    </row>
    <row r="732">
      <c r="B732" s="83"/>
      <c r="C732" s="84"/>
      <c r="E732" s="36"/>
      <c r="G732" s="84"/>
    </row>
    <row r="733">
      <c r="B733" s="83"/>
      <c r="C733" s="84"/>
      <c r="E733" s="36"/>
      <c r="G733" s="84"/>
    </row>
    <row r="734">
      <c r="B734" s="83"/>
      <c r="C734" s="84"/>
      <c r="E734" s="36"/>
      <c r="G734" s="84"/>
    </row>
    <row r="735">
      <c r="B735" s="83"/>
      <c r="C735" s="84"/>
      <c r="E735" s="36"/>
      <c r="G735" s="84"/>
    </row>
    <row r="736">
      <c r="B736" s="83"/>
      <c r="C736" s="84"/>
      <c r="E736" s="36"/>
      <c r="G736" s="84"/>
    </row>
    <row r="737">
      <c r="B737" s="83"/>
      <c r="C737" s="84"/>
      <c r="E737" s="36"/>
      <c r="G737" s="84"/>
    </row>
    <row r="738">
      <c r="B738" s="83"/>
      <c r="C738" s="84"/>
      <c r="E738" s="36"/>
      <c r="G738" s="84"/>
    </row>
    <row r="739">
      <c r="B739" s="83"/>
      <c r="C739" s="84"/>
      <c r="E739" s="36"/>
      <c r="G739" s="84"/>
    </row>
    <row r="740">
      <c r="B740" s="83"/>
      <c r="C740" s="84"/>
      <c r="E740" s="36"/>
      <c r="G740" s="84"/>
    </row>
    <row r="741">
      <c r="B741" s="83"/>
      <c r="C741" s="84"/>
      <c r="E741" s="36"/>
      <c r="G741" s="84"/>
    </row>
    <row r="742">
      <c r="B742" s="83"/>
      <c r="C742" s="84"/>
      <c r="E742" s="36"/>
      <c r="G742" s="84"/>
    </row>
    <row r="743">
      <c r="B743" s="83"/>
      <c r="C743" s="84"/>
      <c r="E743" s="36"/>
      <c r="G743" s="84"/>
    </row>
    <row r="744">
      <c r="B744" s="83"/>
      <c r="C744" s="84"/>
      <c r="E744" s="36"/>
      <c r="G744" s="84"/>
    </row>
    <row r="745">
      <c r="B745" s="83"/>
      <c r="C745" s="84"/>
      <c r="E745" s="36"/>
      <c r="G745" s="84"/>
    </row>
    <row r="746">
      <c r="B746" s="83"/>
      <c r="C746" s="84"/>
      <c r="E746" s="36"/>
      <c r="G746" s="84"/>
    </row>
    <row r="747">
      <c r="B747" s="83"/>
      <c r="C747" s="84"/>
      <c r="E747" s="36"/>
      <c r="G747" s="84"/>
    </row>
    <row r="748">
      <c r="B748" s="83"/>
      <c r="C748" s="84"/>
      <c r="E748" s="36"/>
      <c r="G748" s="84"/>
    </row>
    <row r="749">
      <c r="B749" s="83"/>
      <c r="C749" s="84"/>
      <c r="E749" s="36"/>
      <c r="G749" s="84"/>
    </row>
    <row r="750">
      <c r="B750" s="83"/>
      <c r="C750" s="84"/>
      <c r="E750" s="36"/>
      <c r="G750" s="84"/>
    </row>
    <row r="751">
      <c r="B751" s="83"/>
      <c r="C751" s="84"/>
      <c r="E751" s="36"/>
      <c r="G751" s="84"/>
    </row>
    <row r="752">
      <c r="B752" s="83"/>
      <c r="C752" s="84"/>
      <c r="E752" s="36"/>
      <c r="G752" s="84"/>
    </row>
    <row r="753">
      <c r="B753" s="83"/>
      <c r="C753" s="84"/>
      <c r="E753" s="36"/>
      <c r="G753" s="84"/>
    </row>
    <row r="754">
      <c r="B754" s="83"/>
      <c r="C754" s="84"/>
      <c r="E754" s="36"/>
      <c r="G754" s="84"/>
    </row>
    <row r="755">
      <c r="B755" s="83"/>
      <c r="C755" s="84"/>
      <c r="E755" s="36"/>
      <c r="G755" s="84"/>
    </row>
    <row r="756">
      <c r="B756" s="83"/>
      <c r="C756" s="84"/>
      <c r="E756" s="36"/>
      <c r="G756" s="84"/>
    </row>
    <row r="757">
      <c r="B757" s="83"/>
      <c r="C757" s="84"/>
      <c r="E757" s="36"/>
      <c r="G757" s="84"/>
    </row>
    <row r="758">
      <c r="B758" s="83"/>
      <c r="C758" s="84"/>
      <c r="E758" s="36"/>
      <c r="G758" s="84"/>
    </row>
    <row r="759">
      <c r="B759" s="83"/>
      <c r="C759" s="84"/>
      <c r="E759" s="36"/>
      <c r="G759" s="84"/>
    </row>
    <row r="760">
      <c r="B760" s="83"/>
      <c r="C760" s="84"/>
      <c r="E760" s="36"/>
      <c r="G760" s="84"/>
    </row>
    <row r="761">
      <c r="B761" s="83"/>
      <c r="C761" s="84"/>
      <c r="E761" s="36"/>
      <c r="G761" s="84"/>
    </row>
    <row r="762">
      <c r="B762" s="83"/>
      <c r="C762" s="84"/>
      <c r="E762" s="36"/>
      <c r="G762" s="84"/>
    </row>
    <row r="763">
      <c r="B763" s="83"/>
      <c r="C763" s="84"/>
      <c r="E763" s="36"/>
      <c r="G763" s="84"/>
    </row>
    <row r="764">
      <c r="B764" s="83"/>
      <c r="C764" s="84"/>
      <c r="E764" s="36"/>
      <c r="G764" s="84"/>
    </row>
    <row r="765">
      <c r="B765" s="83"/>
      <c r="C765" s="84"/>
      <c r="E765" s="36"/>
      <c r="G765" s="84"/>
    </row>
    <row r="766">
      <c r="B766" s="83"/>
      <c r="C766" s="84"/>
      <c r="E766" s="36"/>
      <c r="G766" s="84"/>
    </row>
    <row r="767">
      <c r="B767" s="83"/>
      <c r="C767" s="84"/>
      <c r="E767" s="36"/>
      <c r="G767" s="84"/>
    </row>
    <row r="768">
      <c r="B768" s="83"/>
      <c r="C768" s="84"/>
      <c r="E768" s="36"/>
      <c r="G768" s="84"/>
    </row>
    <row r="769">
      <c r="B769" s="83"/>
      <c r="C769" s="84"/>
      <c r="E769" s="36"/>
      <c r="G769" s="84"/>
    </row>
    <row r="770">
      <c r="B770" s="83"/>
      <c r="C770" s="84"/>
      <c r="E770" s="36"/>
      <c r="G770" s="84"/>
    </row>
    <row r="771">
      <c r="B771" s="83"/>
      <c r="C771" s="84"/>
      <c r="E771" s="36"/>
      <c r="G771" s="84"/>
    </row>
    <row r="772">
      <c r="B772" s="83"/>
      <c r="C772" s="84"/>
      <c r="E772" s="36"/>
      <c r="G772" s="84"/>
    </row>
    <row r="773">
      <c r="B773" s="83"/>
      <c r="C773" s="84"/>
      <c r="E773" s="36"/>
      <c r="G773" s="84"/>
    </row>
    <row r="774">
      <c r="B774" s="83"/>
      <c r="C774" s="84"/>
      <c r="E774" s="36"/>
      <c r="G774" s="84"/>
    </row>
    <row r="775">
      <c r="B775" s="83"/>
      <c r="C775" s="84"/>
      <c r="E775" s="36"/>
      <c r="G775" s="84"/>
    </row>
    <row r="776">
      <c r="B776" s="83"/>
      <c r="C776" s="84"/>
      <c r="E776" s="36"/>
      <c r="G776" s="84"/>
    </row>
    <row r="777">
      <c r="B777" s="83"/>
      <c r="C777" s="84"/>
      <c r="E777" s="36"/>
      <c r="G777" s="84"/>
    </row>
    <row r="778">
      <c r="B778" s="83"/>
      <c r="C778" s="84"/>
      <c r="E778" s="36"/>
      <c r="G778" s="84"/>
    </row>
    <row r="779">
      <c r="B779" s="83"/>
      <c r="C779" s="84"/>
      <c r="E779" s="36"/>
      <c r="G779" s="84"/>
    </row>
    <row r="780">
      <c r="B780" s="83"/>
      <c r="C780" s="84"/>
      <c r="E780" s="36"/>
      <c r="G780" s="84"/>
    </row>
    <row r="781">
      <c r="B781" s="83"/>
      <c r="C781" s="84"/>
      <c r="E781" s="36"/>
      <c r="G781" s="84"/>
    </row>
    <row r="782">
      <c r="B782" s="83"/>
      <c r="C782" s="84"/>
      <c r="E782" s="36"/>
      <c r="G782" s="84"/>
    </row>
    <row r="783">
      <c r="B783" s="83"/>
      <c r="C783" s="84"/>
      <c r="E783" s="36"/>
      <c r="G783" s="84"/>
    </row>
    <row r="784">
      <c r="B784" s="83"/>
      <c r="C784" s="84"/>
      <c r="E784" s="36"/>
      <c r="G784" s="84"/>
    </row>
    <row r="785">
      <c r="B785" s="83"/>
      <c r="C785" s="84"/>
      <c r="E785" s="36"/>
      <c r="G785" s="84"/>
    </row>
    <row r="786">
      <c r="B786" s="83"/>
      <c r="C786" s="84"/>
      <c r="E786" s="36"/>
      <c r="G786" s="84"/>
    </row>
    <row r="787">
      <c r="B787" s="83"/>
      <c r="C787" s="84"/>
      <c r="E787" s="36"/>
      <c r="G787" s="84"/>
    </row>
    <row r="788">
      <c r="B788" s="83"/>
      <c r="C788" s="84"/>
      <c r="E788" s="36"/>
      <c r="G788" s="84"/>
    </row>
    <row r="789">
      <c r="B789" s="83"/>
      <c r="C789" s="84"/>
      <c r="E789" s="36"/>
      <c r="G789" s="84"/>
    </row>
    <row r="790">
      <c r="B790" s="83"/>
      <c r="C790" s="84"/>
      <c r="E790" s="36"/>
      <c r="G790" s="84"/>
    </row>
    <row r="791">
      <c r="B791" s="83"/>
      <c r="C791" s="84"/>
      <c r="E791" s="36"/>
      <c r="G791" s="84"/>
    </row>
    <row r="792">
      <c r="B792" s="83"/>
      <c r="C792" s="84"/>
      <c r="E792" s="36"/>
      <c r="G792" s="84"/>
    </row>
    <row r="793">
      <c r="B793" s="83"/>
      <c r="C793" s="84"/>
      <c r="E793" s="36"/>
      <c r="G793" s="84"/>
    </row>
    <row r="794">
      <c r="B794" s="83"/>
      <c r="C794" s="84"/>
      <c r="E794" s="36"/>
      <c r="G794" s="84"/>
    </row>
    <row r="795">
      <c r="B795" s="83"/>
      <c r="C795" s="84"/>
      <c r="E795" s="36"/>
      <c r="G795" s="84"/>
    </row>
    <row r="796">
      <c r="B796" s="83"/>
      <c r="C796" s="84"/>
      <c r="E796" s="36"/>
      <c r="G796" s="84"/>
    </row>
    <row r="797">
      <c r="B797" s="83"/>
      <c r="C797" s="84"/>
      <c r="E797" s="36"/>
      <c r="G797" s="84"/>
    </row>
    <row r="798">
      <c r="B798" s="83"/>
      <c r="C798" s="84"/>
      <c r="E798" s="36"/>
      <c r="G798" s="84"/>
    </row>
    <row r="799">
      <c r="B799" s="83"/>
      <c r="C799" s="84"/>
      <c r="E799" s="36"/>
      <c r="G799" s="84"/>
    </row>
    <row r="800">
      <c r="B800" s="83"/>
      <c r="C800" s="84"/>
      <c r="E800" s="36"/>
      <c r="G800" s="84"/>
    </row>
    <row r="801">
      <c r="B801" s="83"/>
      <c r="C801" s="84"/>
      <c r="E801" s="36"/>
      <c r="G801" s="84"/>
    </row>
    <row r="802">
      <c r="B802" s="83"/>
      <c r="C802" s="84"/>
      <c r="E802" s="36"/>
      <c r="G802" s="84"/>
    </row>
    <row r="803">
      <c r="B803" s="83"/>
      <c r="C803" s="84"/>
      <c r="E803" s="36"/>
      <c r="G803" s="84"/>
    </row>
    <row r="804">
      <c r="B804" s="83"/>
      <c r="C804" s="84"/>
      <c r="E804" s="36"/>
      <c r="G804" s="84"/>
    </row>
    <row r="805">
      <c r="B805" s="83"/>
      <c r="C805" s="84"/>
      <c r="E805" s="36"/>
      <c r="G805" s="84"/>
    </row>
    <row r="806">
      <c r="B806" s="83"/>
      <c r="C806" s="84"/>
      <c r="E806" s="36"/>
      <c r="G806" s="84"/>
    </row>
    <row r="807">
      <c r="B807" s="83"/>
      <c r="C807" s="84"/>
      <c r="E807" s="36"/>
      <c r="G807" s="84"/>
    </row>
    <row r="808">
      <c r="B808" s="83"/>
      <c r="C808" s="84"/>
      <c r="E808" s="36"/>
      <c r="G808" s="84"/>
    </row>
    <row r="809">
      <c r="B809" s="83"/>
      <c r="C809" s="84"/>
      <c r="E809" s="36"/>
      <c r="G809" s="84"/>
    </row>
    <row r="810">
      <c r="B810" s="83"/>
      <c r="C810" s="84"/>
      <c r="E810" s="36"/>
      <c r="G810" s="84"/>
    </row>
    <row r="811">
      <c r="B811" s="83"/>
      <c r="C811" s="84"/>
      <c r="E811" s="36"/>
      <c r="G811" s="84"/>
    </row>
    <row r="812">
      <c r="B812" s="83"/>
      <c r="C812" s="84"/>
      <c r="E812" s="36"/>
      <c r="G812" s="84"/>
    </row>
    <row r="813">
      <c r="B813" s="83"/>
      <c r="C813" s="84"/>
      <c r="E813" s="36"/>
      <c r="G813" s="84"/>
    </row>
    <row r="814">
      <c r="B814" s="83"/>
      <c r="C814" s="84"/>
      <c r="E814" s="36"/>
      <c r="G814" s="84"/>
    </row>
    <row r="815">
      <c r="B815" s="83"/>
      <c r="C815" s="84"/>
      <c r="E815" s="36"/>
      <c r="G815" s="84"/>
    </row>
    <row r="816">
      <c r="B816" s="83"/>
      <c r="C816" s="84"/>
      <c r="E816" s="36"/>
      <c r="G816" s="84"/>
    </row>
    <row r="817">
      <c r="B817" s="83"/>
      <c r="C817" s="84"/>
      <c r="E817" s="36"/>
      <c r="G817" s="84"/>
    </row>
    <row r="818">
      <c r="B818" s="83"/>
      <c r="C818" s="84"/>
      <c r="E818" s="36"/>
      <c r="G818" s="84"/>
    </row>
    <row r="819">
      <c r="B819" s="83"/>
      <c r="C819" s="84"/>
      <c r="E819" s="36"/>
      <c r="G819" s="84"/>
    </row>
    <row r="820">
      <c r="B820" s="83"/>
      <c r="C820" s="84"/>
      <c r="E820" s="36"/>
      <c r="G820" s="84"/>
    </row>
    <row r="821">
      <c r="B821" s="83"/>
      <c r="C821" s="84"/>
      <c r="E821" s="36"/>
      <c r="G821" s="84"/>
    </row>
    <row r="822">
      <c r="B822" s="83"/>
      <c r="C822" s="84"/>
      <c r="E822" s="36"/>
      <c r="G822" s="84"/>
    </row>
    <row r="823">
      <c r="B823" s="83"/>
      <c r="C823" s="84"/>
      <c r="E823" s="36"/>
      <c r="G823" s="84"/>
    </row>
    <row r="824">
      <c r="B824" s="83"/>
      <c r="C824" s="84"/>
      <c r="E824" s="36"/>
      <c r="G824" s="84"/>
    </row>
    <row r="825">
      <c r="B825" s="83"/>
      <c r="C825" s="84"/>
      <c r="E825" s="36"/>
      <c r="G825" s="84"/>
    </row>
    <row r="826">
      <c r="B826" s="83"/>
      <c r="C826" s="84"/>
      <c r="E826" s="36"/>
      <c r="G826" s="84"/>
    </row>
    <row r="827">
      <c r="B827" s="83"/>
      <c r="C827" s="84"/>
      <c r="E827" s="36"/>
      <c r="G827" s="84"/>
    </row>
    <row r="828">
      <c r="B828" s="83"/>
      <c r="C828" s="84"/>
      <c r="E828" s="36"/>
      <c r="G828" s="84"/>
    </row>
    <row r="829">
      <c r="B829" s="83"/>
      <c r="C829" s="84"/>
      <c r="E829" s="36"/>
      <c r="G829" s="84"/>
    </row>
    <row r="830">
      <c r="B830" s="83"/>
      <c r="C830" s="84"/>
      <c r="E830" s="36"/>
      <c r="G830" s="84"/>
    </row>
    <row r="831">
      <c r="B831" s="83"/>
      <c r="C831" s="84"/>
      <c r="E831" s="36"/>
      <c r="G831" s="84"/>
    </row>
    <row r="832">
      <c r="B832" s="83"/>
      <c r="C832" s="84"/>
      <c r="E832" s="36"/>
      <c r="G832" s="84"/>
    </row>
    <row r="833">
      <c r="B833" s="83"/>
      <c r="C833" s="84"/>
      <c r="E833" s="36"/>
      <c r="G833" s="84"/>
    </row>
    <row r="834">
      <c r="B834" s="83"/>
      <c r="C834" s="84"/>
      <c r="E834" s="36"/>
      <c r="G834" s="84"/>
    </row>
    <row r="835">
      <c r="B835" s="83"/>
      <c r="C835" s="84"/>
      <c r="E835" s="36"/>
      <c r="G835" s="84"/>
    </row>
    <row r="836">
      <c r="B836" s="83"/>
      <c r="C836" s="84"/>
      <c r="E836" s="36"/>
      <c r="G836" s="84"/>
    </row>
    <row r="837">
      <c r="B837" s="83"/>
      <c r="C837" s="84"/>
      <c r="E837" s="36"/>
      <c r="G837" s="84"/>
    </row>
    <row r="838">
      <c r="B838" s="83"/>
      <c r="C838" s="84"/>
      <c r="E838" s="36"/>
      <c r="G838" s="84"/>
    </row>
    <row r="839">
      <c r="B839" s="83"/>
      <c r="C839" s="84"/>
      <c r="E839" s="36"/>
      <c r="G839" s="84"/>
    </row>
    <row r="840">
      <c r="B840" s="83"/>
      <c r="C840" s="84"/>
      <c r="E840" s="36"/>
      <c r="G840" s="84"/>
    </row>
    <row r="841">
      <c r="B841" s="83"/>
      <c r="C841" s="84"/>
      <c r="E841" s="36"/>
      <c r="G841" s="84"/>
    </row>
    <row r="842">
      <c r="B842" s="83"/>
      <c r="C842" s="84"/>
      <c r="E842" s="36"/>
      <c r="G842" s="84"/>
    </row>
    <row r="843">
      <c r="B843" s="83"/>
      <c r="C843" s="84"/>
      <c r="E843" s="36"/>
      <c r="G843" s="84"/>
    </row>
    <row r="844">
      <c r="B844" s="83"/>
      <c r="C844" s="84"/>
      <c r="E844" s="36"/>
      <c r="G844" s="84"/>
    </row>
    <row r="845">
      <c r="B845" s="83"/>
      <c r="C845" s="84"/>
      <c r="E845" s="36"/>
      <c r="G845" s="84"/>
    </row>
    <row r="846">
      <c r="B846" s="83"/>
      <c r="C846" s="84"/>
      <c r="E846" s="36"/>
      <c r="G846" s="84"/>
    </row>
    <row r="847">
      <c r="B847" s="83"/>
      <c r="C847" s="84"/>
      <c r="E847" s="36"/>
      <c r="G847" s="84"/>
    </row>
    <row r="848">
      <c r="B848" s="83"/>
      <c r="C848" s="84"/>
      <c r="E848" s="36"/>
      <c r="G848" s="84"/>
    </row>
    <row r="849">
      <c r="B849" s="83"/>
      <c r="C849" s="84"/>
      <c r="E849" s="36"/>
      <c r="G849" s="84"/>
    </row>
    <row r="850">
      <c r="B850" s="83"/>
      <c r="C850" s="84"/>
      <c r="E850" s="36"/>
      <c r="G850" s="84"/>
    </row>
    <row r="851">
      <c r="B851" s="83"/>
      <c r="C851" s="84"/>
      <c r="E851" s="36"/>
      <c r="G851" s="84"/>
    </row>
    <row r="852">
      <c r="B852" s="83"/>
      <c r="C852" s="84"/>
      <c r="E852" s="36"/>
      <c r="G852" s="84"/>
    </row>
    <row r="853">
      <c r="B853" s="83"/>
      <c r="C853" s="84"/>
      <c r="E853" s="36"/>
      <c r="G853" s="84"/>
    </row>
    <row r="854">
      <c r="B854" s="83"/>
      <c r="C854" s="84"/>
      <c r="E854" s="36"/>
      <c r="G854" s="84"/>
    </row>
    <row r="855">
      <c r="B855" s="83"/>
      <c r="C855" s="84"/>
      <c r="E855" s="36"/>
      <c r="G855" s="84"/>
    </row>
    <row r="856">
      <c r="B856" s="83"/>
      <c r="C856" s="84"/>
      <c r="E856" s="36"/>
      <c r="G856" s="84"/>
    </row>
    <row r="857">
      <c r="B857" s="83"/>
      <c r="C857" s="84"/>
      <c r="E857" s="36"/>
      <c r="G857" s="84"/>
    </row>
    <row r="858">
      <c r="B858" s="83"/>
      <c r="C858" s="84"/>
      <c r="E858" s="36"/>
      <c r="G858" s="84"/>
    </row>
    <row r="859">
      <c r="B859" s="83"/>
      <c r="C859" s="84"/>
      <c r="E859" s="36"/>
      <c r="G859" s="84"/>
    </row>
    <row r="860">
      <c r="B860" s="83"/>
      <c r="C860" s="84"/>
      <c r="E860" s="36"/>
      <c r="G860" s="84"/>
    </row>
    <row r="861">
      <c r="B861" s="83"/>
      <c r="C861" s="84"/>
      <c r="E861" s="36"/>
      <c r="G861" s="84"/>
    </row>
    <row r="862">
      <c r="B862" s="83"/>
      <c r="C862" s="84"/>
      <c r="E862" s="36"/>
      <c r="G862" s="84"/>
    </row>
    <row r="863">
      <c r="B863" s="83"/>
      <c r="C863" s="84"/>
      <c r="E863" s="36"/>
      <c r="G863" s="84"/>
    </row>
    <row r="864">
      <c r="B864" s="83"/>
      <c r="C864" s="84"/>
      <c r="E864" s="36"/>
      <c r="G864" s="84"/>
    </row>
    <row r="865">
      <c r="B865" s="83"/>
      <c r="C865" s="84"/>
      <c r="E865" s="36"/>
      <c r="G865" s="84"/>
    </row>
    <row r="866">
      <c r="B866" s="83"/>
      <c r="C866" s="84"/>
      <c r="E866" s="36"/>
      <c r="G866" s="84"/>
    </row>
    <row r="867">
      <c r="B867" s="83"/>
      <c r="C867" s="84"/>
      <c r="E867" s="36"/>
      <c r="G867" s="84"/>
    </row>
    <row r="868">
      <c r="B868" s="83"/>
      <c r="C868" s="84"/>
      <c r="E868" s="36"/>
      <c r="G868" s="84"/>
    </row>
    <row r="869">
      <c r="B869" s="83"/>
      <c r="C869" s="84"/>
      <c r="E869" s="36"/>
      <c r="G869" s="84"/>
    </row>
    <row r="870">
      <c r="B870" s="83"/>
      <c r="C870" s="84"/>
      <c r="E870" s="36"/>
      <c r="G870" s="84"/>
    </row>
    <row r="871">
      <c r="B871" s="83"/>
      <c r="C871" s="84"/>
      <c r="E871" s="36"/>
      <c r="G871" s="84"/>
    </row>
    <row r="872">
      <c r="B872" s="83"/>
      <c r="C872" s="84"/>
      <c r="E872" s="36"/>
      <c r="G872" s="84"/>
    </row>
    <row r="873">
      <c r="B873" s="83"/>
      <c r="C873" s="84"/>
      <c r="E873" s="36"/>
      <c r="G873" s="84"/>
    </row>
    <row r="874">
      <c r="B874" s="83"/>
      <c r="C874" s="84"/>
      <c r="E874" s="36"/>
      <c r="G874" s="84"/>
    </row>
    <row r="875">
      <c r="B875" s="83"/>
      <c r="C875" s="84"/>
      <c r="E875" s="36"/>
      <c r="G875" s="84"/>
    </row>
    <row r="876">
      <c r="B876" s="83"/>
      <c r="C876" s="84"/>
      <c r="E876" s="36"/>
      <c r="G876" s="84"/>
    </row>
    <row r="877">
      <c r="B877" s="83"/>
      <c r="C877" s="84"/>
      <c r="E877" s="36"/>
      <c r="G877" s="84"/>
    </row>
    <row r="878">
      <c r="B878" s="83"/>
      <c r="C878" s="84"/>
      <c r="E878" s="36"/>
      <c r="G878" s="84"/>
    </row>
    <row r="879">
      <c r="B879" s="83"/>
      <c r="C879" s="84"/>
      <c r="E879" s="36"/>
      <c r="G879" s="84"/>
    </row>
    <row r="880">
      <c r="B880" s="83"/>
      <c r="C880" s="84"/>
      <c r="E880" s="36"/>
      <c r="G880" s="84"/>
    </row>
    <row r="881">
      <c r="B881" s="83"/>
      <c r="C881" s="84"/>
      <c r="E881" s="36"/>
      <c r="G881" s="84"/>
    </row>
    <row r="882">
      <c r="B882" s="83"/>
      <c r="C882" s="84"/>
      <c r="E882" s="36"/>
      <c r="G882" s="84"/>
    </row>
    <row r="883">
      <c r="B883" s="83"/>
      <c r="C883" s="84"/>
      <c r="E883" s="36"/>
      <c r="G883" s="84"/>
    </row>
    <row r="884">
      <c r="B884" s="83"/>
      <c r="C884" s="84"/>
      <c r="E884" s="36"/>
      <c r="G884" s="84"/>
    </row>
    <row r="885">
      <c r="B885" s="83"/>
      <c r="C885" s="84"/>
      <c r="E885" s="36"/>
      <c r="G885" s="84"/>
    </row>
    <row r="886">
      <c r="B886" s="83"/>
      <c r="C886" s="84"/>
      <c r="E886" s="36"/>
      <c r="G886" s="84"/>
    </row>
    <row r="887">
      <c r="B887" s="83"/>
      <c r="C887" s="84"/>
      <c r="E887" s="36"/>
      <c r="G887" s="84"/>
    </row>
    <row r="888">
      <c r="B888" s="83"/>
      <c r="C888" s="84"/>
      <c r="E888" s="36"/>
      <c r="G888" s="84"/>
    </row>
    <row r="889">
      <c r="B889" s="83"/>
      <c r="C889" s="84"/>
      <c r="E889" s="36"/>
      <c r="G889" s="84"/>
    </row>
    <row r="890">
      <c r="B890" s="83"/>
      <c r="C890" s="84"/>
      <c r="E890" s="36"/>
      <c r="G890" s="84"/>
    </row>
    <row r="891">
      <c r="B891" s="83"/>
      <c r="C891" s="84"/>
      <c r="E891" s="36"/>
      <c r="G891" s="84"/>
    </row>
    <row r="892">
      <c r="B892" s="83"/>
      <c r="C892" s="84"/>
      <c r="E892" s="36"/>
      <c r="G892" s="84"/>
    </row>
    <row r="893">
      <c r="B893" s="83"/>
      <c r="C893" s="84"/>
      <c r="E893" s="36"/>
      <c r="G893" s="84"/>
    </row>
    <row r="894">
      <c r="B894" s="83"/>
      <c r="C894" s="84"/>
      <c r="E894" s="36"/>
      <c r="G894" s="84"/>
    </row>
    <row r="895">
      <c r="B895" s="83"/>
      <c r="C895" s="84"/>
      <c r="E895" s="36"/>
      <c r="G895" s="84"/>
    </row>
    <row r="896">
      <c r="B896" s="83"/>
      <c r="C896" s="84"/>
      <c r="E896" s="36"/>
      <c r="G896" s="84"/>
    </row>
    <row r="897">
      <c r="B897" s="83"/>
      <c r="C897" s="84"/>
      <c r="E897" s="36"/>
      <c r="G897" s="84"/>
    </row>
    <row r="898">
      <c r="B898" s="83"/>
      <c r="C898" s="84"/>
      <c r="E898" s="36"/>
      <c r="G898" s="84"/>
    </row>
    <row r="899">
      <c r="B899" s="83"/>
      <c r="C899" s="84"/>
      <c r="E899" s="36"/>
      <c r="G899" s="84"/>
    </row>
    <row r="900">
      <c r="B900" s="83"/>
      <c r="C900" s="84"/>
      <c r="E900" s="36"/>
      <c r="G900" s="84"/>
    </row>
    <row r="901">
      <c r="B901" s="83"/>
      <c r="C901" s="84"/>
      <c r="E901" s="36"/>
      <c r="G901" s="84"/>
    </row>
    <row r="902">
      <c r="B902" s="83"/>
      <c r="C902" s="84"/>
      <c r="E902" s="36"/>
      <c r="G902" s="84"/>
    </row>
    <row r="903">
      <c r="B903" s="83"/>
      <c r="C903" s="84"/>
      <c r="E903" s="36"/>
      <c r="G903" s="84"/>
    </row>
    <row r="904">
      <c r="B904" s="83"/>
      <c r="C904" s="84"/>
      <c r="E904" s="36"/>
      <c r="G904" s="84"/>
    </row>
    <row r="905">
      <c r="B905" s="83"/>
      <c r="C905" s="84"/>
      <c r="E905" s="36"/>
      <c r="G905" s="84"/>
    </row>
    <row r="906">
      <c r="B906" s="83"/>
      <c r="C906" s="84"/>
      <c r="E906" s="36"/>
      <c r="G906" s="84"/>
    </row>
    <row r="907">
      <c r="B907" s="83"/>
      <c r="C907" s="84"/>
      <c r="E907" s="36"/>
      <c r="G907" s="84"/>
    </row>
    <row r="908">
      <c r="B908" s="83"/>
      <c r="C908" s="84"/>
      <c r="E908" s="36"/>
      <c r="G908" s="84"/>
    </row>
    <row r="909">
      <c r="B909" s="83"/>
      <c r="C909" s="84"/>
      <c r="E909" s="36"/>
      <c r="G909" s="84"/>
    </row>
    <row r="910">
      <c r="B910" s="83"/>
      <c r="C910" s="84"/>
      <c r="E910" s="36"/>
      <c r="G910" s="84"/>
    </row>
    <row r="911">
      <c r="B911" s="83"/>
      <c r="C911" s="84"/>
      <c r="E911" s="36"/>
      <c r="G911" s="84"/>
    </row>
    <row r="912">
      <c r="B912" s="83"/>
      <c r="C912" s="84"/>
      <c r="E912" s="36"/>
      <c r="G912" s="84"/>
    </row>
    <row r="913">
      <c r="B913" s="83"/>
      <c r="C913" s="84"/>
      <c r="E913" s="36"/>
      <c r="G913" s="84"/>
    </row>
    <row r="914">
      <c r="B914" s="83"/>
      <c r="C914" s="84"/>
      <c r="E914" s="36"/>
      <c r="G914" s="84"/>
    </row>
    <row r="915">
      <c r="B915" s="83"/>
      <c r="C915" s="84"/>
      <c r="E915" s="36"/>
      <c r="G915" s="84"/>
    </row>
    <row r="916">
      <c r="B916" s="83"/>
      <c r="C916" s="84"/>
      <c r="E916" s="36"/>
      <c r="G916" s="84"/>
    </row>
    <row r="917">
      <c r="B917" s="83"/>
      <c r="C917" s="84"/>
      <c r="E917" s="36"/>
      <c r="G917" s="84"/>
    </row>
    <row r="918">
      <c r="B918" s="83"/>
      <c r="C918" s="84"/>
      <c r="E918" s="36"/>
      <c r="G918" s="84"/>
    </row>
    <row r="919">
      <c r="B919" s="83"/>
      <c r="C919" s="84"/>
      <c r="E919" s="36"/>
      <c r="G919" s="84"/>
    </row>
    <row r="920">
      <c r="B920" s="83"/>
      <c r="C920" s="84"/>
      <c r="E920" s="36"/>
      <c r="G920" s="84"/>
    </row>
    <row r="921">
      <c r="B921" s="83"/>
      <c r="C921" s="84"/>
      <c r="E921" s="36"/>
      <c r="G921" s="84"/>
    </row>
    <row r="922">
      <c r="B922" s="83"/>
      <c r="C922" s="84"/>
      <c r="E922" s="36"/>
      <c r="G922" s="84"/>
    </row>
    <row r="923">
      <c r="B923" s="83"/>
      <c r="C923" s="84"/>
      <c r="E923" s="36"/>
      <c r="G923" s="84"/>
    </row>
    <row r="924">
      <c r="B924" s="83"/>
      <c r="C924" s="84"/>
      <c r="E924" s="36"/>
      <c r="G924" s="84"/>
    </row>
    <row r="925">
      <c r="B925" s="83"/>
      <c r="C925" s="84"/>
      <c r="E925" s="36"/>
      <c r="G925" s="84"/>
    </row>
    <row r="926">
      <c r="B926" s="83"/>
      <c r="C926" s="84"/>
      <c r="E926" s="36"/>
      <c r="G926" s="84"/>
    </row>
    <row r="927">
      <c r="B927" s="83"/>
      <c r="C927" s="84"/>
      <c r="E927" s="36"/>
      <c r="G927" s="84"/>
    </row>
    <row r="928">
      <c r="B928" s="83"/>
      <c r="C928" s="84"/>
      <c r="E928" s="36"/>
      <c r="G928" s="84"/>
    </row>
    <row r="929">
      <c r="B929" s="83"/>
      <c r="C929" s="84"/>
      <c r="E929" s="36"/>
      <c r="G929" s="84"/>
    </row>
    <row r="930">
      <c r="B930" s="83"/>
      <c r="C930" s="84"/>
      <c r="E930" s="36"/>
      <c r="G930" s="84"/>
    </row>
    <row r="931">
      <c r="B931" s="83"/>
      <c r="C931" s="84"/>
      <c r="E931" s="36"/>
      <c r="G931" s="84"/>
    </row>
    <row r="932">
      <c r="B932" s="83"/>
      <c r="C932" s="84"/>
      <c r="E932" s="36"/>
      <c r="G932" s="84"/>
    </row>
    <row r="933">
      <c r="B933" s="83"/>
      <c r="C933" s="84"/>
      <c r="E933" s="36"/>
      <c r="G933" s="84"/>
    </row>
    <row r="934">
      <c r="B934" s="83"/>
      <c r="C934" s="84"/>
      <c r="E934" s="36"/>
      <c r="G934" s="84"/>
    </row>
    <row r="935">
      <c r="B935" s="83"/>
      <c r="C935" s="84"/>
      <c r="E935" s="36"/>
      <c r="G935" s="84"/>
    </row>
    <row r="936">
      <c r="B936" s="83"/>
      <c r="C936" s="84"/>
      <c r="E936" s="36"/>
      <c r="G936" s="84"/>
    </row>
    <row r="937">
      <c r="B937" s="83"/>
      <c r="C937" s="84"/>
      <c r="E937" s="36"/>
      <c r="G937" s="84"/>
    </row>
    <row r="938">
      <c r="B938" s="83"/>
      <c r="C938" s="84"/>
      <c r="E938" s="36"/>
      <c r="G938" s="84"/>
    </row>
    <row r="939">
      <c r="B939" s="83"/>
      <c r="C939" s="84"/>
      <c r="E939" s="36"/>
      <c r="G939" s="84"/>
    </row>
    <row r="940">
      <c r="B940" s="83"/>
      <c r="C940" s="84"/>
      <c r="E940" s="36"/>
      <c r="G940" s="84"/>
    </row>
    <row r="941">
      <c r="B941" s="83"/>
      <c r="C941" s="84"/>
      <c r="E941" s="36"/>
      <c r="G941" s="84"/>
    </row>
    <row r="942">
      <c r="B942" s="83"/>
      <c r="C942" s="84"/>
      <c r="E942" s="36"/>
      <c r="G942" s="84"/>
    </row>
    <row r="943">
      <c r="B943" s="83"/>
      <c r="C943" s="84"/>
      <c r="E943" s="36"/>
      <c r="G943" s="84"/>
    </row>
    <row r="944">
      <c r="B944" s="83"/>
      <c r="C944" s="84"/>
      <c r="E944" s="36"/>
      <c r="G944" s="84"/>
    </row>
    <row r="945">
      <c r="B945" s="83"/>
      <c r="C945" s="84"/>
      <c r="E945" s="36"/>
      <c r="G945" s="84"/>
    </row>
    <row r="946">
      <c r="B946" s="83"/>
      <c r="C946" s="84"/>
      <c r="E946" s="36"/>
      <c r="G946" s="84"/>
    </row>
    <row r="947">
      <c r="B947" s="83"/>
      <c r="C947" s="84"/>
      <c r="E947" s="36"/>
      <c r="G947" s="84"/>
    </row>
    <row r="948">
      <c r="B948" s="83"/>
      <c r="C948" s="84"/>
      <c r="E948" s="36"/>
      <c r="G948" s="84"/>
    </row>
    <row r="949">
      <c r="B949" s="83"/>
      <c r="C949" s="84"/>
      <c r="E949" s="36"/>
      <c r="G949" s="84"/>
    </row>
    <row r="950">
      <c r="B950" s="83"/>
      <c r="C950" s="84"/>
      <c r="E950" s="36"/>
      <c r="G950" s="84"/>
    </row>
    <row r="951">
      <c r="B951" s="83"/>
      <c r="C951" s="84"/>
      <c r="E951" s="36"/>
      <c r="G951" s="84"/>
    </row>
    <row r="952">
      <c r="B952" s="83"/>
      <c r="C952" s="84"/>
      <c r="E952" s="36"/>
      <c r="G952" s="84"/>
    </row>
    <row r="953">
      <c r="B953" s="83"/>
      <c r="C953" s="84"/>
      <c r="E953" s="36"/>
      <c r="G953" s="84"/>
    </row>
    <row r="954">
      <c r="B954" s="83"/>
      <c r="C954" s="84"/>
      <c r="E954" s="36"/>
      <c r="G954" s="84"/>
    </row>
    <row r="955">
      <c r="B955" s="83"/>
      <c r="C955" s="84"/>
      <c r="E955" s="36"/>
      <c r="G955" s="84"/>
    </row>
    <row r="956">
      <c r="B956" s="83"/>
      <c r="C956" s="84"/>
      <c r="E956" s="36"/>
      <c r="G956" s="84"/>
    </row>
    <row r="957">
      <c r="B957" s="83"/>
      <c r="C957" s="84"/>
      <c r="E957" s="36"/>
      <c r="G957" s="84"/>
    </row>
    <row r="958">
      <c r="B958" s="83"/>
      <c r="C958" s="84"/>
      <c r="E958" s="36"/>
      <c r="G958" s="84"/>
    </row>
    <row r="959">
      <c r="B959" s="83"/>
      <c r="C959" s="84"/>
      <c r="E959" s="36"/>
      <c r="G959" s="84"/>
    </row>
    <row r="960">
      <c r="B960" s="83"/>
      <c r="C960" s="84"/>
      <c r="E960" s="36"/>
      <c r="G960" s="84"/>
    </row>
    <row r="961">
      <c r="B961" s="83"/>
      <c r="C961" s="84"/>
      <c r="E961" s="36"/>
      <c r="G961" s="84"/>
    </row>
    <row r="962">
      <c r="B962" s="83"/>
      <c r="C962" s="84"/>
      <c r="E962" s="36"/>
      <c r="G962" s="84"/>
    </row>
    <row r="963">
      <c r="B963" s="83"/>
      <c r="C963" s="84"/>
      <c r="E963" s="36"/>
      <c r="G963" s="84"/>
    </row>
    <row r="964">
      <c r="B964" s="83"/>
      <c r="C964" s="84"/>
      <c r="E964" s="36"/>
      <c r="G964" s="84"/>
    </row>
    <row r="965">
      <c r="B965" s="83"/>
      <c r="C965" s="84"/>
      <c r="E965" s="36"/>
      <c r="G965" s="84"/>
    </row>
    <row r="966">
      <c r="B966" s="83"/>
      <c r="C966" s="84"/>
      <c r="E966" s="36"/>
      <c r="G966" s="84"/>
    </row>
    <row r="967">
      <c r="B967" s="83"/>
      <c r="C967" s="84"/>
      <c r="E967" s="36"/>
      <c r="G967" s="84"/>
    </row>
    <row r="968">
      <c r="B968" s="83"/>
      <c r="C968" s="84"/>
      <c r="E968" s="36"/>
      <c r="G968" s="84"/>
    </row>
    <row r="969">
      <c r="B969" s="83"/>
      <c r="C969" s="84"/>
      <c r="E969" s="36"/>
      <c r="G969" s="84"/>
    </row>
    <row r="970">
      <c r="B970" s="83"/>
      <c r="C970" s="84"/>
      <c r="E970" s="36"/>
      <c r="G970" s="84"/>
    </row>
    <row r="971">
      <c r="B971" s="83"/>
      <c r="C971" s="84"/>
      <c r="E971" s="36"/>
      <c r="G971" s="84"/>
    </row>
    <row r="972">
      <c r="B972" s="83"/>
      <c r="C972" s="84"/>
      <c r="E972" s="36"/>
      <c r="G972" s="84"/>
    </row>
    <row r="973">
      <c r="B973" s="83"/>
      <c r="C973" s="84"/>
      <c r="E973" s="36"/>
      <c r="G973" s="84"/>
    </row>
    <row r="974">
      <c r="B974" s="83"/>
      <c r="C974" s="84"/>
      <c r="E974" s="36"/>
      <c r="G974" s="84"/>
    </row>
    <row r="975">
      <c r="B975" s="83"/>
      <c r="C975" s="84"/>
      <c r="E975" s="36"/>
      <c r="G975" s="84"/>
    </row>
    <row r="976">
      <c r="B976" s="83"/>
      <c r="C976" s="84"/>
      <c r="E976" s="36"/>
      <c r="G976" s="84"/>
    </row>
    <row r="977">
      <c r="B977" s="83"/>
      <c r="C977" s="84"/>
      <c r="E977" s="36"/>
      <c r="G977" s="84"/>
    </row>
    <row r="978">
      <c r="B978" s="83"/>
      <c r="C978" s="84"/>
      <c r="E978" s="36"/>
      <c r="G978" s="84"/>
    </row>
    <row r="979">
      <c r="B979" s="83"/>
      <c r="C979" s="84"/>
      <c r="E979" s="36"/>
      <c r="G979" s="84"/>
    </row>
    <row r="980">
      <c r="B980" s="83"/>
      <c r="C980" s="84"/>
      <c r="E980" s="36"/>
      <c r="G980" s="84"/>
    </row>
    <row r="981">
      <c r="B981" s="83"/>
      <c r="C981" s="84"/>
      <c r="E981" s="36"/>
      <c r="G981" s="84"/>
    </row>
    <row r="982">
      <c r="B982" s="83"/>
      <c r="C982" s="84"/>
      <c r="E982" s="36"/>
      <c r="G982" s="84"/>
    </row>
    <row r="983">
      <c r="B983" s="83"/>
      <c r="C983" s="84"/>
      <c r="E983" s="36"/>
      <c r="G983" s="84"/>
    </row>
    <row r="984">
      <c r="B984" s="83"/>
      <c r="C984" s="84"/>
      <c r="E984" s="36"/>
      <c r="G984" s="84"/>
    </row>
    <row r="985">
      <c r="B985" s="83"/>
      <c r="C985" s="84"/>
      <c r="E985" s="36"/>
      <c r="G985" s="84"/>
    </row>
    <row r="986">
      <c r="B986" s="83"/>
      <c r="C986" s="84"/>
      <c r="E986" s="36"/>
      <c r="G986" s="84"/>
    </row>
    <row r="987">
      <c r="B987" s="83"/>
      <c r="C987" s="84"/>
      <c r="E987" s="36"/>
      <c r="G987" s="84"/>
    </row>
    <row r="988">
      <c r="B988" s="83"/>
      <c r="C988" s="84"/>
      <c r="E988" s="36"/>
      <c r="G988" s="84"/>
    </row>
    <row r="989">
      <c r="B989" s="83"/>
      <c r="C989" s="84"/>
      <c r="E989" s="36"/>
      <c r="G989" s="84"/>
    </row>
    <row r="990">
      <c r="B990" s="83"/>
      <c r="C990" s="84"/>
      <c r="E990" s="36"/>
      <c r="G990" s="84"/>
    </row>
    <row r="991">
      <c r="B991" s="83"/>
      <c r="C991" s="84"/>
      <c r="E991" s="36"/>
      <c r="G991" s="84"/>
    </row>
    <row r="992">
      <c r="B992" s="83"/>
      <c r="C992" s="84"/>
      <c r="E992" s="36"/>
      <c r="G992" s="84"/>
    </row>
    <row r="993">
      <c r="B993" s="83"/>
      <c r="C993" s="84"/>
      <c r="E993" s="36"/>
      <c r="G993" s="84"/>
    </row>
    <row r="994">
      <c r="B994" s="83"/>
      <c r="C994" s="84"/>
      <c r="E994" s="36"/>
      <c r="G994" s="84"/>
    </row>
    <row r="995">
      <c r="B995" s="83"/>
      <c r="C995" s="84"/>
      <c r="E995" s="36"/>
      <c r="G995" s="84"/>
    </row>
    <row r="996">
      <c r="B996" s="83"/>
      <c r="C996" s="84"/>
      <c r="E996" s="36"/>
      <c r="G996" s="84"/>
    </row>
    <row r="997">
      <c r="B997" s="83"/>
      <c r="C997" s="84"/>
      <c r="E997" s="36"/>
      <c r="G997" s="84"/>
    </row>
    <row r="998">
      <c r="B998" s="83"/>
      <c r="C998" s="84"/>
      <c r="E998" s="36"/>
      <c r="G998" s="84"/>
    </row>
    <row r="999">
      <c r="B999" s="83"/>
      <c r="C999" s="84"/>
      <c r="E999" s="36"/>
      <c r="G999" s="84"/>
    </row>
    <row r="1000">
      <c r="B1000" s="83"/>
      <c r="C1000" s="84"/>
      <c r="E1000" s="36"/>
      <c r="G1000" s="84"/>
    </row>
  </sheetData>
  <mergeCells count="6">
    <mergeCell ref="B1:C1"/>
    <mergeCell ref="D1:E1"/>
    <mergeCell ref="F1:G1"/>
    <mergeCell ref="H1:I1"/>
    <mergeCell ref="J1:K1"/>
    <mergeCell ref="L1:M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16" t="s">
        <v>0</v>
      </c>
      <c r="B1" s="21" t="s">
        <v>145</v>
      </c>
      <c r="C1" s="3"/>
      <c r="D1" s="16"/>
      <c r="E1" s="21" t="s">
        <v>146</v>
      </c>
      <c r="F1" s="3"/>
      <c r="G1" s="21" t="s">
        <v>147</v>
      </c>
      <c r="H1" s="3"/>
      <c r="I1" s="21" t="s">
        <v>148</v>
      </c>
      <c r="J1" s="3"/>
      <c r="K1" s="21" t="s">
        <v>149</v>
      </c>
      <c r="L1" s="3"/>
      <c r="M1" s="21" t="s">
        <v>150</v>
      </c>
      <c r="N1" s="3"/>
    </row>
    <row r="2">
      <c r="A2" s="16" t="s">
        <v>151</v>
      </c>
      <c r="B2" s="16" t="s">
        <v>173</v>
      </c>
      <c r="C2" s="16" t="s">
        <v>174</v>
      </c>
      <c r="D2" s="16" t="s">
        <v>175</v>
      </c>
      <c r="E2" s="16" t="s">
        <v>173</v>
      </c>
      <c r="F2" s="16" t="s">
        <v>174</v>
      </c>
      <c r="G2" s="16" t="s">
        <v>173</v>
      </c>
      <c r="H2" s="16" t="s">
        <v>174</v>
      </c>
      <c r="I2" s="16" t="s">
        <v>173</v>
      </c>
      <c r="J2" s="16" t="s">
        <v>174</v>
      </c>
      <c r="K2" s="16" t="s">
        <v>173</v>
      </c>
      <c r="L2" s="16" t="s">
        <v>174</v>
      </c>
      <c r="M2" s="16" t="s">
        <v>173</v>
      </c>
      <c r="N2" s="16" t="s">
        <v>174</v>
      </c>
      <c r="P2" s="85"/>
      <c r="Q2" s="85"/>
      <c r="R2" s="86"/>
    </row>
    <row r="3">
      <c r="A3" s="18" t="s">
        <v>141</v>
      </c>
      <c r="B3" s="87">
        <v>7.2955697E7</v>
      </c>
      <c r="C3" s="87">
        <v>3.6656056E7</v>
      </c>
      <c r="D3" s="19">
        <f t="shared" ref="D3:D32" si="1">C3/B3</f>
        <v>0.5024426811</v>
      </c>
      <c r="E3" s="18" t="s">
        <v>176</v>
      </c>
      <c r="F3" s="18" t="s">
        <v>177</v>
      </c>
      <c r="G3" s="88">
        <v>7.1579739E7</v>
      </c>
      <c r="H3" s="88">
        <v>3.5962908E7</v>
      </c>
      <c r="I3" s="18"/>
      <c r="J3" s="18"/>
      <c r="K3" s="18"/>
      <c r="L3" s="18"/>
      <c r="M3" s="18"/>
      <c r="N3" s="18"/>
      <c r="P3" s="89"/>
      <c r="Q3" s="90"/>
      <c r="R3" s="91"/>
      <c r="V3" s="48"/>
    </row>
    <row r="4">
      <c r="A4" s="18" t="s">
        <v>134</v>
      </c>
      <c r="B4" s="87">
        <v>1.77250971E8</v>
      </c>
      <c r="C4" s="87">
        <v>8.8166322E7</v>
      </c>
      <c r="D4" s="19">
        <f t="shared" si="1"/>
        <v>0.497409529</v>
      </c>
      <c r="E4" s="18" t="s">
        <v>178</v>
      </c>
      <c r="F4" s="18" t="s">
        <v>179</v>
      </c>
      <c r="G4" s="88">
        <v>2.53544544E8</v>
      </c>
      <c r="H4" s="88">
        <v>1.0787817E8</v>
      </c>
      <c r="I4" s="18"/>
      <c r="J4" s="18"/>
      <c r="K4" s="18"/>
      <c r="L4" s="18"/>
      <c r="M4" s="18"/>
      <c r="N4" s="18"/>
      <c r="P4" s="89"/>
      <c r="Q4" s="90"/>
      <c r="R4" s="91"/>
      <c r="V4" s="48"/>
    </row>
    <row r="5">
      <c r="A5" s="18" t="s">
        <v>137</v>
      </c>
      <c r="B5" s="87">
        <v>2.42624723E8</v>
      </c>
      <c r="C5" s="87">
        <v>1.1817499E8</v>
      </c>
      <c r="D5" s="19">
        <f t="shared" si="1"/>
        <v>0.4870690362</v>
      </c>
      <c r="E5" s="18" t="s">
        <v>180</v>
      </c>
      <c r="F5" s="18" t="s">
        <v>181</v>
      </c>
      <c r="G5" s="88">
        <v>2.76302354E8</v>
      </c>
      <c r="H5" s="88">
        <v>1.30255734E8</v>
      </c>
      <c r="I5" s="18"/>
      <c r="J5" s="18"/>
      <c r="K5" s="18"/>
      <c r="L5" s="18"/>
      <c r="M5" s="18"/>
      <c r="N5" s="18"/>
      <c r="P5" s="92"/>
      <c r="Q5" s="90"/>
      <c r="R5" s="91"/>
      <c r="V5" s="48"/>
    </row>
    <row r="6">
      <c r="A6" s="18" t="s">
        <v>127</v>
      </c>
      <c r="B6" s="87">
        <v>2.26598964E8</v>
      </c>
      <c r="C6" s="87">
        <v>1.10291299E8</v>
      </c>
      <c r="D6" s="19">
        <f t="shared" si="1"/>
        <v>0.4867246392</v>
      </c>
      <c r="E6" s="18" t="s">
        <v>182</v>
      </c>
      <c r="F6" s="18" t="s">
        <v>183</v>
      </c>
      <c r="G6" s="88">
        <v>2.77178187E8</v>
      </c>
      <c r="H6" s="88">
        <v>1.13281069E8</v>
      </c>
      <c r="I6" s="18"/>
      <c r="J6" s="18"/>
      <c r="K6" s="18"/>
      <c r="L6" s="18"/>
      <c r="M6" s="18"/>
      <c r="N6" s="18"/>
      <c r="P6" s="89"/>
      <c r="Q6" s="90"/>
      <c r="R6" s="91"/>
      <c r="V6" s="48"/>
    </row>
    <row r="7">
      <c r="A7" s="18" t="s">
        <v>129</v>
      </c>
      <c r="B7" s="87">
        <v>2.11490006E8</v>
      </c>
      <c r="C7" s="87">
        <v>1.01706155E8</v>
      </c>
      <c r="D7" s="19">
        <f t="shared" si="1"/>
        <v>0.4809028896</v>
      </c>
      <c r="E7" s="18" t="s">
        <v>184</v>
      </c>
      <c r="F7" s="18" t="s">
        <v>185</v>
      </c>
      <c r="G7" s="88">
        <v>2.88517805E8</v>
      </c>
      <c r="H7" s="88">
        <v>1.16031483E8</v>
      </c>
      <c r="I7" s="18"/>
      <c r="J7" s="18"/>
      <c r="K7" s="18"/>
      <c r="L7" s="18"/>
      <c r="M7" s="18"/>
      <c r="N7" s="18"/>
      <c r="P7" s="89"/>
      <c r="Q7" s="90"/>
      <c r="R7" s="91"/>
      <c r="V7" s="48"/>
    </row>
    <row r="8">
      <c r="A8" s="18" t="s">
        <v>138</v>
      </c>
      <c r="B8" s="87">
        <v>1.45741256E8</v>
      </c>
      <c r="C8" s="87">
        <v>6.9920652E7</v>
      </c>
      <c r="D8" s="19">
        <f t="shared" si="1"/>
        <v>0.4797588131</v>
      </c>
      <c r="E8" s="18" t="s">
        <v>186</v>
      </c>
      <c r="F8" s="18" t="s">
        <v>187</v>
      </c>
      <c r="G8" s="88">
        <v>1.43766637E8</v>
      </c>
      <c r="H8" s="88">
        <v>6.0282446E7</v>
      </c>
      <c r="I8" s="18"/>
      <c r="J8" s="18"/>
      <c r="K8" s="18"/>
      <c r="L8" s="18"/>
      <c r="M8" s="18"/>
      <c r="N8" s="18"/>
      <c r="P8" s="92"/>
      <c r="Q8" s="90"/>
      <c r="R8" s="91"/>
      <c r="V8" s="48"/>
    </row>
    <row r="9">
      <c r="A9" s="18" t="s">
        <v>142</v>
      </c>
      <c r="B9" s="87">
        <v>1.46155608E8</v>
      </c>
      <c r="C9" s="87">
        <v>6.9957761E7</v>
      </c>
      <c r="D9" s="19">
        <f t="shared" si="1"/>
        <v>0.4786525947</v>
      </c>
      <c r="E9" s="18" t="s">
        <v>188</v>
      </c>
      <c r="F9" s="18" t="s">
        <v>189</v>
      </c>
      <c r="G9" s="88">
        <v>1.42032305E8</v>
      </c>
      <c r="H9" s="88">
        <v>7.1087315E7</v>
      </c>
      <c r="I9" s="18"/>
      <c r="J9" s="18"/>
      <c r="K9" s="18"/>
      <c r="L9" s="18"/>
      <c r="M9" s="18"/>
      <c r="N9" s="18"/>
      <c r="P9" s="89"/>
      <c r="Q9" s="90"/>
      <c r="R9" s="91"/>
      <c r="V9" s="48"/>
    </row>
    <row r="10">
      <c r="A10" s="18" t="s">
        <v>124</v>
      </c>
      <c r="B10" s="87">
        <v>1.40197587E8</v>
      </c>
      <c r="C10" s="87">
        <v>6.6583598E7</v>
      </c>
      <c r="D10" s="19">
        <f t="shared" si="1"/>
        <v>0.4749268474</v>
      </c>
      <c r="E10" s="18" t="s">
        <v>190</v>
      </c>
      <c r="F10" s="18" t="s">
        <v>191</v>
      </c>
      <c r="G10" s="88">
        <v>1.60326262E8</v>
      </c>
      <c r="H10" s="88">
        <v>6.4128323E7</v>
      </c>
      <c r="I10" s="18"/>
      <c r="J10" s="18"/>
      <c r="K10" s="18"/>
      <c r="L10" s="18"/>
      <c r="M10" s="18"/>
      <c r="N10" s="18"/>
      <c r="P10" s="89"/>
      <c r="Q10" s="90"/>
      <c r="R10" s="91"/>
      <c r="V10" s="48"/>
    </row>
    <row r="11">
      <c r="A11" s="18" t="s">
        <v>128</v>
      </c>
      <c r="B11" s="87">
        <v>1.63085837E8</v>
      </c>
      <c r="C11" s="87">
        <v>7.7284891E7</v>
      </c>
      <c r="D11" s="19">
        <f t="shared" si="1"/>
        <v>0.4738908812</v>
      </c>
      <c r="E11" s="18" t="s">
        <v>192</v>
      </c>
      <c r="F11" s="18" t="s">
        <v>193</v>
      </c>
      <c r="G11" s="88">
        <v>3.08111195E8</v>
      </c>
      <c r="H11" s="88">
        <v>1.19063899E8</v>
      </c>
      <c r="I11" s="18"/>
      <c r="J11" s="18"/>
      <c r="K11" s="18"/>
      <c r="L11" s="18"/>
      <c r="M11" s="18"/>
      <c r="N11" s="18"/>
      <c r="P11" s="89"/>
      <c r="Q11" s="90"/>
      <c r="R11" s="91"/>
      <c r="V11" s="48"/>
    </row>
    <row r="12">
      <c r="A12" s="18" t="s">
        <v>122</v>
      </c>
      <c r="B12" s="87">
        <v>3.31089547E8</v>
      </c>
      <c r="C12" s="87">
        <v>1.56619357E8</v>
      </c>
      <c r="D12" s="19">
        <f t="shared" si="1"/>
        <v>0.4730422885</v>
      </c>
      <c r="E12" s="18" t="s">
        <v>194</v>
      </c>
      <c r="F12" s="18" t="s">
        <v>195</v>
      </c>
      <c r="G12" s="88">
        <v>3.82818881E8</v>
      </c>
      <c r="H12" s="88">
        <v>1.77587509E8</v>
      </c>
      <c r="I12" s="18"/>
      <c r="J12" s="18"/>
      <c r="K12" s="18"/>
      <c r="L12" s="18"/>
      <c r="M12" s="18"/>
      <c r="N12" s="18"/>
      <c r="P12" s="92"/>
      <c r="Q12" s="90"/>
      <c r="R12" s="91"/>
      <c r="V12" s="48"/>
    </row>
    <row r="13">
      <c r="A13" s="18" t="s">
        <v>135</v>
      </c>
      <c r="B13" s="87">
        <v>8.7433146E7</v>
      </c>
      <c r="C13" s="87">
        <v>4.1318613E7</v>
      </c>
      <c r="D13" s="19">
        <f t="shared" si="1"/>
        <v>0.472573788</v>
      </c>
      <c r="E13" s="18" t="s">
        <v>196</v>
      </c>
      <c r="F13" s="18" t="s">
        <v>197</v>
      </c>
      <c r="G13" s="88">
        <v>9.3177038E7</v>
      </c>
      <c r="H13" s="88">
        <v>3.761665E7</v>
      </c>
      <c r="I13" s="18"/>
      <c r="J13" s="18"/>
      <c r="K13" s="18"/>
      <c r="L13" s="18"/>
      <c r="M13" s="18"/>
      <c r="N13" s="18"/>
      <c r="P13" s="92"/>
      <c r="Q13" s="90"/>
      <c r="R13" s="91"/>
      <c r="V13" s="48"/>
    </row>
    <row r="14">
      <c r="A14" s="18" t="s">
        <v>121</v>
      </c>
      <c r="B14" s="87">
        <v>4.27922298E8</v>
      </c>
      <c r="C14" s="87">
        <v>2.01377149E8</v>
      </c>
      <c r="D14" s="19">
        <f t="shared" si="1"/>
        <v>0.4705927921</v>
      </c>
      <c r="E14" s="18" t="s">
        <v>198</v>
      </c>
      <c r="F14" s="18" t="s">
        <v>199</v>
      </c>
      <c r="G14" s="88">
        <v>4.86165153E8</v>
      </c>
      <c r="H14" s="88">
        <v>2.01535654E8</v>
      </c>
      <c r="I14" s="18"/>
      <c r="J14" s="18"/>
      <c r="K14" s="18"/>
      <c r="L14" s="18"/>
      <c r="M14" s="18"/>
      <c r="N14" s="18"/>
      <c r="P14" s="92"/>
      <c r="Q14" s="90"/>
      <c r="R14" s="91"/>
      <c r="V14" s="48"/>
    </row>
    <row r="15">
      <c r="A15" s="18" t="s">
        <v>109</v>
      </c>
      <c r="B15" s="87">
        <v>3.33725473E8</v>
      </c>
      <c r="C15" s="87">
        <v>1.56221807E8</v>
      </c>
      <c r="D15" s="19">
        <f t="shared" si="1"/>
        <v>0.4681147219</v>
      </c>
      <c r="E15" s="18" t="s">
        <v>200</v>
      </c>
      <c r="F15" s="18" t="s">
        <v>201</v>
      </c>
      <c r="G15" s="88">
        <v>3.98582346E8</v>
      </c>
      <c r="H15" s="88">
        <v>1.67086827E8</v>
      </c>
      <c r="I15" s="18"/>
      <c r="J15" s="18"/>
      <c r="K15" s="18"/>
      <c r="L15" s="18"/>
      <c r="M15" s="18"/>
      <c r="N15" s="18"/>
      <c r="P15" s="92"/>
      <c r="Q15" s="91"/>
      <c r="R15" s="91"/>
      <c r="V15" s="48"/>
    </row>
    <row r="16">
      <c r="A16" s="18" t="s">
        <v>140</v>
      </c>
      <c r="B16" s="87">
        <v>1.17863358E8</v>
      </c>
      <c r="C16" s="87">
        <v>5.5079213E7</v>
      </c>
      <c r="D16" s="19">
        <f t="shared" si="1"/>
        <v>0.4673141334</v>
      </c>
      <c r="E16" s="18" t="s">
        <v>202</v>
      </c>
      <c r="F16" s="18" t="s">
        <v>203</v>
      </c>
      <c r="G16" s="88">
        <v>1.15159417E8</v>
      </c>
      <c r="H16" s="88">
        <v>5.7131277E7</v>
      </c>
      <c r="I16" s="18"/>
      <c r="J16" s="18"/>
      <c r="K16" s="18"/>
      <c r="L16" s="18"/>
      <c r="M16" s="18"/>
      <c r="N16" s="18"/>
      <c r="P16" s="92"/>
      <c r="Q16" s="90"/>
      <c r="R16" s="90"/>
      <c r="V16" s="48"/>
    </row>
    <row r="17">
      <c r="A17" s="18" t="s">
        <v>132</v>
      </c>
      <c r="B17" s="87">
        <v>3.35442145E8</v>
      </c>
      <c r="C17" s="87">
        <v>1.56754746E8</v>
      </c>
      <c r="D17" s="19">
        <f t="shared" si="1"/>
        <v>0.4673078453</v>
      </c>
      <c r="E17" s="18" t="s">
        <v>204</v>
      </c>
      <c r="F17" s="18" t="s">
        <v>205</v>
      </c>
      <c r="G17" s="88">
        <v>3.84722919E8</v>
      </c>
      <c r="H17" s="88">
        <v>1.59522102E8</v>
      </c>
      <c r="I17" s="18"/>
      <c r="J17" s="18"/>
      <c r="K17" s="18"/>
      <c r="L17" s="18"/>
      <c r="M17" s="18"/>
      <c r="N17" s="18"/>
      <c r="P17" s="89"/>
      <c r="Q17" s="90"/>
      <c r="R17" s="91"/>
      <c r="V17" s="48"/>
    </row>
    <row r="18">
      <c r="A18" s="18" t="s">
        <v>136</v>
      </c>
      <c r="B18" s="87">
        <v>2.16452296E8</v>
      </c>
      <c r="C18" s="87">
        <v>1.0096629E8</v>
      </c>
      <c r="D18" s="19">
        <f t="shared" si="1"/>
        <v>0.4664597783</v>
      </c>
      <c r="E18" s="18" t="s">
        <v>206</v>
      </c>
      <c r="F18" s="18" t="s">
        <v>207</v>
      </c>
      <c r="G18" s="88">
        <v>2.91238715E8</v>
      </c>
      <c r="H18" s="88">
        <v>1.13327367E8</v>
      </c>
      <c r="I18" s="18"/>
      <c r="J18" s="18"/>
      <c r="K18" s="18"/>
      <c r="L18" s="18"/>
      <c r="M18" s="18"/>
      <c r="N18" s="18"/>
      <c r="P18" s="92"/>
      <c r="Q18" s="90"/>
      <c r="R18" s="91"/>
      <c r="V18" s="48"/>
    </row>
    <row r="19">
      <c r="A19" s="18" t="s">
        <v>133</v>
      </c>
      <c r="B19" s="87">
        <v>1.94033495E8</v>
      </c>
      <c r="C19" s="87">
        <v>9.0313794E7</v>
      </c>
      <c r="D19" s="19">
        <f t="shared" si="1"/>
        <v>0.4654546577</v>
      </c>
      <c r="E19" s="18" t="s">
        <v>208</v>
      </c>
      <c r="F19" s="18" t="s">
        <v>209</v>
      </c>
      <c r="G19" s="88">
        <v>2.60949735E8</v>
      </c>
      <c r="H19" s="88">
        <v>1.0471338E8</v>
      </c>
      <c r="I19" s="18"/>
      <c r="J19" s="18"/>
      <c r="K19" s="18"/>
      <c r="L19" s="18"/>
      <c r="M19" s="18"/>
      <c r="N19" s="18"/>
      <c r="P19" s="92"/>
      <c r="Q19" s="90"/>
      <c r="R19" s="91"/>
      <c r="V19" s="48"/>
    </row>
    <row r="20">
      <c r="A20" s="18" t="s">
        <v>116</v>
      </c>
      <c r="B20" s="87">
        <v>3.4461218E8</v>
      </c>
      <c r="C20" s="87">
        <v>1.59821336E8</v>
      </c>
      <c r="D20" s="19">
        <f t="shared" si="1"/>
        <v>0.4637715823</v>
      </c>
      <c r="E20" s="18" t="s">
        <v>210</v>
      </c>
      <c r="F20" s="18" t="s">
        <v>211</v>
      </c>
      <c r="G20" s="88">
        <v>4.23597573E8</v>
      </c>
      <c r="H20" s="88">
        <v>1.86858814E8</v>
      </c>
      <c r="I20" s="18"/>
      <c r="J20" s="18"/>
      <c r="K20" s="18"/>
      <c r="L20" s="18"/>
      <c r="M20" s="18"/>
      <c r="N20" s="18"/>
      <c r="P20" s="92"/>
      <c r="Q20" s="90"/>
      <c r="R20" s="91"/>
      <c r="V20" s="48"/>
    </row>
    <row r="21">
      <c r="A21" s="18" t="s">
        <v>131</v>
      </c>
      <c r="B21" s="87">
        <v>3.05563269E8</v>
      </c>
      <c r="C21" s="87">
        <v>1.41653624E8</v>
      </c>
      <c r="D21" s="19">
        <f t="shared" si="1"/>
        <v>0.4635819759</v>
      </c>
      <c r="E21" s="18" t="s">
        <v>212</v>
      </c>
      <c r="F21" s="18" t="s">
        <v>213</v>
      </c>
      <c r="G21" s="88">
        <v>4.01738604E8</v>
      </c>
      <c r="H21" s="88">
        <v>1.64716818E8</v>
      </c>
      <c r="I21" s="18"/>
      <c r="J21" s="18"/>
      <c r="K21" s="18"/>
      <c r="L21" s="18"/>
      <c r="M21" s="18"/>
      <c r="N21" s="18"/>
      <c r="P21" s="89"/>
      <c r="Q21" s="90"/>
      <c r="R21" s="91"/>
      <c r="V21" s="48"/>
    </row>
    <row r="22">
      <c r="A22" s="18" t="s">
        <v>130</v>
      </c>
      <c r="B22" s="87">
        <v>2.51714439E8</v>
      </c>
      <c r="C22" s="87">
        <v>1.16613748E8</v>
      </c>
      <c r="D22" s="19">
        <f t="shared" si="1"/>
        <v>0.4632779449</v>
      </c>
      <c r="E22" s="18" t="s">
        <v>214</v>
      </c>
      <c r="F22" s="18" t="s">
        <v>215</v>
      </c>
      <c r="G22" s="88">
        <v>3.35577488E8</v>
      </c>
      <c r="H22" s="88">
        <v>1.42339122E8</v>
      </c>
      <c r="I22" s="18"/>
      <c r="J22" s="18"/>
      <c r="K22" s="18"/>
      <c r="L22" s="18"/>
      <c r="M22" s="18"/>
      <c r="N22" s="18"/>
      <c r="P22" s="89"/>
      <c r="Q22" s="90"/>
      <c r="R22" s="91"/>
      <c r="V22" s="48"/>
    </row>
    <row r="23">
      <c r="A23" s="18" t="s">
        <v>111</v>
      </c>
      <c r="B23" s="87">
        <v>1.77989781E8</v>
      </c>
      <c r="C23" s="87">
        <v>8.1876709E7</v>
      </c>
      <c r="D23" s="19">
        <f t="shared" si="1"/>
        <v>0.4600079203</v>
      </c>
      <c r="E23" s="18" t="s">
        <v>216</v>
      </c>
      <c r="F23" s="18" t="s">
        <v>217</v>
      </c>
      <c r="G23" s="88">
        <v>2.13571215E8</v>
      </c>
      <c r="H23" s="88">
        <v>8.9621249E7</v>
      </c>
      <c r="I23" s="18"/>
      <c r="J23" s="18"/>
      <c r="K23" s="18"/>
      <c r="L23" s="18"/>
      <c r="M23" s="18"/>
      <c r="N23" s="18"/>
      <c r="P23" s="89"/>
      <c r="Q23" s="90"/>
      <c r="R23" s="91"/>
      <c r="V23" s="48"/>
    </row>
    <row r="24">
      <c r="A24" s="18" t="s">
        <v>125</v>
      </c>
      <c r="B24" s="87">
        <v>2.31746016E8</v>
      </c>
      <c r="C24" s="87">
        <v>1.06381309E8</v>
      </c>
      <c r="D24" s="19">
        <f t="shared" si="1"/>
        <v>0.4590426659</v>
      </c>
      <c r="E24" s="18" t="s">
        <v>218</v>
      </c>
      <c r="F24" s="18" t="s">
        <v>219</v>
      </c>
      <c r="G24" s="88">
        <v>2.89887339E8</v>
      </c>
      <c r="H24" s="88">
        <v>1.26718632E8</v>
      </c>
      <c r="I24" s="18"/>
      <c r="J24" s="18"/>
      <c r="K24" s="18"/>
      <c r="L24" s="18"/>
      <c r="M24" s="18"/>
      <c r="N24" s="18"/>
      <c r="P24" s="92"/>
      <c r="Q24" s="90"/>
      <c r="R24" s="91"/>
      <c r="V24" s="48"/>
    </row>
    <row r="25">
      <c r="A25" s="18" t="s">
        <v>126</v>
      </c>
      <c r="B25" s="87">
        <v>2.24297341E8</v>
      </c>
      <c r="C25" s="87">
        <v>1.02938351E8</v>
      </c>
      <c r="D25" s="19">
        <f t="shared" si="1"/>
        <v>0.4589370099</v>
      </c>
      <c r="E25" s="18" t="s">
        <v>220</v>
      </c>
      <c r="F25" s="18" t="s">
        <v>221</v>
      </c>
      <c r="G25" s="88">
        <v>2.52709547E8</v>
      </c>
      <c r="H25" s="88">
        <v>1.00989927E8</v>
      </c>
      <c r="I25" s="18"/>
      <c r="J25" s="18"/>
      <c r="K25" s="18"/>
      <c r="L25" s="18"/>
      <c r="M25" s="18"/>
      <c r="N25" s="18"/>
      <c r="P25" s="92"/>
      <c r="Q25" s="90"/>
      <c r="R25" s="91"/>
      <c r="V25" s="48"/>
    </row>
    <row r="26">
      <c r="A26" s="18" t="s">
        <v>118</v>
      </c>
      <c r="B26" s="87">
        <v>2.84141517E8</v>
      </c>
      <c r="C26" s="87">
        <v>1.30373387E8</v>
      </c>
      <c r="D26" s="19">
        <f t="shared" si="1"/>
        <v>0.4588325859</v>
      </c>
      <c r="E26" s="18" t="s">
        <v>222</v>
      </c>
      <c r="F26" s="18" t="s">
        <v>223</v>
      </c>
      <c r="G26" s="88">
        <v>3.67609365E8</v>
      </c>
      <c r="H26" s="88">
        <v>1.56670523E8</v>
      </c>
      <c r="I26" s="18"/>
      <c r="J26" s="18"/>
      <c r="K26" s="18"/>
      <c r="L26" s="18"/>
      <c r="M26" s="18"/>
      <c r="N26" s="18"/>
      <c r="P26" s="89"/>
      <c r="Q26" s="90"/>
      <c r="R26" s="91"/>
      <c r="V26" s="48"/>
    </row>
    <row r="27">
      <c r="A27" s="18" t="s">
        <v>139</v>
      </c>
      <c r="B27" s="87">
        <v>1.6332766E8</v>
      </c>
      <c r="C27" s="87">
        <v>7.4858734E7</v>
      </c>
      <c r="D27" s="19">
        <f t="shared" si="1"/>
        <v>0.4583346997</v>
      </c>
      <c r="E27" s="18" t="s">
        <v>224</v>
      </c>
      <c r="F27" s="18" t="s">
        <v>225</v>
      </c>
      <c r="G27" s="88">
        <v>1.78106066E8</v>
      </c>
      <c r="H27" s="88">
        <v>8.0009616E7</v>
      </c>
      <c r="I27" s="18"/>
      <c r="J27" s="18"/>
      <c r="K27" s="18"/>
      <c r="L27" s="18"/>
      <c r="M27" s="18"/>
      <c r="N27" s="18"/>
      <c r="P27" s="89"/>
      <c r="Q27" s="90"/>
      <c r="R27" s="91"/>
      <c r="V27" s="48"/>
    </row>
    <row r="28">
      <c r="A28" s="18" t="s">
        <v>123</v>
      </c>
      <c r="B28" s="87">
        <v>1.57612789E8</v>
      </c>
      <c r="C28" s="87">
        <v>7.2101113E7</v>
      </c>
      <c r="D28" s="19">
        <f t="shared" si="1"/>
        <v>0.4574572499</v>
      </c>
      <c r="E28" s="18" t="s">
        <v>226</v>
      </c>
      <c r="F28" s="18" t="s">
        <v>227</v>
      </c>
      <c r="G28" s="88">
        <v>2.03587542E8</v>
      </c>
      <c r="H28" s="88">
        <v>8.7070548E7</v>
      </c>
      <c r="I28" s="18"/>
      <c r="J28" s="18"/>
      <c r="K28" s="18"/>
      <c r="L28" s="18"/>
      <c r="M28" s="18"/>
      <c r="N28" s="18"/>
      <c r="P28" s="92"/>
      <c r="Q28" s="90"/>
      <c r="R28" s="91"/>
      <c r="V28" s="48"/>
    </row>
    <row r="29">
      <c r="A29" s="18" t="s">
        <v>120</v>
      </c>
      <c r="B29" s="87">
        <v>3.16763987E8</v>
      </c>
      <c r="C29" s="87">
        <v>1.44600494E8</v>
      </c>
      <c r="D29" s="19">
        <f t="shared" si="1"/>
        <v>0.4564928462</v>
      </c>
      <c r="E29" s="18" t="s">
        <v>228</v>
      </c>
      <c r="F29" s="18" t="s">
        <v>229</v>
      </c>
      <c r="G29" s="88">
        <v>4.24231322E8</v>
      </c>
      <c r="H29" s="88">
        <v>1.84904743E8</v>
      </c>
      <c r="I29" s="18"/>
      <c r="J29" s="18"/>
      <c r="K29" s="18"/>
      <c r="L29" s="18"/>
      <c r="M29" s="18"/>
      <c r="N29" s="18"/>
      <c r="P29" s="89"/>
      <c r="Q29" s="90"/>
      <c r="R29" s="91"/>
      <c r="V29" s="48"/>
    </row>
    <row r="30">
      <c r="A30" s="18" t="s">
        <v>114</v>
      </c>
      <c r="B30" s="87">
        <v>2.08840087E8</v>
      </c>
      <c r="C30" s="87">
        <v>9.3756063E7</v>
      </c>
      <c r="D30" s="19">
        <f t="shared" si="1"/>
        <v>0.4489370999</v>
      </c>
      <c r="E30" s="18" t="s">
        <v>230</v>
      </c>
      <c r="F30" s="18" t="s">
        <v>231</v>
      </c>
      <c r="G30" s="88">
        <v>3.00616793E8</v>
      </c>
      <c r="H30" s="88">
        <v>1.34675114E8</v>
      </c>
      <c r="I30" s="18"/>
      <c r="J30" s="18"/>
      <c r="K30" s="18"/>
      <c r="L30" s="18"/>
      <c r="M30" s="18"/>
      <c r="N30" s="18"/>
      <c r="P30" s="89"/>
      <c r="Q30" s="90"/>
      <c r="R30" s="91"/>
      <c r="V30" s="48"/>
    </row>
    <row r="31">
      <c r="A31" s="18" t="s">
        <v>112</v>
      </c>
      <c r="B31" s="87">
        <v>1.56045631E8</v>
      </c>
      <c r="C31" s="87">
        <v>6.9694693E7</v>
      </c>
      <c r="D31" s="19">
        <f t="shared" si="1"/>
        <v>0.4466302104</v>
      </c>
      <c r="E31" s="18" t="s">
        <v>232</v>
      </c>
      <c r="F31" s="18" t="s">
        <v>233</v>
      </c>
      <c r="G31" s="88">
        <v>2.14151765E8</v>
      </c>
      <c r="H31" s="88">
        <v>8.8702027E7</v>
      </c>
      <c r="I31" s="18"/>
      <c r="J31" s="18"/>
      <c r="K31" s="18"/>
      <c r="L31" s="18"/>
      <c r="M31" s="18"/>
      <c r="N31" s="18"/>
      <c r="P31" s="92"/>
      <c r="Q31" s="90"/>
      <c r="R31" s="91"/>
      <c r="V31" s="48"/>
    </row>
    <row r="32">
      <c r="A32" s="18" t="s">
        <v>143</v>
      </c>
      <c r="B32" s="87">
        <v>1.96894389E8</v>
      </c>
      <c r="C32" s="87">
        <v>8.7873248E7</v>
      </c>
      <c r="D32" s="19">
        <f t="shared" si="1"/>
        <v>0.4462963543</v>
      </c>
      <c r="E32" s="18" t="s">
        <v>234</v>
      </c>
      <c r="F32" s="18" t="s">
        <v>235</v>
      </c>
      <c r="G32" s="88">
        <v>1.98429092E8</v>
      </c>
      <c r="H32" s="88">
        <v>8.931182E7</v>
      </c>
      <c r="I32" s="18"/>
      <c r="J32" s="18"/>
      <c r="K32" s="18"/>
      <c r="L32" s="18"/>
      <c r="M32" s="18"/>
      <c r="N32" s="18"/>
      <c r="P32" s="92"/>
      <c r="Q32" s="90"/>
      <c r="R32" s="91"/>
      <c r="V32" s="48"/>
    </row>
    <row r="33">
      <c r="P33" s="9"/>
      <c r="Q33" s="9"/>
      <c r="R33" s="9"/>
    </row>
    <row r="34">
      <c r="P34" s="9"/>
      <c r="Q34" s="9"/>
      <c r="R34" s="9"/>
    </row>
    <row r="35">
      <c r="P35" s="9"/>
      <c r="Q35" s="9"/>
      <c r="R35" s="9"/>
    </row>
    <row r="36">
      <c r="P36" s="9"/>
      <c r="Q36" s="9"/>
      <c r="R36" s="9"/>
    </row>
    <row r="37">
      <c r="P37" s="9"/>
      <c r="Q37" s="9"/>
      <c r="R37" s="9"/>
    </row>
    <row r="38">
      <c r="P38" s="9"/>
      <c r="Q38" s="9"/>
      <c r="R38" s="9"/>
    </row>
    <row r="39">
      <c r="P39" s="9"/>
      <c r="Q39" s="9"/>
      <c r="R39" s="9"/>
    </row>
    <row r="40">
      <c r="P40" s="9"/>
      <c r="Q40" s="9"/>
      <c r="R40" s="9"/>
    </row>
    <row r="41">
      <c r="P41" s="9"/>
      <c r="Q41" s="9"/>
      <c r="R41" s="9"/>
    </row>
    <row r="42">
      <c r="P42" s="9"/>
      <c r="Q42" s="9"/>
      <c r="R42" s="9"/>
    </row>
    <row r="43">
      <c r="P43" s="9"/>
      <c r="Q43" s="9"/>
      <c r="R43" s="9"/>
    </row>
    <row r="44">
      <c r="P44" s="9"/>
      <c r="Q44" s="9"/>
      <c r="R44" s="9"/>
    </row>
    <row r="45">
      <c r="P45" s="9"/>
      <c r="Q45" s="9"/>
      <c r="R45" s="9"/>
    </row>
    <row r="46">
      <c r="P46" s="9"/>
      <c r="Q46" s="9"/>
      <c r="R46" s="9"/>
    </row>
    <row r="47">
      <c r="P47" s="9"/>
      <c r="Q47" s="9"/>
      <c r="R47" s="9"/>
    </row>
    <row r="48">
      <c r="P48" s="9"/>
      <c r="Q48" s="9"/>
      <c r="R48" s="9"/>
    </row>
    <row r="49">
      <c r="P49" s="9"/>
      <c r="Q49" s="9"/>
      <c r="R49" s="9"/>
    </row>
    <row r="50">
      <c r="P50" s="9"/>
      <c r="Q50" s="9"/>
      <c r="R50" s="9"/>
    </row>
    <row r="51">
      <c r="P51" s="9"/>
      <c r="Q51" s="9"/>
      <c r="R51" s="9"/>
    </row>
    <row r="52">
      <c r="P52" s="9"/>
      <c r="Q52" s="9"/>
      <c r="R52" s="9"/>
    </row>
    <row r="53">
      <c r="P53" s="9"/>
      <c r="Q53" s="9"/>
      <c r="R53" s="9"/>
    </row>
    <row r="54">
      <c r="P54" s="9"/>
      <c r="Q54" s="9"/>
      <c r="R54" s="9"/>
    </row>
    <row r="55">
      <c r="P55" s="9"/>
      <c r="Q55" s="9"/>
      <c r="R55" s="9"/>
    </row>
    <row r="56">
      <c r="P56" s="9"/>
      <c r="Q56" s="9"/>
      <c r="R56" s="9"/>
    </row>
    <row r="57">
      <c r="P57" s="9"/>
      <c r="Q57" s="9"/>
      <c r="R57" s="9"/>
    </row>
    <row r="58">
      <c r="P58" s="9"/>
      <c r="Q58" s="9"/>
      <c r="R58" s="9"/>
    </row>
    <row r="59">
      <c r="P59" s="9"/>
      <c r="Q59" s="9"/>
      <c r="R59" s="9"/>
    </row>
    <row r="60">
      <c r="P60" s="9"/>
      <c r="Q60" s="9"/>
      <c r="R60" s="9"/>
    </row>
    <row r="61">
      <c r="P61" s="9"/>
      <c r="Q61" s="9"/>
      <c r="R61" s="9"/>
    </row>
    <row r="62">
      <c r="P62" s="9"/>
      <c r="Q62" s="9"/>
      <c r="R62" s="9"/>
    </row>
    <row r="63">
      <c r="P63" s="9"/>
      <c r="Q63" s="9"/>
      <c r="R63" s="9"/>
    </row>
    <row r="64">
      <c r="P64" s="9"/>
      <c r="Q64" s="9"/>
      <c r="R64" s="9"/>
    </row>
    <row r="65">
      <c r="P65" s="9"/>
      <c r="Q65" s="9"/>
      <c r="R65" s="9"/>
    </row>
    <row r="66">
      <c r="P66" s="9"/>
      <c r="Q66" s="9"/>
      <c r="R66" s="9"/>
    </row>
    <row r="67">
      <c r="P67" s="9"/>
      <c r="Q67" s="9"/>
      <c r="R67" s="9"/>
    </row>
    <row r="68">
      <c r="P68" s="9"/>
      <c r="Q68" s="9"/>
      <c r="R68" s="9"/>
    </row>
    <row r="69">
      <c r="P69" s="9"/>
      <c r="Q69" s="9"/>
      <c r="R69" s="9"/>
    </row>
    <row r="70">
      <c r="P70" s="9"/>
      <c r="Q70" s="9"/>
      <c r="R70" s="9"/>
    </row>
    <row r="71">
      <c r="P71" s="9"/>
      <c r="Q71" s="9"/>
      <c r="R71" s="9"/>
    </row>
    <row r="72">
      <c r="P72" s="9"/>
      <c r="Q72" s="9"/>
      <c r="R72" s="9"/>
    </row>
    <row r="73">
      <c r="P73" s="9"/>
      <c r="Q73" s="9"/>
      <c r="R73" s="9"/>
    </row>
    <row r="74">
      <c r="P74" s="9"/>
      <c r="Q74" s="9"/>
      <c r="R74" s="9"/>
    </row>
    <row r="75">
      <c r="P75" s="9"/>
      <c r="Q75" s="9"/>
      <c r="R75" s="9"/>
    </row>
    <row r="76">
      <c r="P76" s="9"/>
      <c r="Q76" s="9"/>
      <c r="R76" s="9"/>
    </row>
    <row r="77">
      <c r="P77" s="9"/>
      <c r="Q77" s="9"/>
      <c r="R77" s="9"/>
    </row>
    <row r="78">
      <c r="P78" s="9"/>
      <c r="Q78" s="9"/>
      <c r="R78" s="9"/>
    </row>
    <row r="79">
      <c r="P79" s="9"/>
      <c r="Q79" s="9"/>
      <c r="R79" s="9"/>
    </row>
    <row r="80">
      <c r="P80" s="9"/>
      <c r="Q80" s="9"/>
      <c r="R80" s="9"/>
    </row>
    <row r="81">
      <c r="P81" s="9"/>
      <c r="Q81" s="9"/>
      <c r="R81" s="9"/>
    </row>
    <row r="82">
      <c r="P82" s="9"/>
      <c r="Q82" s="9"/>
      <c r="R82" s="9"/>
    </row>
    <row r="83">
      <c r="P83" s="9"/>
      <c r="Q83" s="9"/>
      <c r="R83" s="9"/>
    </row>
    <row r="84">
      <c r="P84" s="9"/>
      <c r="Q84" s="9"/>
      <c r="R84" s="9"/>
    </row>
    <row r="85">
      <c r="P85" s="9"/>
      <c r="Q85" s="9"/>
      <c r="R85" s="9"/>
    </row>
    <row r="86">
      <c r="P86" s="9"/>
      <c r="Q86" s="9"/>
      <c r="R86" s="9"/>
    </row>
    <row r="87">
      <c r="P87" s="9"/>
      <c r="Q87" s="9"/>
      <c r="R87" s="9"/>
    </row>
    <row r="88">
      <c r="P88" s="9"/>
      <c r="Q88" s="9"/>
      <c r="R88" s="9"/>
    </row>
    <row r="89">
      <c r="P89" s="9"/>
      <c r="Q89" s="9"/>
      <c r="R89" s="9"/>
    </row>
    <row r="90">
      <c r="P90" s="9"/>
      <c r="Q90" s="9"/>
      <c r="R90" s="9"/>
    </row>
    <row r="91">
      <c r="P91" s="9"/>
      <c r="Q91" s="9"/>
      <c r="R91" s="9"/>
    </row>
    <row r="92">
      <c r="P92" s="9"/>
      <c r="Q92" s="9"/>
      <c r="R92" s="9"/>
    </row>
    <row r="93">
      <c r="P93" s="9"/>
      <c r="Q93" s="9"/>
      <c r="R93" s="9"/>
    </row>
    <row r="94">
      <c r="P94" s="9"/>
      <c r="Q94" s="9"/>
      <c r="R94" s="9"/>
    </row>
    <row r="95">
      <c r="P95" s="9"/>
      <c r="Q95" s="9"/>
      <c r="R95" s="9"/>
    </row>
    <row r="96">
      <c r="P96" s="9"/>
      <c r="Q96" s="9"/>
      <c r="R96" s="9"/>
    </row>
    <row r="97">
      <c r="P97" s="9"/>
      <c r="Q97" s="9"/>
      <c r="R97" s="9"/>
    </row>
    <row r="98">
      <c r="P98" s="9"/>
      <c r="Q98" s="9"/>
      <c r="R98" s="9"/>
    </row>
    <row r="99">
      <c r="P99" s="9"/>
      <c r="Q99" s="9"/>
      <c r="R99" s="9"/>
    </row>
    <row r="100">
      <c r="P100" s="9"/>
      <c r="Q100" s="9"/>
      <c r="R100" s="9"/>
    </row>
    <row r="101">
      <c r="P101" s="9"/>
      <c r="Q101" s="9"/>
      <c r="R101" s="9"/>
    </row>
    <row r="102">
      <c r="P102" s="9"/>
      <c r="Q102" s="9"/>
      <c r="R102" s="9"/>
    </row>
    <row r="103">
      <c r="P103" s="9"/>
      <c r="Q103" s="9"/>
      <c r="R103" s="9"/>
    </row>
    <row r="104">
      <c r="P104" s="9"/>
      <c r="Q104" s="9"/>
      <c r="R104" s="9"/>
    </row>
    <row r="105">
      <c r="P105" s="9"/>
      <c r="Q105" s="9"/>
      <c r="R105" s="9"/>
    </row>
    <row r="106">
      <c r="P106" s="9"/>
      <c r="Q106" s="9"/>
      <c r="R106" s="9"/>
    </row>
    <row r="107">
      <c r="P107" s="9"/>
      <c r="Q107" s="9"/>
      <c r="R107" s="9"/>
    </row>
    <row r="108">
      <c r="P108" s="9"/>
      <c r="Q108" s="9"/>
      <c r="R108" s="9"/>
    </row>
    <row r="109">
      <c r="P109" s="9"/>
      <c r="Q109" s="9"/>
      <c r="R109" s="9"/>
    </row>
    <row r="110">
      <c r="P110" s="9"/>
      <c r="Q110" s="9"/>
      <c r="R110" s="9"/>
    </row>
    <row r="111">
      <c r="P111" s="9"/>
      <c r="Q111" s="9"/>
      <c r="R111" s="9"/>
    </row>
    <row r="112">
      <c r="P112" s="9"/>
      <c r="Q112" s="9"/>
      <c r="R112" s="9"/>
    </row>
    <row r="113">
      <c r="P113" s="9"/>
      <c r="Q113" s="9"/>
      <c r="R113" s="9"/>
    </row>
    <row r="114">
      <c r="P114" s="9"/>
      <c r="Q114" s="9"/>
      <c r="R114" s="9"/>
    </row>
    <row r="115">
      <c r="P115" s="9"/>
      <c r="Q115" s="9"/>
      <c r="R115" s="9"/>
    </row>
    <row r="116">
      <c r="P116" s="9"/>
      <c r="Q116" s="9"/>
      <c r="R116" s="9"/>
    </row>
    <row r="117">
      <c r="P117" s="9"/>
      <c r="Q117" s="9"/>
      <c r="R117" s="9"/>
    </row>
    <row r="118">
      <c r="P118" s="9"/>
      <c r="Q118" s="9"/>
      <c r="R118" s="9"/>
    </row>
    <row r="119">
      <c r="P119" s="9"/>
      <c r="Q119" s="9"/>
      <c r="R119" s="9"/>
    </row>
    <row r="120">
      <c r="P120" s="9"/>
      <c r="Q120" s="9"/>
      <c r="R120" s="9"/>
    </row>
    <row r="121">
      <c r="P121" s="9"/>
      <c r="Q121" s="9"/>
      <c r="R121" s="9"/>
    </row>
    <row r="122">
      <c r="P122" s="9"/>
      <c r="Q122" s="9"/>
      <c r="R122" s="9"/>
    </row>
    <row r="123">
      <c r="P123" s="9"/>
      <c r="Q123" s="9"/>
      <c r="R123" s="9"/>
    </row>
    <row r="124">
      <c r="P124" s="9"/>
      <c r="Q124" s="9"/>
      <c r="R124" s="9"/>
    </row>
    <row r="125">
      <c r="P125" s="9"/>
      <c r="Q125" s="9"/>
      <c r="R125" s="9"/>
    </row>
    <row r="126">
      <c r="P126" s="9"/>
      <c r="Q126" s="9"/>
      <c r="R126" s="9"/>
    </row>
    <row r="127">
      <c r="P127" s="9"/>
      <c r="Q127" s="9"/>
      <c r="R127" s="9"/>
    </row>
    <row r="128">
      <c r="P128" s="9"/>
      <c r="Q128" s="9"/>
      <c r="R128" s="9"/>
    </row>
    <row r="129">
      <c r="P129" s="9"/>
      <c r="Q129" s="9"/>
      <c r="R129" s="9"/>
    </row>
    <row r="130">
      <c r="P130" s="9"/>
      <c r="Q130" s="9"/>
      <c r="R130" s="9"/>
    </row>
    <row r="131">
      <c r="P131" s="9"/>
      <c r="Q131" s="9"/>
      <c r="R131" s="9"/>
    </row>
    <row r="132">
      <c r="P132" s="9"/>
      <c r="Q132" s="9"/>
      <c r="R132" s="9"/>
    </row>
    <row r="133">
      <c r="P133" s="9"/>
      <c r="Q133" s="9"/>
      <c r="R133" s="9"/>
    </row>
    <row r="134">
      <c r="P134" s="9"/>
      <c r="Q134" s="9"/>
      <c r="R134" s="9"/>
    </row>
    <row r="135">
      <c r="P135" s="9"/>
      <c r="Q135" s="9"/>
      <c r="R135" s="9"/>
    </row>
    <row r="136">
      <c r="P136" s="9"/>
      <c r="Q136" s="9"/>
      <c r="R136" s="9"/>
    </row>
    <row r="137">
      <c r="P137" s="9"/>
      <c r="Q137" s="9"/>
      <c r="R137" s="9"/>
    </row>
    <row r="138">
      <c r="P138" s="9"/>
      <c r="Q138" s="9"/>
      <c r="R138" s="9"/>
    </row>
    <row r="139">
      <c r="P139" s="9"/>
      <c r="Q139" s="9"/>
      <c r="R139" s="9"/>
    </row>
    <row r="140">
      <c r="P140" s="9"/>
      <c r="Q140" s="9"/>
      <c r="R140" s="9"/>
    </row>
    <row r="141">
      <c r="P141" s="9"/>
      <c r="Q141" s="9"/>
      <c r="R141" s="9"/>
    </row>
    <row r="142">
      <c r="P142" s="9"/>
      <c r="Q142" s="9"/>
      <c r="R142" s="9"/>
    </row>
    <row r="143">
      <c r="P143" s="9"/>
      <c r="Q143" s="9"/>
      <c r="R143" s="9"/>
    </row>
    <row r="144">
      <c r="P144" s="9"/>
      <c r="Q144" s="9"/>
      <c r="R144" s="9"/>
    </row>
    <row r="145">
      <c r="P145" s="9"/>
      <c r="Q145" s="9"/>
      <c r="R145" s="9"/>
    </row>
    <row r="146">
      <c r="P146" s="9"/>
      <c r="Q146" s="9"/>
      <c r="R146" s="9"/>
    </row>
    <row r="147">
      <c r="P147" s="9"/>
      <c r="Q147" s="9"/>
      <c r="R147" s="9"/>
    </row>
    <row r="148">
      <c r="P148" s="9"/>
      <c r="Q148" s="9"/>
      <c r="R148" s="9"/>
    </row>
    <row r="149">
      <c r="P149" s="9"/>
      <c r="Q149" s="9"/>
      <c r="R149" s="9"/>
    </row>
    <row r="150">
      <c r="P150" s="9"/>
      <c r="Q150" s="9"/>
      <c r="R150" s="9"/>
    </row>
    <row r="151">
      <c r="P151" s="9"/>
      <c r="Q151" s="9"/>
      <c r="R151" s="9"/>
    </row>
    <row r="152">
      <c r="P152" s="9"/>
      <c r="Q152" s="9"/>
      <c r="R152" s="9"/>
    </row>
    <row r="153">
      <c r="P153" s="9"/>
      <c r="Q153" s="9"/>
      <c r="R153" s="9"/>
    </row>
    <row r="154">
      <c r="P154" s="9"/>
      <c r="Q154" s="9"/>
      <c r="R154" s="9"/>
    </row>
    <row r="155">
      <c r="P155" s="9"/>
      <c r="Q155" s="9"/>
      <c r="R155" s="9"/>
    </row>
    <row r="156">
      <c r="P156" s="9"/>
      <c r="Q156" s="9"/>
      <c r="R156" s="9"/>
    </row>
    <row r="157">
      <c r="P157" s="9"/>
      <c r="Q157" s="9"/>
      <c r="R157" s="9"/>
    </row>
    <row r="158">
      <c r="P158" s="9"/>
      <c r="Q158" s="9"/>
      <c r="R158" s="9"/>
    </row>
    <row r="159">
      <c r="P159" s="9"/>
      <c r="Q159" s="9"/>
      <c r="R159" s="9"/>
    </row>
    <row r="160">
      <c r="P160" s="9"/>
      <c r="Q160" s="9"/>
      <c r="R160" s="9"/>
    </row>
    <row r="161">
      <c r="P161" s="9"/>
      <c r="Q161" s="9"/>
      <c r="R161" s="9"/>
    </row>
    <row r="162">
      <c r="P162" s="9"/>
      <c r="Q162" s="9"/>
      <c r="R162" s="9"/>
    </row>
    <row r="163">
      <c r="P163" s="9"/>
      <c r="Q163" s="9"/>
      <c r="R163" s="9"/>
    </row>
    <row r="164">
      <c r="P164" s="9"/>
      <c r="Q164" s="9"/>
      <c r="R164" s="9"/>
    </row>
    <row r="165">
      <c r="P165" s="9"/>
      <c r="Q165" s="9"/>
      <c r="R165" s="9"/>
    </row>
    <row r="166">
      <c r="P166" s="9"/>
      <c r="Q166" s="9"/>
      <c r="R166" s="9"/>
    </row>
    <row r="167">
      <c r="P167" s="9"/>
      <c r="Q167" s="9"/>
      <c r="R167" s="9"/>
    </row>
    <row r="168">
      <c r="P168" s="9"/>
      <c r="Q168" s="9"/>
      <c r="R168" s="9"/>
    </row>
    <row r="169">
      <c r="P169" s="9"/>
      <c r="Q169" s="9"/>
      <c r="R169" s="9"/>
    </row>
    <row r="170">
      <c r="P170" s="9"/>
      <c r="Q170" s="9"/>
      <c r="R170" s="9"/>
    </row>
    <row r="171">
      <c r="P171" s="9"/>
      <c r="Q171" s="9"/>
      <c r="R171" s="9"/>
    </row>
    <row r="172">
      <c r="P172" s="9"/>
      <c r="Q172" s="9"/>
      <c r="R172" s="9"/>
    </row>
    <row r="173">
      <c r="P173" s="9"/>
      <c r="Q173" s="9"/>
      <c r="R173" s="9"/>
    </row>
    <row r="174">
      <c r="P174" s="9"/>
      <c r="Q174" s="9"/>
      <c r="R174" s="9"/>
    </row>
    <row r="175">
      <c r="P175" s="9"/>
      <c r="Q175" s="9"/>
      <c r="R175" s="9"/>
    </row>
    <row r="176">
      <c r="P176" s="9"/>
      <c r="Q176" s="9"/>
      <c r="R176" s="9"/>
    </row>
    <row r="177">
      <c r="P177" s="9"/>
      <c r="Q177" s="9"/>
      <c r="R177" s="9"/>
    </row>
    <row r="178">
      <c r="P178" s="9"/>
      <c r="Q178" s="9"/>
      <c r="R178" s="9"/>
    </row>
    <row r="179">
      <c r="P179" s="9"/>
      <c r="Q179" s="9"/>
      <c r="R179" s="9"/>
    </row>
    <row r="180">
      <c r="P180" s="9"/>
      <c r="Q180" s="9"/>
      <c r="R180" s="9"/>
    </row>
    <row r="181">
      <c r="P181" s="9"/>
      <c r="Q181" s="9"/>
      <c r="R181" s="9"/>
    </row>
    <row r="182">
      <c r="P182" s="9"/>
      <c r="Q182" s="9"/>
      <c r="R182" s="9"/>
    </row>
    <row r="183">
      <c r="P183" s="9"/>
      <c r="Q183" s="9"/>
      <c r="R183" s="9"/>
    </row>
    <row r="184">
      <c r="P184" s="9"/>
      <c r="Q184" s="9"/>
      <c r="R184" s="9"/>
    </row>
    <row r="185">
      <c r="P185" s="9"/>
      <c r="Q185" s="9"/>
      <c r="R185" s="9"/>
    </row>
    <row r="186">
      <c r="P186" s="9"/>
      <c r="Q186" s="9"/>
      <c r="R186" s="9"/>
    </row>
    <row r="187">
      <c r="P187" s="9"/>
      <c r="Q187" s="9"/>
      <c r="R187" s="9"/>
    </row>
    <row r="188">
      <c r="P188" s="9"/>
      <c r="Q188" s="9"/>
      <c r="R188" s="9"/>
    </row>
    <row r="189">
      <c r="P189" s="9"/>
      <c r="Q189" s="9"/>
      <c r="R189" s="9"/>
    </row>
    <row r="190">
      <c r="P190" s="9"/>
      <c r="Q190" s="9"/>
      <c r="R190" s="9"/>
    </row>
    <row r="191">
      <c r="P191" s="9"/>
      <c r="Q191" s="9"/>
      <c r="R191" s="9"/>
    </row>
    <row r="192">
      <c r="P192" s="9"/>
      <c r="Q192" s="9"/>
      <c r="R192" s="9"/>
    </row>
    <row r="193">
      <c r="P193" s="9"/>
      <c r="Q193" s="9"/>
      <c r="R193" s="9"/>
    </row>
    <row r="194">
      <c r="P194" s="9"/>
      <c r="Q194" s="9"/>
      <c r="R194" s="9"/>
    </row>
    <row r="195">
      <c r="P195" s="9"/>
      <c r="Q195" s="9"/>
      <c r="R195" s="9"/>
    </row>
    <row r="196">
      <c r="P196" s="9"/>
      <c r="Q196" s="9"/>
      <c r="R196" s="9"/>
    </row>
    <row r="197">
      <c r="P197" s="9"/>
      <c r="Q197" s="9"/>
      <c r="R197" s="9"/>
    </row>
    <row r="198">
      <c r="P198" s="9"/>
      <c r="Q198" s="9"/>
      <c r="R198" s="9"/>
    </row>
    <row r="199">
      <c r="P199" s="9"/>
      <c r="Q199" s="9"/>
      <c r="R199" s="9"/>
    </row>
    <row r="200">
      <c r="P200" s="9"/>
      <c r="Q200" s="9"/>
      <c r="R200" s="9"/>
    </row>
    <row r="201">
      <c r="P201" s="9"/>
      <c r="Q201" s="9"/>
      <c r="R201" s="9"/>
    </row>
    <row r="202">
      <c r="P202" s="9"/>
      <c r="Q202" s="9"/>
      <c r="R202" s="9"/>
    </row>
    <row r="203">
      <c r="P203" s="9"/>
      <c r="Q203" s="9"/>
      <c r="R203" s="9"/>
    </row>
    <row r="204">
      <c r="P204" s="9"/>
      <c r="Q204" s="9"/>
      <c r="R204" s="9"/>
    </row>
    <row r="205">
      <c r="P205" s="9"/>
      <c r="Q205" s="9"/>
      <c r="R205" s="9"/>
    </row>
    <row r="206">
      <c r="P206" s="9"/>
      <c r="Q206" s="9"/>
      <c r="R206" s="9"/>
    </row>
    <row r="207">
      <c r="P207" s="9"/>
      <c r="Q207" s="9"/>
      <c r="R207" s="9"/>
    </row>
    <row r="208">
      <c r="P208" s="9"/>
      <c r="Q208" s="9"/>
      <c r="R208" s="9"/>
    </row>
    <row r="209">
      <c r="P209" s="9"/>
      <c r="Q209" s="9"/>
      <c r="R209" s="9"/>
    </row>
    <row r="210">
      <c r="P210" s="9"/>
      <c r="Q210" s="9"/>
      <c r="R210" s="9"/>
    </row>
    <row r="211">
      <c r="P211" s="9"/>
      <c r="Q211" s="9"/>
      <c r="R211" s="9"/>
    </row>
    <row r="212">
      <c r="P212" s="9"/>
      <c r="Q212" s="9"/>
      <c r="R212" s="9"/>
    </row>
    <row r="213">
      <c r="P213" s="9"/>
      <c r="Q213" s="9"/>
      <c r="R213" s="9"/>
    </row>
    <row r="214">
      <c r="P214" s="9"/>
      <c r="Q214" s="9"/>
      <c r="R214" s="9"/>
    </row>
    <row r="215">
      <c r="P215" s="9"/>
      <c r="Q215" s="9"/>
      <c r="R215" s="9"/>
    </row>
    <row r="216">
      <c r="P216" s="9"/>
      <c r="Q216" s="9"/>
      <c r="R216" s="9"/>
    </row>
    <row r="217">
      <c r="P217" s="9"/>
      <c r="Q217" s="9"/>
      <c r="R217" s="9"/>
    </row>
    <row r="218">
      <c r="P218" s="9"/>
      <c r="Q218" s="9"/>
      <c r="R218" s="9"/>
    </row>
    <row r="219">
      <c r="P219" s="9"/>
      <c r="Q219" s="9"/>
      <c r="R219" s="9"/>
    </row>
    <row r="220">
      <c r="P220" s="9"/>
      <c r="Q220" s="9"/>
      <c r="R220" s="9"/>
    </row>
    <row r="221">
      <c r="P221" s="9"/>
      <c r="Q221" s="9"/>
      <c r="R221" s="9"/>
    </row>
    <row r="222">
      <c r="P222" s="9"/>
      <c r="Q222" s="9"/>
      <c r="R222" s="9"/>
    </row>
    <row r="223">
      <c r="P223" s="9"/>
      <c r="Q223" s="9"/>
      <c r="R223" s="9"/>
    </row>
    <row r="224">
      <c r="P224" s="9"/>
      <c r="Q224" s="9"/>
      <c r="R224" s="9"/>
    </row>
    <row r="225">
      <c r="P225" s="9"/>
      <c r="Q225" s="9"/>
      <c r="R225" s="9"/>
    </row>
    <row r="226">
      <c r="P226" s="9"/>
      <c r="Q226" s="9"/>
      <c r="R226" s="9"/>
    </row>
    <row r="227">
      <c r="P227" s="9"/>
      <c r="Q227" s="9"/>
      <c r="R227" s="9"/>
    </row>
    <row r="228">
      <c r="P228" s="9"/>
      <c r="Q228" s="9"/>
      <c r="R228" s="9"/>
    </row>
    <row r="229">
      <c r="P229" s="9"/>
      <c r="Q229" s="9"/>
      <c r="R229" s="9"/>
    </row>
    <row r="230">
      <c r="P230" s="9"/>
      <c r="Q230" s="9"/>
      <c r="R230" s="9"/>
    </row>
    <row r="231">
      <c r="P231" s="9"/>
      <c r="Q231" s="9"/>
      <c r="R231" s="9"/>
    </row>
    <row r="232">
      <c r="P232" s="9"/>
      <c r="Q232" s="9"/>
      <c r="R232" s="9"/>
    </row>
    <row r="233">
      <c r="P233" s="9"/>
      <c r="Q233" s="9"/>
      <c r="R233" s="9"/>
    </row>
    <row r="234">
      <c r="P234" s="9"/>
      <c r="Q234" s="9"/>
      <c r="R234" s="9"/>
    </row>
    <row r="235">
      <c r="P235" s="9"/>
      <c r="Q235" s="9"/>
      <c r="R235" s="9"/>
    </row>
    <row r="236">
      <c r="P236" s="9"/>
      <c r="Q236" s="9"/>
      <c r="R236" s="9"/>
    </row>
    <row r="237">
      <c r="P237" s="9"/>
      <c r="Q237" s="9"/>
      <c r="R237" s="9"/>
    </row>
    <row r="238">
      <c r="P238" s="9"/>
      <c r="Q238" s="9"/>
      <c r="R238" s="9"/>
    </row>
    <row r="239">
      <c r="P239" s="9"/>
      <c r="Q239" s="9"/>
      <c r="R239" s="9"/>
    </row>
    <row r="240">
      <c r="P240" s="9"/>
      <c r="Q240" s="9"/>
      <c r="R240" s="9"/>
    </row>
    <row r="241">
      <c r="P241" s="9"/>
      <c r="Q241" s="9"/>
      <c r="R241" s="9"/>
    </row>
    <row r="242">
      <c r="P242" s="9"/>
      <c r="Q242" s="9"/>
      <c r="R242" s="9"/>
    </row>
    <row r="243">
      <c r="P243" s="9"/>
      <c r="Q243" s="9"/>
      <c r="R243" s="9"/>
    </row>
    <row r="244">
      <c r="P244" s="9"/>
      <c r="Q244" s="9"/>
      <c r="R244" s="9"/>
    </row>
    <row r="245">
      <c r="P245" s="9"/>
      <c r="Q245" s="9"/>
      <c r="R245" s="9"/>
    </row>
    <row r="246">
      <c r="P246" s="9"/>
      <c r="Q246" s="9"/>
      <c r="R246" s="9"/>
    </row>
    <row r="247">
      <c r="P247" s="9"/>
      <c r="Q247" s="9"/>
      <c r="R247" s="9"/>
    </row>
    <row r="248">
      <c r="P248" s="9"/>
      <c r="Q248" s="9"/>
      <c r="R248" s="9"/>
    </row>
    <row r="249">
      <c r="P249" s="9"/>
      <c r="Q249" s="9"/>
      <c r="R249" s="9"/>
    </row>
    <row r="250">
      <c r="P250" s="9"/>
      <c r="Q250" s="9"/>
      <c r="R250" s="9"/>
    </row>
    <row r="251">
      <c r="P251" s="9"/>
      <c r="Q251" s="9"/>
      <c r="R251" s="9"/>
    </row>
    <row r="252">
      <c r="P252" s="9"/>
      <c r="Q252" s="9"/>
      <c r="R252" s="9"/>
    </row>
    <row r="253">
      <c r="P253" s="9"/>
      <c r="Q253" s="9"/>
      <c r="R253" s="9"/>
    </row>
    <row r="254">
      <c r="P254" s="9"/>
      <c r="Q254" s="9"/>
      <c r="R254" s="9"/>
    </row>
    <row r="255">
      <c r="P255" s="9"/>
      <c r="Q255" s="9"/>
      <c r="R255" s="9"/>
    </row>
    <row r="256">
      <c r="P256" s="9"/>
      <c r="Q256" s="9"/>
      <c r="R256" s="9"/>
    </row>
    <row r="257">
      <c r="P257" s="9"/>
      <c r="Q257" s="9"/>
      <c r="R257" s="9"/>
    </row>
    <row r="258">
      <c r="P258" s="9"/>
      <c r="Q258" s="9"/>
      <c r="R258" s="9"/>
    </row>
    <row r="259">
      <c r="P259" s="9"/>
      <c r="Q259" s="9"/>
      <c r="R259" s="9"/>
    </row>
    <row r="260">
      <c r="P260" s="9"/>
      <c r="Q260" s="9"/>
      <c r="R260" s="9"/>
    </row>
    <row r="261">
      <c r="P261" s="9"/>
      <c r="Q261" s="9"/>
      <c r="R261" s="9"/>
    </row>
    <row r="262">
      <c r="P262" s="9"/>
      <c r="Q262" s="9"/>
      <c r="R262" s="9"/>
    </row>
    <row r="263">
      <c r="P263" s="9"/>
      <c r="Q263" s="9"/>
      <c r="R263" s="9"/>
    </row>
    <row r="264">
      <c r="P264" s="9"/>
      <c r="Q264" s="9"/>
      <c r="R264" s="9"/>
    </row>
    <row r="265">
      <c r="P265" s="9"/>
      <c r="Q265" s="9"/>
      <c r="R265" s="9"/>
    </row>
    <row r="266">
      <c r="P266" s="9"/>
      <c r="Q266" s="9"/>
      <c r="R266" s="9"/>
    </row>
    <row r="267">
      <c r="P267" s="9"/>
      <c r="Q267" s="9"/>
      <c r="R267" s="9"/>
    </row>
    <row r="268">
      <c r="P268" s="9"/>
      <c r="Q268" s="9"/>
      <c r="R268" s="9"/>
    </row>
    <row r="269">
      <c r="P269" s="9"/>
      <c r="Q269" s="9"/>
      <c r="R269" s="9"/>
    </row>
    <row r="270">
      <c r="P270" s="9"/>
      <c r="Q270" s="9"/>
      <c r="R270" s="9"/>
    </row>
    <row r="271">
      <c r="P271" s="9"/>
      <c r="Q271" s="9"/>
      <c r="R271" s="9"/>
    </row>
    <row r="272">
      <c r="P272" s="9"/>
      <c r="Q272" s="9"/>
      <c r="R272" s="9"/>
    </row>
    <row r="273">
      <c r="P273" s="9"/>
      <c r="Q273" s="9"/>
      <c r="R273" s="9"/>
    </row>
    <row r="274">
      <c r="P274" s="9"/>
      <c r="Q274" s="9"/>
      <c r="R274" s="9"/>
    </row>
    <row r="275">
      <c r="P275" s="9"/>
      <c r="Q275" s="9"/>
      <c r="R275" s="9"/>
    </row>
    <row r="276">
      <c r="P276" s="9"/>
      <c r="Q276" s="9"/>
      <c r="R276" s="9"/>
    </row>
    <row r="277">
      <c r="P277" s="9"/>
      <c r="Q277" s="9"/>
      <c r="R277" s="9"/>
    </row>
    <row r="278">
      <c r="P278" s="9"/>
      <c r="Q278" s="9"/>
      <c r="R278" s="9"/>
    </row>
    <row r="279">
      <c r="P279" s="9"/>
      <c r="Q279" s="9"/>
      <c r="R279" s="9"/>
    </row>
    <row r="280">
      <c r="P280" s="9"/>
      <c r="Q280" s="9"/>
      <c r="R280" s="9"/>
    </row>
    <row r="281">
      <c r="P281" s="9"/>
      <c r="Q281" s="9"/>
      <c r="R281" s="9"/>
    </row>
    <row r="282">
      <c r="P282" s="9"/>
      <c r="Q282" s="9"/>
      <c r="R282" s="9"/>
    </row>
    <row r="283">
      <c r="P283" s="9"/>
      <c r="Q283" s="9"/>
      <c r="R283" s="9"/>
    </row>
    <row r="284">
      <c r="P284" s="9"/>
      <c r="Q284" s="9"/>
      <c r="R284" s="9"/>
    </row>
    <row r="285">
      <c r="P285" s="9"/>
      <c r="Q285" s="9"/>
      <c r="R285" s="9"/>
    </row>
    <row r="286">
      <c r="P286" s="9"/>
      <c r="Q286" s="9"/>
      <c r="R286" s="9"/>
    </row>
    <row r="287">
      <c r="P287" s="9"/>
      <c r="Q287" s="9"/>
      <c r="R287" s="9"/>
    </row>
    <row r="288">
      <c r="P288" s="9"/>
      <c r="Q288" s="9"/>
      <c r="R288" s="9"/>
    </row>
    <row r="289">
      <c r="P289" s="9"/>
      <c r="Q289" s="9"/>
      <c r="R289" s="9"/>
    </row>
    <row r="290">
      <c r="P290" s="9"/>
      <c r="Q290" s="9"/>
      <c r="R290" s="9"/>
    </row>
    <row r="291">
      <c r="P291" s="9"/>
      <c r="Q291" s="9"/>
      <c r="R291" s="9"/>
    </row>
    <row r="292">
      <c r="P292" s="9"/>
      <c r="Q292" s="9"/>
      <c r="R292" s="9"/>
    </row>
    <row r="293">
      <c r="P293" s="9"/>
      <c r="Q293" s="9"/>
      <c r="R293" s="9"/>
    </row>
    <row r="294">
      <c r="P294" s="9"/>
      <c r="Q294" s="9"/>
      <c r="R294" s="9"/>
    </row>
    <row r="295">
      <c r="P295" s="9"/>
      <c r="Q295" s="9"/>
      <c r="R295" s="9"/>
    </row>
    <row r="296">
      <c r="P296" s="9"/>
      <c r="Q296" s="9"/>
      <c r="R296" s="9"/>
    </row>
    <row r="297">
      <c r="P297" s="9"/>
      <c r="Q297" s="9"/>
      <c r="R297" s="9"/>
    </row>
    <row r="298">
      <c r="P298" s="9"/>
      <c r="Q298" s="9"/>
      <c r="R298" s="9"/>
    </row>
    <row r="299">
      <c r="P299" s="9"/>
      <c r="Q299" s="9"/>
      <c r="R299" s="9"/>
    </row>
    <row r="300">
      <c r="P300" s="9"/>
      <c r="Q300" s="9"/>
      <c r="R300" s="9"/>
    </row>
    <row r="301">
      <c r="P301" s="9"/>
      <c r="Q301" s="9"/>
      <c r="R301" s="9"/>
    </row>
    <row r="302">
      <c r="P302" s="9"/>
      <c r="Q302" s="9"/>
      <c r="R302" s="9"/>
    </row>
    <row r="303">
      <c r="P303" s="9"/>
      <c r="Q303" s="9"/>
      <c r="R303" s="9"/>
    </row>
    <row r="304">
      <c r="P304" s="9"/>
      <c r="Q304" s="9"/>
      <c r="R304" s="9"/>
    </row>
    <row r="305">
      <c r="P305" s="9"/>
      <c r="Q305" s="9"/>
      <c r="R305" s="9"/>
    </row>
    <row r="306">
      <c r="P306" s="9"/>
      <c r="Q306" s="9"/>
      <c r="R306" s="9"/>
    </row>
    <row r="307">
      <c r="P307" s="9"/>
      <c r="Q307" s="9"/>
      <c r="R307" s="9"/>
    </row>
    <row r="308">
      <c r="P308" s="9"/>
      <c r="Q308" s="9"/>
      <c r="R308" s="9"/>
    </row>
    <row r="309">
      <c r="P309" s="9"/>
      <c r="Q309" s="9"/>
      <c r="R309" s="9"/>
    </row>
    <row r="310">
      <c r="P310" s="9"/>
      <c r="Q310" s="9"/>
      <c r="R310" s="9"/>
    </row>
    <row r="311">
      <c r="P311" s="9"/>
      <c r="Q311" s="9"/>
      <c r="R311" s="9"/>
    </row>
    <row r="312">
      <c r="P312" s="9"/>
      <c r="Q312" s="9"/>
      <c r="R312" s="9"/>
    </row>
    <row r="313">
      <c r="P313" s="9"/>
      <c r="Q313" s="9"/>
      <c r="R313" s="9"/>
    </row>
    <row r="314">
      <c r="P314" s="9"/>
      <c r="Q314" s="9"/>
      <c r="R314" s="9"/>
    </row>
    <row r="315">
      <c r="P315" s="9"/>
      <c r="Q315" s="9"/>
      <c r="R315" s="9"/>
    </row>
    <row r="316">
      <c r="P316" s="9"/>
      <c r="Q316" s="9"/>
      <c r="R316" s="9"/>
    </row>
    <row r="317">
      <c r="P317" s="9"/>
      <c r="Q317" s="9"/>
      <c r="R317" s="9"/>
    </row>
    <row r="318">
      <c r="P318" s="9"/>
      <c r="Q318" s="9"/>
      <c r="R318" s="9"/>
    </row>
    <row r="319">
      <c r="P319" s="9"/>
      <c r="Q319" s="9"/>
      <c r="R319" s="9"/>
    </row>
    <row r="320">
      <c r="P320" s="9"/>
      <c r="Q320" s="9"/>
      <c r="R320" s="9"/>
    </row>
    <row r="321">
      <c r="P321" s="9"/>
      <c r="Q321" s="9"/>
      <c r="R321" s="9"/>
    </row>
    <row r="322">
      <c r="P322" s="9"/>
      <c r="Q322" s="9"/>
      <c r="R322" s="9"/>
    </row>
    <row r="323">
      <c r="P323" s="9"/>
      <c r="Q323" s="9"/>
      <c r="R323" s="9"/>
    </row>
    <row r="324">
      <c r="P324" s="9"/>
      <c r="Q324" s="9"/>
      <c r="R324" s="9"/>
    </row>
    <row r="325">
      <c r="P325" s="9"/>
      <c r="Q325" s="9"/>
      <c r="R325" s="9"/>
    </row>
    <row r="326">
      <c r="P326" s="9"/>
      <c r="Q326" s="9"/>
      <c r="R326" s="9"/>
    </row>
    <row r="327">
      <c r="P327" s="9"/>
      <c r="Q327" s="9"/>
      <c r="R327" s="9"/>
    </row>
    <row r="328">
      <c r="P328" s="9"/>
      <c r="Q328" s="9"/>
      <c r="R328" s="9"/>
    </row>
    <row r="329">
      <c r="P329" s="9"/>
      <c r="Q329" s="9"/>
      <c r="R329" s="9"/>
    </row>
    <row r="330">
      <c r="P330" s="9"/>
      <c r="Q330" s="9"/>
      <c r="R330" s="9"/>
    </row>
    <row r="331">
      <c r="P331" s="9"/>
      <c r="Q331" s="9"/>
      <c r="R331" s="9"/>
    </row>
    <row r="332">
      <c r="P332" s="9"/>
      <c r="Q332" s="9"/>
      <c r="R332" s="9"/>
    </row>
    <row r="333">
      <c r="P333" s="9"/>
      <c r="Q333" s="9"/>
      <c r="R333" s="9"/>
    </row>
    <row r="334">
      <c r="P334" s="9"/>
      <c r="Q334" s="9"/>
      <c r="R334" s="9"/>
    </row>
    <row r="335">
      <c r="P335" s="9"/>
      <c r="Q335" s="9"/>
      <c r="R335" s="9"/>
    </row>
    <row r="336">
      <c r="P336" s="9"/>
      <c r="Q336" s="9"/>
      <c r="R336" s="9"/>
    </row>
    <row r="337">
      <c r="P337" s="9"/>
      <c r="Q337" s="9"/>
      <c r="R337" s="9"/>
    </row>
    <row r="338">
      <c r="P338" s="9"/>
      <c r="Q338" s="9"/>
      <c r="R338" s="9"/>
    </row>
    <row r="339">
      <c r="P339" s="9"/>
      <c r="Q339" s="9"/>
      <c r="R339" s="9"/>
    </row>
    <row r="340">
      <c r="P340" s="9"/>
      <c r="Q340" s="9"/>
      <c r="R340" s="9"/>
    </row>
    <row r="341">
      <c r="P341" s="9"/>
      <c r="Q341" s="9"/>
      <c r="R341" s="9"/>
    </row>
    <row r="342">
      <c r="P342" s="9"/>
      <c r="Q342" s="9"/>
      <c r="R342" s="9"/>
    </row>
    <row r="343">
      <c r="P343" s="9"/>
      <c r="Q343" s="9"/>
      <c r="R343" s="9"/>
    </row>
    <row r="344">
      <c r="P344" s="9"/>
      <c r="Q344" s="9"/>
      <c r="R344" s="9"/>
    </row>
    <row r="345">
      <c r="P345" s="9"/>
      <c r="Q345" s="9"/>
      <c r="R345" s="9"/>
    </row>
    <row r="346">
      <c r="P346" s="9"/>
      <c r="Q346" s="9"/>
      <c r="R346" s="9"/>
    </row>
    <row r="347">
      <c r="P347" s="9"/>
      <c r="Q347" s="9"/>
      <c r="R347" s="9"/>
    </row>
    <row r="348">
      <c r="P348" s="9"/>
      <c r="Q348" s="9"/>
      <c r="R348" s="9"/>
    </row>
    <row r="349">
      <c r="P349" s="9"/>
      <c r="Q349" s="9"/>
      <c r="R349" s="9"/>
    </row>
    <row r="350">
      <c r="P350" s="9"/>
      <c r="Q350" s="9"/>
      <c r="R350" s="9"/>
    </row>
    <row r="351">
      <c r="P351" s="9"/>
      <c r="Q351" s="9"/>
      <c r="R351" s="9"/>
    </row>
    <row r="352">
      <c r="P352" s="9"/>
      <c r="Q352" s="9"/>
      <c r="R352" s="9"/>
    </row>
    <row r="353">
      <c r="P353" s="9"/>
      <c r="Q353" s="9"/>
      <c r="R353" s="9"/>
    </row>
    <row r="354">
      <c r="P354" s="9"/>
      <c r="Q354" s="9"/>
      <c r="R354" s="9"/>
    </row>
    <row r="355">
      <c r="P355" s="9"/>
      <c r="Q355" s="9"/>
      <c r="R355" s="9"/>
    </row>
    <row r="356">
      <c r="P356" s="9"/>
      <c r="Q356" s="9"/>
      <c r="R356" s="9"/>
    </row>
    <row r="357">
      <c r="P357" s="9"/>
      <c r="Q357" s="9"/>
      <c r="R357" s="9"/>
    </row>
    <row r="358">
      <c r="P358" s="9"/>
      <c r="Q358" s="9"/>
      <c r="R358" s="9"/>
    </row>
    <row r="359">
      <c r="P359" s="9"/>
      <c r="Q359" s="9"/>
      <c r="R359" s="9"/>
    </row>
    <row r="360">
      <c r="P360" s="9"/>
      <c r="Q360" s="9"/>
      <c r="R360" s="9"/>
    </row>
    <row r="361">
      <c r="P361" s="9"/>
      <c r="Q361" s="9"/>
      <c r="R361" s="9"/>
    </row>
    <row r="362">
      <c r="P362" s="9"/>
      <c r="Q362" s="9"/>
      <c r="R362" s="9"/>
    </row>
    <row r="363">
      <c r="P363" s="9"/>
      <c r="Q363" s="9"/>
      <c r="R363" s="9"/>
    </row>
    <row r="364">
      <c r="P364" s="9"/>
      <c r="Q364" s="9"/>
      <c r="R364" s="9"/>
    </row>
    <row r="365">
      <c r="P365" s="9"/>
      <c r="Q365" s="9"/>
      <c r="R365" s="9"/>
    </row>
    <row r="366">
      <c r="P366" s="9"/>
      <c r="Q366" s="9"/>
      <c r="R366" s="9"/>
    </row>
    <row r="367">
      <c r="P367" s="9"/>
      <c r="Q367" s="9"/>
      <c r="R367" s="9"/>
    </row>
    <row r="368">
      <c r="P368" s="9"/>
      <c r="Q368" s="9"/>
      <c r="R368" s="9"/>
    </row>
    <row r="369">
      <c r="P369" s="9"/>
      <c r="Q369" s="9"/>
      <c r="R369" s="9"/>
    </row>
    <row r="370">
      <c r="P370" s="9"/>
      <c r="Q370" s="9"/>
      <c r="R370" s="9"/>
    </row>
    <row r="371">
      <c r="P371" s="9"/>
      <c r="Q371" s="9"/>
      <c r="R371" s="9"/>
    </row>
    <row r="372">
      <c r="P372" s="9"/>
      <c r="Q372" s="9"/>
      <c r="R372" s="9"/>
    </row>
    <row r="373">
      <c r="P373" s="9"/>
      <c r="Q373" s="9"/>
      <c r="R373" s="9"/>
    </row>
    <row r="374">
      <c r="P374" s="9"/>
      <c r="Q374" s="9"/>
      <c r="R374" s="9"/>
    </row>
    <row r="375">
      <c r="P375" s="9"/>
      <c r="Q375" s="9"/>
      <c r="R375" s="9"/>
    </row>
    <row r="376">
      <c r="P376" s="9"/>
      <c r="Q376" s="9"/>
      <c r="R376" s="9"/>
    </row>
    <row r="377">
      <c r="P377" s="9"/>
      <c r="Q377" s="9"/>
      <c r="R377" s="9"/>
    </row>
    <row r="378">
      <c r="P378" s="9"/>
      <c r="Q378" s="9"/>
      <c r="R378" s="9"/>
    </row>
    <row r="379">
      <c r="P379" s="9"/>
      <c r="Q379" s="9"/>
      <c r="R379" s="9"/>
    </row>
    <row r="380">
      <c r="P380" s="9"/>
      <c r="Q380" s="9"/>
      <c r="R380" s="9"/>
    </row>
    <row r="381">
      <c r="P381" s="9"/>
      <c r="Q381" s="9"/>
      <c r="R381" s="9"/>
    </row>
    <row r="382">
      <c r="P382" s="9"/>
      <c r="Q382" s="9"/>
      <c r="R382" s="9"/>
    </row>
    <row r="383">
      <c r="P383" s="9"/>
      <c r="Q383" s="9"/>
      <c r="R383" s="9"/>
    </row>
    <row r="384">
      <c r="P384" s="9"/>
      <c r="Q384" s="9"/>
      <c r="R384" s="9"/>
    </row>
    <row r="385">
      <c r="P385" s="9"/>
      <c r="Q385" s="9"/>
      <c r="R385" s="9"/>
    </row>
    <row r="386">
      <c r="P386" s="9"/>
      <c r="Q386" s="9"/>
      <c r="R386" s="9"/>
    </row>
    <row r="387">
      <c r="P387" s="9"/>
      <c r="Q387" s="9"/>
      <c r="R387" s="9"/>
    </row>
    <row r="388">
      <c r="P388" s="9"/>
      <c r="Q388" s="9"/>
      <c r="R388" s="9"/>
    </row>
    <row r="389">
      <c r="P389" s="9"/>
      <c r="Q389" s="9"/>
      <c r="R389" s="9"/>
    </row>
    <row r="390">
      <c r="P390" s="9"/>
      <c r="Q390" s="9"/>
      <c r="R390" s="9"/>
    </row>
    <row r="391">
      <c r="P391" s="9"/>
      <c r="Q391" s="9"/>
      <c r="R391" s="9"/>
    </row>
    <row r="392">
      <c r="P392" s="9"/>
      <c r="Q392" s="9"/>
      <c r="R392" s="9"/>
    </row>
    <row r="393">
      <c r="P393" s="9"/>
      <c r="Q393" s="9"/>
      <c r="R393" s="9"/>
    </row>
    <row r="394">
      <c r="P394" s="9"/>
      <c r="Q394" s="9"/>
      <c r="R394" s="9"/>
    </row>
    <row r="395">
      <c r="P395" s="9"/>
      <c r="Q395" s="9"/>
      <c r="R395" s="9"/>
    </row>
    <row r="396">
      <c r="P396" s="9"/>
      <c r="Q396" s="9"/>
      <c r="R396" s="9"/>
    </row>
    <row r="397">
      <c r="P397" s="9"/>
      <c r="Q397" s="9"/>
      <c r="R397" s="9"/>
    </row>
    <row r="398">
      <c r="P398" s="9"/>
      <c r="Q398" s="9"/>
      <c r="R398" s="9"/>
    </row>
    <row r="399">
      <c r="P399" s="9"/>
      <c r="Q399" s="9"/>
      <c r="R399" s="9"/>
    </row>
    <row r="400">
      <c r="P400" s="9"/>
      <c r="Q400" s="9"/>
      <c r="R400" s="9"/>
    </row>
    <row r="401">
      <c r="P401" s="9"/>
      <c r="Q401" s="9"/>
      <c r="R401" s="9"/>
    </row>
    <row r="402">
      <c r="P402" s="9"/>
      <c r="Q402" s="9"/>
      <c r="R402" s="9"/>
    </row>
    <row r="403">
      <c r="P403" s="9"/>
      <c r="Q403" s="9"/>
      <c r="R403" s="9"/>
    </row>
    <row r="404">
      <c r="P404" s="9"/>
      <c r="Q404" s="9"/>
      <c r="R404" s="9"/>
    </row>
    <row r="405">
      <c r="P405" s="9"/>
      <c r="Q405" s="9"/>
      <c r="R405" s="9"/>
    </row>
    <row r="406">
      <c r="P406" s="9"/>
      <c r="Q406" s="9"/>
      <c r="R406" s="9"/>
    </row>
    <row r="407">
      <c r="P407" s="9"/>
      <c r="Q407" s="9"/>
      <c r="R407" s="9"/>
    </row>
    <row r="408">
      <c r="P408" s="9"/>
      <c r="Q408" s="9"/>
      <c r="R408" s="9"/>
    </row>
    <row r="409">
      <c r="P409" s="9"/>
      <c r="Q409" s="9"/>
      <c r="R409" s="9"/>
    </row>
    <row r="410">
      <c r="P410" s="9"/>
      <c r="Q410" s="9"/>
      <c r="R410" s="9"/>
    </row>
    <row r="411">
      <c r="P411" s="9"/>
      <c r="Q411" s="9"/>
      <c r="R411" s="9"/>
    </row>
    <row r="412">
      <c r="P412" s="9"/>
      <c r="Q412" s="9"/>
      <c r="R412" s="9"/>
    </row>
    <row r="413">
      <c r="P413" s="9"/>
      <c r="Q413" s="9"/>
      <c r="R413" s="9"/>
    </row>
    <row r="414">
      <c r="P414" s="9"/>
      <c r="Q414" s="9"/>
      <c r="R414" s="9"/>
    </row>
    <row r="415">
      <c r="P415" s="9"/>
      <c r="Q415" s="9"/>
      <c r="R415" s="9"/>
    </row>
    <row r="416">
      <c r="P416" s="9"/>
      <c r="Q416" s="9"/>
      <c r="R416" s="9"/>
    </row>
    <row r="417">
      <c r="P417" s="9"/>
      <c r="Q417" s="9"/>
      <c r="R417" s="9"/>
    </row>
    <row r="418">
      <c r="P418" s="9"/>
      <c r="Q418" s="9"/>
      <c r="R418" s="9"/>
    </row>
    <row r="419">
      <c r="P419" s="9"/>
      <c r="Q419" s="9"/>
      <c r="R419" s="9"/>
    </row>
    <row r="420">
      <c r="P420" s="9"/>
      <c r="Q420" s="9"/>
      <c r="R420" s="9"/>
    </row>
    <row r="421">
      <c r="P421" s="9"/>
      <c r="Q421" s="9"/>
      <c r="R421" s="9"/>
    </row>
    <row r="422">
      <c r="P422" s="9"/>
      <c r="Q422" s="9"/>
      <c r="R422" s="9"/>
    </row>
    <row r="423">
      <c r="P423" s="9"/>
      <c r="Q423" s="9"/>
      <c r="R423" s="9"/>
    </row>
    <row r="424">
      <c r="P424" s="9"/>
      <c r="Q424" s="9"/>
      <c r="R424" s="9"/>
    </row>
    <row r="425">
      <c r="P425" s="9"/>
      <c r="Q425" s="9"/>
      <c r="R425" s="9"/>
    </row>
    <row r="426">
      <c r="P426" s="9"/>
      <c r="Q426" s="9"/>
      <c r="R426" s="9"/>
    </row>
    <row r="427">
      <c r="P427" s="9"/>
      <c r="Q427" s="9"/>
      <c r="R427" s="9"/>
    </row>
    <row r="428">
      <c r="P428" s="9"/>
      <c r="Q428" s="9"/>
      <c r="R428" s="9"/>
    </row>
    <row r="429">
      <c r="P429" s="9"/>
      <c r="Q429" s="9"/>
      <c r="R429" s="9"/>
    </row>
    <row r="430">
      <c r="P430" s="9"/>
      <c r="Q430" s="9"/>
      <c r="R430" s="9"/>
    </row>
    <row r="431">
      <c r="P431" s="9"/>
      <c r="Q431" s="9"/>
      <c r="R431" s="9"/>
    </row>
    <row r="432">
      <c r="P432" s="9"/>
      <c r="Q432" s="9"/>
      <c r="R432" s="9"/>
    </row>
    <row r="433">
      <c r="P433" s="9"/>
      <c r="Q433" s="9"/>
      <c r="R433" s="9"/>
    </row>
    <row r="434">
      <c r="P434" s="9"/>
      <c r="Q434" s="9"/>
      <c r="R434" s="9"/>
    </row>
    <row r="435">
      <c r="P435" s="9"/>
      <c r="Q435" s="9"/>
      <c r="R435" s="9"/>
    </row>
    <row r="436">
      <c r="P436" s="9"/>
      <c r="Q436" s="9"/>
      <c r="R436" s="9"/>
    </row>
    <row r="437">
      <c r="P437" s="9"/>
      <c r="Q437" s="9"/>
      <c r="R437" s="9"/>
    </row>
    <row r="438">
      <c r="P438" s="9"/>
      <c r="Q438" s="9"/>
      <c r="R438" s="9"/>
    </row>
    <row r="439">
      <c r="P439" s="9"/>
      <c r="Q439" s="9"/>
      <c r="R439" s="9"/>
    </row>
    <row r="440">
      <c r="P440" s="9"/>
      <c r="Q440" s="9"/>
      <c r="R440" s="9"/>
    </row>
    <row r="441">
      <c r="P441" s="9"/>
      <c r="Q441" s="9"/>
      <c r="R441" s="9"/>
    </row>
    <row r="442">
      <c r="P442" s="9"/>
      <c r="Q442" s="9"/>
      <c r="R442" s="9"/>
    </row>
    <row r="443">
      <c r="P443" s="9"/>
      <c r="Q443" s="9"/>
      <c r="R443" s="9"/>
    </row>
    <row r="444">
      <c r="P444" s="9"/>
      <c r="Q444" s="9"/>
      <c r="R444" s="9"/>
    </row>
    <row r="445">
      <c r="P445" s="9"/>
      <c r="Q445" s="9"/>
      <c r="R445" s="9"/>
    </row>
    <row r="446">
      <c r="P446" s="9"/>
      <c r="Q446" s="9"/>
      <c r="R446" s="9"/>
    </row>
    <row r="447">
      <c r="P447" s="9"/>
      <c r="Q447" s="9"/>
      <c r="R447" s="9"/>
    </row>
    <row r="448">
      <c r="P448" s="9"/>
      <c r="Q448" s="9"/>
      <c r="R448" s="9"/>
    </row>
    <row r="449">
      <c r="P449" s="9"/>
      <c r="Q449" s="9"/>
      <c r="R449" s="9"/>
    </row>
    <row r="450">
      <c r="P450" s="9"/>
      <c r="Q450" s="9"/>
      <c r="R450" s="9"/>
    </row>
    <row r="451">
      <c r="P451" s="9"/>
      <c r="Q451" s="9"/>
      <c r="R451" s="9"/>
    </row>
    <row r="452">
      <c r="P452" s="9"/>
      <c r="Q452" s="9"/>
      <c r="R452" s="9"/>
    </row>
    <row r="453">
      <c r="P453" s="9"/>
      <c r="Q453" s="9"/>
      <c r="R453" s="9"/>
    </row>
    <row r="454">
      <c r="P454" s="9"/>
      <c r="Q454" s="9"/>
      <c r="R454" s="9"/>
    </row>
    <row r="455">
      <c r="P455" s="9"/>
      <c r="Q455" s="9"/>
      <c r="R455" s="9"/>
    </row>
    <row r="456">
      <c r="P456" s="9"/>
      <c r="Q456" s="9"/>
      <c r="R456" s="9"/>
    </row>
    <row r="457">
      <c r="P457" s="9"/>
      <c r="Q457" s="9"/>
      <c r="R457" s="9"/>
    </row>
    <row r="458">
      <c r="P458" s="9"/>
      <c r="Q458" s="9"/>
      <c r="R458" s="9"/>
    </row>
    <row r="459">
      <c r="P459" s="9"/>
      <c r="Q459" s="9"/>
      <c r="R459" s="9"/>
    </row>
    <row r="460">
      <c r="P460" s="9"/>
      <c r="Q460" s="9"/>
      <c r="R460" s="9"/>
    </row>
    <row r="461">
      <c r="P461" s="9"/>
      <c r="Q461" s="9"/>
      <c r="R461" s="9"/>
    </row>
    <row r="462">
      <c r="P462" s="9"/>
      <c r="Q462" s="9"/>
      <c r="R462" s="9"/>
    </row>
    <row r="463">
      <c r="P463" s="9"/>
      <c r="Q463" s="9"/>
      <c r="R463" s="9"/>
    </row>
    <row r="464">
      <c r="P464" s="9"/>
      <c r="Q464" s="9"/>
      <c r="R464" s="9"/>
    </row>
    <row r="465">
      <c r="P465" s="9"/>
      <c r="Q465" s="9"/>
      <c r="R465" s="9"/>
    </row>
    <row r="466">
      <c r="P466" s="9"/>
      <c r="Q466" s="9"/>
      <c r="R466" s="9"/>
    </row>
    <row r="467">
      <c r="P467" s="9"/>
      <c r="Q467" s="9"/>
      <c r="R467" s="9"/>
    </row>
    <row r="468">
      <c r="P468" s="9"/>
      <c r="Q468" s="9"/>
      <c r="R468" s="9"/>
    </row>
    <row r="469">
      <c r="P469" s="9"/>
      <c r="Q469" s="9"/>
      <c r="R469" s="9"/>
    </row>
    <row r="470">
      <c r="P470" s="9"/>
      <c r="Q470" s="9"/>
      <c r="R470" s="9"/>
    </row>
    <row r="471">
      <c r="P471" s="9"/>
      <c r="Q471" s="9"/>
      <c r="R471" s="9"/>
    </row>
    <row r="472">
      <c r="P472" s="9"/>
      <c r="Q472" s="9"/>
      <c r="R472" s="9"/>
    </row>
    <row r="473">
      <c r="P473" s="9"/>
      <c r="Q473" s="9"/>
      <c r="R473" s="9"/>
    </row>
    <row r="474">
      <c r="P474" s="9"/>
      <c r="Q474" s="9"/>
      <c r="R474" s="9"/>
    </row>
    <row r="475">
      <c r="P475" s="9"/>
      <c r="Q475" s="9"/>
      <c r="R475" s="9"/>
    </row>
    <row r="476">
      <c r="P476" s="9"/>
      <c r="Q476" s="9"/>
      <c r="R476" s="9"/>
    </row>
    <row r="477">
      <c r="P477" s="9"/>
      <c r="Q477" s="9"/>
      <c r="R477" s="9"/>
    </row>
    <row r="478">
      <c r="P478" s="9"/>
      <c r="Q478" s="9"/>
      <c r="R478" s="9"/>
    </row>
    <row r="479">
      <c r="P479" s="9"/>
      <c r="Q479" s="9"/>
      <c r="R479" s="9"/>
    </row>
    <row r="480">
      <c r="P480" s="9"/>
      <c r="Q480" s="9"/>
      <c r="R480" s="9"/>
    </row>
    <row r="481">
      <c r="P481" s="9"/>
      <c r="Q481" s="9"/>
      <c r="R481" s="9"/>
    </row>
    <row r="482">
      <c r="P482" s="9"/>
      <c r="Q482" s="9"/>
      <c r="R482" s="9"/>
    </row>
    <row r="483">
      <c r="P483" s="9"/>
      <c r="Q483" s="9"/>
      <c r="R483" s="9"/>
    </row>
    <row r="484">
      <c r="P484" s="9"/>
      <c r="Q484" s="9"/>
      <c r="R484" s="9"/>
    </row>
    <row r="485">
      <c r="P485" s="9"/>
      <c r="Q485" s="9"/>
      <c r="R485" s="9"/>
    </row>
    <row r="486">
      <c r="P486" s="9"/>
      <c r="Q486" s="9"/>
      <c r="R486" s="9"/>
    </row>
    <row r="487">
      <c r="P487" s="9"/>
      <c r="Q487" s="9"/>
      <c r="R487" s="9"/>
    </row>
    <row r="488">
      <c r="P488" s="9"/>
      <c r="Q488" s="9"/>
      <c r="R488" s="9"/>
    </row>
    <row r="489">
      <c r="P489" s="9"/>
      <c r="Q489" s="9"/>
      <c r="R489" s="9"/>
    </row>
    <row r="490">
      <c r="P490" s="9"/>
      <c r="Q490" s="9"/>
      <c r="R490" s="9"/>
    </row>
    <row r="491">
      <c r="P491" s="9"/>
      <c r="Q491" s="9"/>
      <c r="R491" s="9"/>
    </row>
    <row r="492">
      <c r="P492" s="9"/>
      <c r="Q492" s="9"/>
      <c r="R492" s="9"/>
    </row>
    <row r="493">
      <c r="P493" s="9"/>
      <c r="Q493" s="9"/>
      <c r="R493" s="9"/>
    </row>
    <row r="494">
      <c r="P494" s="9"/>
      <c r="Q494" s="9"/>
      <c r="R494" s="9"/>
    </row>
    <row r="495">
      <c r="P495" s="9"/>
      <c r="Q495" s="9"/>
      <c r="R495" s="9"/>
    </row>
    <row r="496">
      <c r="P496" s="9"/>
      <c r="Q496" s="9"/>
      <c r="R496" s="9"/>
    </row>
    <row r="497">
      <c r="P497" s="9"/>
      <c r="Q497" s="9"/>
      <c r="R497" s="9"/>
    </row>
    <row r="498">
      <c r="P498" s="9"/>
      <c r="Q498" s="9"/>
      <c r="R498" s="9"/>
    </row>
    <row r="499">
      <c r="P499" s="9"/>
      <c r="Q499" s="9"/>
      <c r="R499" s="9"/>
    </row>
    <row r="500">
      <c r="P500" s="9"/>
      <c r="Q500" s="9"/>
      <c r="R500" s="9"/>
    </row>
    <row r="501">
      <c r="P501" s="9"/>
      <c r="Q501" s="9"/>
      <c r="R501" s="9"/>
    </row>
    <row r="502">
      <c r="P502" s="9"/>
      <c r="Q502" s="9"/>
      <c r="R502" s="9"/>
    </row>
    <row r="503">
      <c r="P503" s="9"/>
      <c r="Q503" s="9"/>
      <c r="R503" s="9"/>
    </row>
    <row r="504">
      <c r="P504" s="9"/>
      <c r="Q504" s="9"/>
      <c r="R504" s="9"/>
    </row>
    <row r="505">
      <c r="P505" s="9"/>
      <c r="Q505" s="9"/>
      <c r="R505" s="9"/>
    </row>
    <row r="506">
      <c r="P506" s="9"/>
      <c r="Q506" s="9"/>
      <c r="R506" s="9"/>
    </row>
    <row r="507">
      <c r="P507" s="9"/>
      <c r="Q507" s="9"/>
      <c r="R507" s="9"/>
    </row>
    <row r="508">
      <c r="P508" s="9"/>
      <c r="Q508" s="9"/>
      <c r="R508" s="9"/>
    </row>
    <row r="509">
      <c r="P509" s="9"/>
      <c r="Q509" s="9"/>
      <c r="R509" s="9"/>
    </row>
    <row r="510">
      <c r="P510" s="9"/>
      <c r="Q510" s="9"/>
      <c r="R510" s="9"/>
    </row>
    <row r="511">
      <c r="P511" s="9"/>
      <c r="Q511" s="9"/>
      <c r="R511" s="9"/>
    </row>
    <row r="512">
      <c r="P512" s="9"/>
      <c r="Q512" s="9"/>
      <c r="R512" s="9"/>
    </row>
    <row r="513">
      <c r="P513" s="9"/>
      <c r="Q513" s="9"/>
      <c r="R513" s="9"/>
    </row>
    <row r="514">
      <c r="P514" s="9"/>
      <c r="Q514" s="9"/>
      <c r="R514" s="9"/>
    </row>
    <row r="515">
      <c r="P515" s="9"/>
      <c r="Q515" s="9"/>
      <c r="R515" s="9"/>
    </row>
    <row r="516">
      <c r="P516" s="9"/>
      <c r="Q516" s="9"/>
      <c r="R516" s="9"/>
    </row>
    <row r="517">
      <c r="P517" s="9"/>
      <c r="Q517" s="9"/>
      <c r="R517" s="9"/>
    </row>
    <row r="518">
      <c r="P518" s="9"/>
      <c r="Q518" s="9"/>
      <c r="R518" s="9"/>
    </row>
    <row r="519">
      <c r="P519" s="9"/>
      <c r="Q519" s="9"/>
      <c r="R519" s="9"/>
    </row>
    <row r="520">
      <c r="P520" s="9"/>
      <c r="Q520" s="9"/>
      <c r="R520" s="9"/>
    </row>
    <row r="521">
      <c r="P521" s="9"/>
      <c r="Q521" s="9"/>
      <c r="R521" s="9"/>
    </row>
    <row r="522">
      <c r="P522" s="9"/>
      <c r="Q522" s="9"/>
      <c r="R522" s="9"/>
    </row>
    <row r="523">
      <c r="P523" s="9"/>
      <c r="Q523" s="9"/>
      <c r="R523" s="9"/>
    </row>
    <row r="524">
      <c r="P524" s="9"/>
      <c r="Q524" s="9"/>
      <c r="R524" s="9"/>
    </row>
    <row r="525">
      <c r="P525" s="9"/>
      <c r="Q525" s="9"/>
      <c r="R525" s="9"/>
    </row>
    <row r="526">
      <c r="P526" s="9"/>
      <c r="Q526" s="9"/>
      <c r="R526" s="9"/>
    </row>
    <row r="527">
      <c r="P527" s="9"/>
      <c r="Q527" s="9"/>
      <c r="R527" s="9"/>
    </row>
    <row r="528">
      <c r="P528" s="9"/>
      <c r="Q528" s="9"/>
      <c r="R528" s="9"/>
    </row>
    <row r="529">
      <c r="P529" s="9"/>
      <c r="Q529" s="9"/>
      <c r="R529" s="9"/>
    </row>
    <row r="530">
      <c r="P530" s="9"/>
      <c r="Q530" s="9"/>
      <c r="R530" s="9"/>
    </row>
    <row r="531">
      <c r="P531" s="9"/>
      <c r="Q531" s="9"/>
      <c r="R531" s="9"/>
    </row>
    <row r="532">
      <c r="P532" s="9"/>
      <c r="Q532" s="9"/>
      <c r="R532" s="9"/>
    </row>
    <row r="533">
      <c r="P533" s="9"/>
      <c r="Q533" s="9"/>
      <c r="R533" s="9"/>
    </row>
    <row r="534">
      <c r="P534" s="9"/>
      <c r="Q534" s="9"/>
      <c r="R534" s="9"/>
    </row>
    <row r="535">
      <c r="P535" s="9"/>
      <c r="Q535" s="9"/>
      <c r="R535" s="9"/>
    </row>
    <row r="536">
      <c r="P536" s="9"/>
      <c r="Q536" s="9"/>
      <c r="R536" s="9"/>
    </row>
    <row r="537">
      <c r="P537" s="9"/>
      <c r="Q537" s="9"/>
      <c r="R537" s="9"/>
    </row>
    <row r="538">
      <c r="P538" s="9"/>
      <c r="Q538" s="9"/>
      <c r="R538" s="9"/>
    </row>
    <row r="539">
      <c r="P539" s="9"/>
      <c r="Q539" s="9"/>
      <c r="R539" s="9"/>
    </row>
    <row r="540">
      <c r="P540" s="9"/>
      <c r="Q540" s="9"/>
      <c r="R540" s="9"/>
    </row>
    <row r="541">
      <c r="P541" s="9"/>
      <c r="Q541" s="9"/>
      <c r="R541" s="9"/>
    </row>
    <row r="542">
      <c r="P542" s="9"/>
      <c r="Q542" s="9"/>
      <c r="R542" s="9"/>
    </row>
    <row r="543">
      <c r="P543" s="9"/>
      <c r="Q543" s="9"/>
      <c r="R543" s="9"/>
    </row>
    <row r="544">
      <c r="P544" s="9"/>
      <c r="Q544" s="9"/>
      <c r="R544" s="9"/>
    </row>
    <row r="545">
      <c r="P545" s="9"/>
      <c r="Q545" s="9"/>
      <c r="R545" s="9"/>
    </row>
    <row r="546">
      <c r="P546" s="9"/>
      <c r="Q546" s="9"/>
      <c r="R546" s="9"/>
    </row>
    <row r="547">
      <c r="P547" s="9"/>
      <c r="Q547" s="9"/>
      <c r="R547" s="9"/>
    </row>
    <row r="548">
      <c r="P548" s="9"/>
      <c r="Q548" s="9"/>
      <c r="R548" s="9"/>
    </row>
    <row r="549">
      <c r="P549" s="9"/>
      <c r="Q549" s="9"/>
      <c r="R549" s="9"/>
    </row>
    <row r="550">
      <c r="P550" s="9"/>
      <c r="Q550" s="9"/>
      <c r="R550" s="9"/>
    </row>
    <row r="551">
      <c r="P551" s="9"/>
      <c r="Q551" s="9"/>
      <c r="R551" s="9"/>
    </row>
    <row r="552">
      <c r="P552" s="9"/>
      <c r="Q552" s="9"/>
      <c r="R552" s="9"/>
    </row>
    <row r="553">
      <c r="P553" s="9"/>
      <c r="Q553" s="9"/>
      <c r="R553" s="9"/>
    </row>
    <row r="554">
      <c r="P554" s="9"/>
      <c r="Q554" s="9"/>
      <c r="R554" s="9"/>
    </row>
    <row r="555">
      <c r="P555" s="9"/>
      <c r="Q555" s="9"/>
      <c r="R555" s="9"/>
    </row>
    <row r="556">
      <c r="P556" s="9"/>
      <c r="Q556" s="9"/>
      <c r="R556" s="9"/>
    </row>
    <row r="557">
      <c r="P557" s="9"/>
      <c r="Q557" s="9"/>
      <c r="R557" s="9"/>
    </row>
    <row r="558">
      <c r="P558" s="9"/>
      <c r="Q558" s="9"/>
      <c r="R558" s="9"/>
    </row>
    <row r="559">
      <c r="P559" s="9"/>
      <c r="Q559" s="9"/>
      <c r="R559" s="9"/>
    </row>
    <row r="560">
      <c r="P560" s="9"/>
      <c r="Q560" s="9"/>
      <c r="R560" s="9"/>
    </row>
    <row r="561">
      <c r="P561" s="9"/>
      <c r="Q561" s="9"/>
      <c r="R561" s="9"/>
    </row>
    <row r="562">
      <c r="P562" s="9"/>
      <c r="Q562" s="9"/>
      <c r="R562" s="9"/>
    </row>
    <row r="563">
      <c r="P563" s="9"/>
      <c r="Q563" s="9"/>
      <c r="R563" s="9"/>
    </row>
    <row r="564">
      <c r="P564" s="9"/>
      <c r="Q564" s="9"/>
      <c r="R564" s="9"/>
    </row>
    <row r="565">
      <c r="P565" s="9"/>
      <c r="Q565" s="9"/>
      <c r="R565" s="9"/>
    </row>
    <row r="566">
      <c r="P566" s="9"/>
      <c r="Q566" s="9"/>
      <c r="R566" s="9"/>
    </row>
    <row r="567">
      <c r="P567" s="9"/>
      <c r="Q567" s="9"/>
      <c r="R567" s="9"/>
    </row>
    <row r="568">
      <c r="P568" s="9"/>
      <c r="Q568" s="9"/>
      <c r="R568" s="9"/>
    </row>
    <row r="569">
      <c r="P569" s="9"/>
      <c r="Q569" s="9"/>
      <c r="R569" s="9"/>
    </row>
    <row r="570">
      <c r="P570" s="9"/>
      <c r="Q570" s="9"/>
      <c r="R570" s="9"/>
    </row>
    <row r="571">
      <c r="P571" s="9"/>
      <c r="Q571" s="9"/>
      <c r="R571" s="9"/>
    </row>
    <row r="572">
      <c r="P572" s="9"/>
      <c r="Q572" s="9"/>
      <c r="R572" s="9"/>
    </row>
    <row r="573">
      <c r="P573" s="9"/>
      <c r="Q573" s="9"/>
      <c r="R573" s="9"/>
    </row>
    <row r="574">
      <c r="P574" s="9"/>
      <c r="Q574" s="9"/>
      <c r="R574" s="9"/>
    </row>
    <row r="575">
      <c r="P575" s="9"/>
      <c r="Q575" s="9"/>
      <c r="R575" s="9"/>
    </row>
    <row r="576">
      <c r="P576" s="9"/>
      <c r="Q576" s="9"/>
      <c r="R576" s="9"/>
    </row>
    <row r="577">
      <c r="P577" s="9"/>
      <c r="Q577" s="9"/>
      <c r="R577" s="9"/>
    </row>
    <row r="578">
      <c r="P578" s="9"/>
      <c r="Q578" s="9"/>
      <c r="R578" s="9"/>
    </row>
    <row r="579">
      <c r="P579" s="9"/>
      <c r="Q579" s="9"/>
      <c r="R579" s="9"/>
    </row>
    <row r="580">
      <c r="P580" s="9"/>
      <c r="Q580" s="9"/>
      <c r="R580" s="9"/>
    </row>
    <row r="581">
      <c r="P581" s="9"/>
      <c r="Q581" s="9"/>
      <c r="R581" s="9"/>
    </row>
    <row r="582">
      <c r="P582" s="9"/>
      <c r="Q582" s="9"/>
      <c r="R582" s="9"/>
    </row>
    <row r="583">
      <c r="P583" s="9"/>
      <c r="Q583" s="9"/>
      <c r="R583" s="9"/>
    </row>
    <row r="584">
      <c r="P584" s="9"/>
      <c r="Q584" s="9"/>
      <c r="R584" s="9"/>
    </row>
    <row r="585">
      <c r="P585" s="9"/>
      <c r="Q585" s="9"/>
      <c r="R585" s="9"/>
    </row>
    <row r="586">
      <c r="P586" s="9"/>
      <c r="Q586" s="9"/>
      <c r="R586" s="9"/>
    </row>
    <row r="587">
      <c r="P587" s="9"/>
      <c r="Q587" s="9"/>
      <c r="R587" s="9"/>
    </row>
    <row r="588">
      <c r="P588" s="9"/>
      <c r="Q588" s="9"/>
      <c r="R588" s="9"/>
    </row>
    <row r="589">
      <c r="P589" s="9"/>
      <c r="Q589" s="9"/>
      <c r="R589" s="9"/>
    </row>
    <row r="590">
      <c r="P590" s="9"/>
      <c r="Q590" s="9"/>
      <c r="R590" s="9"/>
    </row>
    <row r="591">
      <c r="P591" s="9"/>
      <c r="Q591" s="9"/>
      <c r="R591" s="9"/>
    </row>
    <row r="592">
      <c r="P592" s="9"/>
      <c r="Q592" s="9"/>
      <c r="R592" s="9"/>
    </row>
    <row r="593">
      <c r="P593" s="9"/>
      <c r="Q593" s="9"/>
      <c r="R593" s="9"/>
    </row>
    <row r="594">
      <c r="P594" s="9"/>
      <c r="Q594" s="9"/>
      <c r="R594" s="9"/>
    </row>
    <row r="595">
      <c r="P595" s="9"/>
      <c r="Q595" s="9"/>
      <c r="R595" s="9"/>
    </row>
    <row r="596">
      <c r="P596" s="9"/>
      <c r="Q596" s="9"/>
      <c r="R596" s="9"/>
    </row>
    <row r="597">
      <c r="P597" s="9"/>
      <c r="Q597" s="9"/>
      <c r="R597" s="9"/>
    </row>
    <row r="598">
      <c r="P598" s="9"/>
      <c r="Q598" s="9"/>
      <c r="R598" s="9"/>
    </row>
    <row r="599">
      <c r="P599" s="9"/>
      <c r="Q599" s="9"/>
      <c r="R599" s="9"/>
    </row>
    <row r="600">
      <c r="P600" s="9"/>
      <c r="Q600" s="9"/>
      <c r="R600" s="9"/>
    </row>
    <row r="601">
      <c r="P601" s="9"/>
      <c r="Q601" s="9"/>
      <c r="R601" s="9"/>
    </row>
    <row r="602">
      <c r="P602" s="9"/>
      <c r="Q602" s="9"/>
      <c r="R602" s="9"/>
    </row>
    <row r="603">
      <c r="P603" s="9"/>
      <c r="Q603" s="9"/>
      <c r="R603" s="9"/>
    </row>
    <row r="604">
      <c r="P604" s="9"/>
      <c r="Q604" s="9"/>
      <c r="R604" s="9"/>
    </row>
    <row r="605">
      <c r="P605" s="9"/>
      <c r="Q605" s="9"/>
      <c r="R605" s="9"/>
    </row>
    <row r="606">
      <c r="P606" s="9"/>
      <c r="Q606" s="9"/>
      <c r="R606" s="9"/>
    </row>
    <row r="607">
      <c r="P607" s="9"/>
      <c r="Q607" s="9"/>
      <c r="R607" s="9"/>
    </row>
    <row r="608">
      <c r="P608" s="9"/>
      <c r="Q608" s="9"/>
      <c r="R608" s="9"/>
    </row>
    <row r="609">
      <c r="P609" s="9"/>
      <c r="Q609" s="9"/>
      <c r="R609" s="9"/>
    </row>
    <row r="610">
      <c r="P610" s="9"/>
      <c r="Q610" s="9"/>
      <c r="R610" s="9"/>
    </row>
    <row r="611">
      <c r="P611" s="9"/>
      <c r="Q611" s="9"/>
      <c r="R611" s="9"/>
    </row>
    <row r="612">
      <c r="P612" s="9"/>
      <c r="Q612" s="9"/>
      <c r="R612" s="9"/>
    </row>
    <row r="613">
      <c r="P613" s="9"/>
      <c r="Q613" s="9"/>
      <c r="R613" s="9"/>
    </row>
    <row r="614">
      <c r="P614" s="9"/>
      <c r="Q614" s="9"/>
      <c r="R614" s="9"/>
    </row>
    <row r="615">
      <c r="P615" s="9"/>
      <c r="Q615" s="9"/>
      <c r="R615" s="9"/>
    </row>
    <row r="616">
      <c r="P616" s="9"/>
      <c r="Q616" s="9"/>
      <c r="R616" s="9"/>
    </row>
    <row r="617">
      <c r="P617" s="9"/>
      <c r="Q617" s="9"/>
      <c r="R617" s="9"/>
    </row>
    <row r="618">
      <c r="P618" s="9"/>
      <c r="Q618" s="9"/>
      <c r="R618" s="9"/>
    </row>
    <row r="619">
      <c r="P619" s="9"/>
      <c r="Q619" s="9"/>
      <c r="R619" s="9"/>
    </row>
    <row r="620">
      <c r="P620" s="9"/>
      <c r="Q620" s="9"/>
      <c r="R620" s="9"/>
    </row>
    <row r="621">
      <c r="P621" s="9"/>
      <c r="Q621" s="9"/>
      <c r="R621" s="9"/>
    </row>
    <row r="622">
      <c r="P622" s="9"/>
      <c r="Q622" s="9"/>
      <c r="R622" s="9"/>
    </row>
    <row r="623">
      <c r="P623" s="9"/>
      <c r="Q623" s="9"/>
      <c r="R623" s="9"/>
    </row>
    <row r="624">
      <c r="P624" s="9"/>
      <c r="Q624" s="9"/>
      <c r="R624" s="9"/>
    </row>
    <row r="625">
      <c r="P625" s="9"/>
      <c r="Q625" s="9"/>
      <c r="R625" s="9"/>
    </row>
    <row r="626">
      <c r="P626" s="9"/>
      <c r="Q626" s="9"/>
      <c r="R626" s="9"/>
    </row>
    <row r="627">
      <c r="P627" s="9"/>
      <c r="Q627" s="9"/>
      <c r="R627" s="9"/>
    </row>
    <row r="628">
      <c r="P628" s="9"/>
      <c r="Q628" s="9"/>
      <c r="R628" s="9"/>
    </row>
    <row r="629">
      <c r="P629" s="9"/>
      <c r="Q629" s="9"/>
      <c r="R629" s="9"/>
    </row>
    <row r="630">
      <c r="P630" s="9"/>
      <c r="Q630" s="9"/>
      <c r="R630" s="9"/>
    </row>
    <row r="631">
      <c r="P631" s="9"/>
      <c r="Q631" s="9"/>
      <c r="R631" s="9"/>
    </row>
    <row r="632">
      <c r="P632" s="9"/>
      <c r="Q632" s="9"/>
      <c r="R632" s="9"/>
    </row>
    <row r="633">
      <c r="P633" s="9"/>
      <c r="Q633" s="9"/>
      <c r="R633" s="9"/>
    </row>
    <row r="634">
      <c r="P634" s="9"/>
      <c r="Q634" s="9"/>
      <c r="R634" s="9"/>
    </row>
    <row r="635">
      <c r="P635" s="9"/>
      <c r="Q635" s="9"/>
      <c r="R635" s="9"/>
    </row>
    <row r="636">
      <c r="P636" s="9"/>
      <c r="Q636" s="9"/>
      <c r="R636" s="9"/>
    </row>
    <row r="637">
      <c r="P637" s="9"/>
      <c r="Q637" s="9"/>
      <c r="R637" s="9"/>
    </row>
    <row r="638">
      <c r="P638" s="9"/>
      <c r="Q638" s="9"/>
      <c r="R638" s="9"/>
    </row>
    <row r="639">
      <c r="P639" s="9"/>
      <c r="Q639" s="9"/>
      <c r="R639" s="9"/>
    </row>
    <row r="640">
      <c r="P640" s="9"/>
      <c r="Q640" s="9"/>
      <c r="R640" s="9"/>
    </row>
    <row r="641">
      <c r="P641" s="9"/>
      <c r="Q641" s="9"/>
      <c r="R641" s="9"/>
    </row>
    <row r="642">
      <c r="P642" s="9"/>
      <c r="Q642" s="9"/>
      <c r="R642" s="9"/>
    </row>
    <row r="643">
      <c r="P643" s="9"/>
      <c r="Q643" s="9"/>
      <c r="R643" s="9"/>
    </row>
    <row r="644">
      <c r="P644" s="9"/>
      <c r="Q644" s="9"/>
      <c r="R644" s="9"/>
    </row>
    <row r="645">
      <c r="P645" s="9"/>
      <c r="Q645" s="9"/>
      <c r="R645" s="9"/>
    </row>
    <row r="646">
      <c r="P646" s="9"/>
      <c r="Q646" s="9"/>
      <c r="R646" s="9"/>
    </row>
    <row r="647">
      <c r="P647" s="9"/>
      <c r="Q647" s="9"/>
      <c r="R647" s="9"/>
    </row>
    <row r="648">
      <c r="P648" s="9"/>
      <c r="Q648" s="9"/>
      <c r="R648" s="9"/>
    </row>
    <row r="649">
      <c r="P649" s="9"/>
      <c r="Q649" s="9"/>
      <c r="R649" s="9"/>
    </row>
    <row r="650">
      <c r="P650" s="9"/>
      <c r="Q650" s="9"/>
      <c r="R650" s="9"/>
    </row>
    <row r="651">
      <c r="P651" s="9"/>
      <c r="Q651" s="9"/>
      <c r="R651" s="9"/>
    </row>
    <row r="652">
      <c r="P652" s="9"/>
      <c r="Q652" s="9"/>
      <c r="R652" s="9"/>
    </row>
    <row r="653">
      <c r="P653" s="9"/>
      <c r="Q653" s="9"/>
      <c r="R653" s="9"/>
    </row>
    <row r="654">
      <c r="P654" s="9"/>
      <c r="Q654" s="9"/>
      <c r="R654" s="9"/>
    </row>
    <row r="655">
      <c r="P655" s="9"/>
      <c r="Q655" s="9"/>
      <c r="R655" s="9"/>
    </row>
    <row r="656">
      <c r="P656" s="9"/>
      <c r="Q656" s="9"/>
      <c r="R656" s="9"/>
    </row>
    <row r="657">
      <c r="P657" s="9"/>
      <c r="Q657" s="9"/>
      <c r="R657" s="9"/>
    </row>
    <row r="658">
      <c r="P658" s="9"/>
      <c r="Q658" s="9"/>
      <c r="R658" s="9"/>
    </row>
    <row r="659">
      <c r="P659" s="9"/>
      <c r="Q659" s="9"/>
      <c r="R659" s="9"/>
    </row>
    <row r="660">
      <c r="P660" s="9"/>
      <c r="Q660" s="9"/>
      <c r="R660" s="9"/>
    </row>
    <row r="661">
      <c r="P661" s="9"/>
      <c r="Q661" s="9"/>
      <c r="R661" s="9"/>
    </row>
    <row r="662">
      <c r="P662" s="9"/>
      <c r="Q662" s="9"/>
      <c r="R662" s="9"/>
    </row>
    <row r="663">
      <c r="P663" s="9"/>
      <c r="Q663" s="9"/>
      <c r="R663" s="9"/>
    </row>
    <row r="664">
      <c r="P664" s="9"/>
      <c r="Q664" s="9"/>
      <c r="R664" s="9"/>
    </row>
    <row r="665">
      <c r="P665" s="9"/>
      <c r="Q665" s="9"/>
      <c r="R665" s="9"/>
    </row>
    <row r="666">
      <c r="P666" s="9"/>
      <c r="Q666" s="9"/>
      <c r="R666" s="9"/>
    </row>
    <row r="667">
      <c r="P667" s="9"/>
      <c r="Q667" s="9"/>
      <c r="R667" s="9"/>
    </row>
    <row r="668">
      <c r="P668" s="9"/>
      <c r="Q668" s="9"/>
      <c r="R668" s="9"/>
    </row>
    <row r="669">
      <c r="P669" s="9"/>
      <c r="Q669" s="9"/>
      <c r="R669" s="9"/>
    </row>
    <row r="670">
      <c r="P670" s="9"/>
      <c r="Q670" s="9"/>
      <c r="R670" s="9"/>
    </row>
    <row r="671">
      <c r="P671" s="9"/>
      <c r="Q671" s="9"/>
      <c r="R671" s="9"/>
    </row>
    <row r="672">
      <c r="P672" s="9"/>
      <c r="Q672" s="9"/>
      <c r="R672" s="9"/>
    </row>
    <row r="673">
      <c r="P673" s="9"/>
      <c r="Q673" s="9"/>
      <c r="R673" s="9"/>
    </row>
    <row r="674">
      <c r="P674" s="9"/>
      <c r="Q674" s="9"/>
      <c r="R674" s="9"/>
    </row>
    <row r="675">
      <c r="P675" s="9"/>
      <c r="Q675" s="9"/>
      <c r="R675" s="9"/>
    </row>
    <row r="676">
      <c r="P676" s="9"/>
      <c r="Q676" s="9"/>
      <c r="R676" s="9"/>
    </row>
    <row r="677">
      <c r="P677" s="9"/>
      <c r="Q677" s="9"/>
      <c r="R677" s="9"/>
    </row>
    <row r="678">
      <c r="P678" s="9"/>
      <c r="Q678" s="9"/>
      <c r="R678" s="9"/>
    </row>
    <row r="679">
      <c r="P679" s="9"/>
      <c r="Q679" s="9"/>
      <c r="R679" s="9"/>
    </row>
    <row r="680">
      <c r="P680" s="9"/>
      <c r="Q680" s="9"/>
      <c r="R680" s="9"/>
    </row>
    <row r="681">
      <c r="P681" s="9"/>
      <c r="Q681" s="9"/>
      <c r="R681" s="9"/>
    </row>
    <row r="682">
      <c r="P682" s="9"/>
      <c r="Q682" s="9"/>
      <c r="R682" s="9"/>
    </row>
    <row r="683">
      <c r="P683" s="9"/>
      <c r="Q683" s="9"/>
      <c r="R683" s="9"/>
    </row>
    <row r="684">
      <c r="P684" s="9"/>
      <c r="Q684" s="9"/>
      <c r="R684" s="9"/>
    </row>
    <row r="685">
      <c r="P685" s="9"/>
      <c r="Q685" s="9"/>
      <c r="R685" s="9"/>
    </row>
    <row r="686">
      <c r="P686" s="9"/>
      <c r="Q686" s="9"/>
      <c r="R686" s="9"/>
    </row>
    <row r="687">
      <c r="P687" s="9"/>
      <c r="Q687" s="9"/>
      <c r="R687" s="9"/>
    </row>
    <row r="688">
      <c r="P688" s="9"/>
      <c r="Q688" s="9"/>
      <c r="R688" s="9"/>
    </row>
    <row r="689">
      <c r="P689" s="9"/>
      <c r="Q689" s="9"/>
      <c r="R689" s="9"/>
    </row>
    <row r="690">
      <c r="P690" s="9"/>
      <c r="Q690" s="9"/>
      <c r="R690" s="9"/>
    </row>
    <row r="691">
      <c r="P691" s="9"/>
      <c r="Q691" s="9"/>
      <c r="R691" s="9"/>
    </row>
    <row r="692">
      <c r="P692" s="9"/>
      <c r="Q692" s="9"/>
      <c r="R692" s="9"/>
    </row>
    <row r="693">
      <c r="P693" s="9"/>
      <c r="Q693" s="9"/>
      <c r="R693" s="9"/>
    </row>
    <row r="694">
      <c r="P694" s="9"/>
      <c r="Q694" s="9"/>
      <c r="R694" s="9"/>
    </row>
    <row r="695">
      <c r="P695" s="9"/>
      <c r="Q695" s="9"/>
      <c r="R695" s="9"/>
    </row>
    <row r="696">
      <c r="P696" s="9"/>
      <c r="Q696" s="9"/>
      <c r="R696" s="9"/>
    </row>
    <row r="697">
      <c r="P697" s="9"/>
      <c r="Q697" s="9"/>
      <c r="R697" s="9"/>
    </row>
    <row r="698">
      <c r="P698" s="9"/>
      <c r="Q698" s="9"/>
      <c r="R698" s="9"/>
    </row>
    <row r="699">
      <c r="P699" s="9"/>
      <c r="Q699" s="9"/>
      <c r="R699" s="9"/>
    </row>
    <row r="700">
      <c r="P700" s="9"/>
      <c r="Q700" s="9"/>
      <c r="R700" s="9"/>
    </row>
    <row r="701">
      <c r="P701" s="9"/>
      <c r="Q701" s="9"/>
      <c r="R701" s="9"/>
    </row>
    <row r="702">
      <c r="P702" s="9"/>
      <c r="Q702" s="9"/>
      <c r="R702" s="9"/>
    </row>
    <row r="703">
      <c r="P703" s="9"/>
      <c r="Q703" s="9"/>
      <c r="R703" s="9"/>
    </row>
    <row r="704">
      <c r="P704" s="9"/>
      <c r="Q704" s="9"/>
      <c r="R704" s="9"/>
    </row>
    <row r="705">
      <c r="P705" s="9"/>
      <c r="Q705" s="9"/>
      <c r="R705" s="9"/>
    </row>
    <row r="706">
      <c r="P706" s="9"/>
      <c r="Q706" s="9"/>
      <c r="R706" s="9"/>
    </row>
    <row r="707">
      <c r="P707" s="9"/>
      <c r="Q707" s="9"/>
      <c r="R707" s="9"/>
    </row>
    <row r="708">
      <c r="P708" s="9"/>
      <c r="Q708" s="9"/>
      <c r="R708" s="9"/>
    </row>
    <row r="709">
      <c r="P709" s="9"/>
      <c r="Q709" s="9"/>
      <c r="R709" s="9"/>
    </row>
    <row r="710">
      <c r="P710" s="9"/>
      <c r="Q710" s="9"/>
      <c r="R710" s="9"/>
    </row>
    <row r="711">
      <c r="P711" s="9"/>
      <c r="Q711" s="9"/>
      <c r="R711" s="9"/>
    </row>
    <row r="712">
      <c r="P712" s="9"/>
      <c r="Q712" s="9"/>
      <c r="R712" s="9"/>
    </row>
    <row r="713">
      <c r="P713" s="9"/>
      <c r="Q713" s="9"/>
      <c r="R713" s="9"/>
    </row>
    <row r="714">
      <c r="P714" s="9"/>
      <c r="Q714" s="9"/>
      <c r="R714" s="9"/>
    </row>
    <row r="715">
      <c r="P715" s="9"/>
      <c r="Q715" s="9"/>
      <c r="R715" s="9"/>
    </row>
    <row r="716">
      <c r="P716" s="9"/>
      <c r="Q716" s="9"/>
      <c r="R716" s="9"/>
    </row>
    <row r="717">
      <c r="P717" s="9"/>
      <c r="Q717" s="9"/>
      <c r="R717" s="9"/>
    </row>
    <row r="718">
      <c r="P718" s="9"/>
      <c r="Q718" s="9"/>
      <c r="R718" s="9"/>
    </row>
    <row r="719">
      <c r="P719" s="9"/>
      <c r="Q719" s="9"/>
      <c r="R719" s="9"/>
    </row>
    <row r="720">
      <c r="P720" s="9"/>
      <c r="Q720" s="9"/>
      <c r="R720" s="9"/>
    </row>
    <row r="721">
      <c r="P721" s="9"/>
      <c r="Q721" s="9"/>
      <c r="R721" s="9"/>
    </row>
    <row r="722">
      <c r="P722" s="9"/>
      <c r="Q722" s="9"/>
      <c r="R722" s="9"/>
    </row>
    <row r="723">
      <c r="P723" s="9"/>
      <c r="Q723" s="9"/>
      <c r="R723" s="9"/>
    </row>
    <row r="724">
      <c r="P724" s="9"/>
      <c r="Q724" s="9"/>
      <c r="R724" s="9"/>
    </row>
    <row r="725">
      <c r="P725" s="9"/>
      <c r="Q725" s="9"/>
      <c r="R725" s="9"/>
    </row>
    <row r="726">
      <c r="P726" s="9"/>
      <c r="Q726" s="9"/>
      <c r="R726" s="9"/>
    </row>
    <row r="727">
      <c r="P727" s="9"/>
      <c r="Q727" s="9"/>
      <c r="R727" s="9"/>
    </row>
    <row r="728">
      <c r="P728" s="9"/>
      <c r="Q728" s="9"/>
      <c r="R728" s="9"/>
    </row>
    <row r="729">
      <c r="P729" s="9"/>
      <c r="Q729" s="9"/>
      <c r="R729" s="9"/>
    </row>
    <row r="730">
      <c r="P730" s="9"/>
      <c r="Q730" s="9"/>
      <c r="R730" s="9"/>
    </row>
    <row r="731">
      <c r="P731" s="9"/>
      <c r="Q731" s="9"/>
      <c r="R731" s="9"/>
    </row>
    <row r="732">
      <c r="P732" s="9"/>
      <c r="Q732" s="9"/>
      <c r="R732" s="9"/>
    </row>
    <row r="733">
      <c r="P733" s="9"/>
      <c r="Q733" s="9"/>
      <c r="R733" s="9"/>
    </row>
    <row r="734">
      <c r="P734" s="9"/>
      <c r="Q734" s="9"/>
      <c r="R734" s="9"/>
    </row>
    <row r="735">
      <c r="P735" s="9"/>
      <c r="Q735" s="9"/>
      <c r="R735" s="9"/>
    </row>
    <row r="736">
      <c r="P736" s="9"/>
      <c r="Q736" s="9"/>
      <c r="R736" s="9"/>
    </row>
    <row r="737">
      <c r="P737" s="9"/>
      <c r="Q737" s="9"/>
      <c r="R737" s="9"/>
    </row>
    <row r="738">
      <c r="P738" s="9"/>
      <c r="Q738" s="9"/>
      <c r="R738" s="9"/>
    </row>
    <row r="739">
      <c r="P739" s="9"/>
      <c r="Q739" s="9"/>
      <c r="R739" s="9"/>
    </row>
    <row r="740">
      <c r="P740" s="9"/>
      <c r="Q740" s="9"/>
      <c r="R740" s="9"/>
    </row>
    <row r="741">
      <c r="P741" s="9"/>
      <c r="Q741" s="9"/>
      <c r="R741" s="9"/>
    </row>
    <row r="742">
      <c r="P742" s="9"/>
      <c r="Q742" s="9"/>
      <c r="R742" s="9"/>
    </row>
    <row r="743">
      <c r="P743" s="9"/>
      <c r="Q743" s="9"/>
      <c r="R743" s="9"/>
    </row>
    <row r="744">
      <c r="P744" s="9"/>
      <c r="Q744" s="9"/>
      <c r="R744" s="9"/>
    </row>
    <row r="745">
      <c r="P745" s="9"/>
      <c r="Q745" s="9"/>
      <c r="R745" s="9"/>
    </row>
    <row r="746">
      <c r="P746" s="9"/>
      <c r="Q746" s="9"/>
      <c r="R746" s="9"/>
    </row>
    <row r="747">
      <c r="P747" s="9"/>
      <c r="Q747" s="9"/>
      <c r="R747" s="9"/>
    </row>
    <row r="748">
      <c r="P748" s="9"/>
      <c r="Q748" s="9"/>
      <c r="R748" s="9"/>
    </row>
    <row r="749">
      <c r="P749" s="9"/>
      <c r="Q749" s="9"/>
      <c r="R749" s="9"/>
    </row>
    <row r="750">
      <c r="P750" s="9"/>
      <c r="Q750" s="9"/>
      <c r="R750" s="9"/>
    </row>
    <row r="751">
      <c r="P751" s="9"/>
      <c r="Q751" s="9"/>
      <c r="R751" s="9"/>
    </row>
    <row r="752">
      <c r="P752" s="9"/>
      <c r="Q752" s="9"/>
      <c r="R752" s="9"/>
    </row>
    <row r="753">
      <c r="P753" s="9"/>
      <c r="Q753" s="9"/>
      <c r="R753" s="9"/>
    </row>
    <row r="754">
      <c r="P754" s="9"/>
      <c r="Q754" s="9"/>
      <c r="R754" s="9"/>
    </row>
    <row r="755">
      <c r="P755" s="9"/>
      <c r="Q755" s="9"/>
      <c r="R755" s="9"/>
    </row>
    <row r="756">
      <c r="P756" s="9"/>
      <c r="Q756" s="9"/>
      <c r="R756" s="9"/>
    </row>
    <row r="757">
      <c r="P757" s="9"/>
      <c r="Q757" s="9"/>
      <c r="R757" s="9"/>
    </row>
    <row r="758">
      <c r="P758" s="9"/>
      <c r="Q758" s="9"/>
      <c r="R758" s="9"/>
    </row>
    <row r="759">
      <c r="P759" s="9"/>
      <c r="Q759" s="9"/>
      <c r="R759" s="9"/>
    </row>
    <row r="760">
      <c r="P760" s="9"/>
      <c r="Q760" s="9"/>
      <c r="R760" s="9"/>
    </row>
    <row r="761">
      <c r="P761" s="9"/>
      <c r="Q761" s="9"/>
      <c r="R761" s="9"/>
    </row>
    <row r="762">
      <c r="P762" s="9"/>
      <c r="Q762" s="9"/>
      <c r="R762" s="9"/>
    </row>
    <row r="763">
      <c r="P763" s="9"/>
      <c r="Q763" s="9"/>
      <c r="R763" s="9"/>
    </row>
    <row r="764">
      <c r="P764" s="9"/>
      <c r="Q764" s="9"/>
      <c r="R764" s="9"/>
    </row>
    <row r="765">
      <c r="P765" s="9"/>
      <c r="Q765" s="9"/>
      <c r="R765" s="9"/>
    </row>
    <row r="766">
      <c r="P766" s="9"/>
      <c r="Q766" s="9"/>
      <c r="R766" s="9"/>
    </row>
    <row r="767">
      <c r="P767" s="9"/>
      <c r="Q767" s="9"/>
      <c r="R767" s="9"/>
    </row>
    <row r="768">
      <c r="P768" s="9"/>
      <c r="Q768" s="9"/>
      <c r="R768" s="9"/>
    </row>
    <row r="769">
      <c r="P769" s="9"/>
      <c r="Q769" s="9"/>
      <c r="R769" s="9"/>
    </row>
    <row r="770">
      <c r="P770" s="9"/>
      <c r="Q770" s="9"/>
      <c r="R770" s="9"/>
    </row>
    <row r="771">
      <c r="P771" s="9"/>
      <c r="Q771" s="9"/>
      <c r="R771" s="9"/>
    </row>
    <row r="772">
      <c r="P772" s="9"/>
      <c r="Q772" s="9"/>
      <c r="R772" s="9"/>
    </row>
    <row r="773">
      <c r="P773" s="9"/>
      <c r="Q773" s="9"/>
      <c r="R773" s="9"/>
    </row>
    <row r="774">
      <c r="P774" s="9"/>
      <c r="Q774" s="9"/>
      <c r="R774" s="9"/>
    </row>
    <row r="775">
      <c r="P775" s="9"/>
      <c r="Q775" s="9"/>
      <c r="R775" s="9"/>
    </row>
    <row r="776">
      <c r="P776" s="9"/>
      <c r="Q776" s="9"/>
      <c r="R776" s="9"/>
    </row>
    <row r="777">
      <c r="P777" s="9"/>
      <c r="Q777" s="9"/>
      <c r="R777" s="9"/>
    </row>
    <row r="778">
      <c r="P778" s="9"/>
      <c r="Q778" s="9"/>
      <c r="R778" s="9"/>
    </row>
    <row r="779">
      <c r="P779" s="9"/>
      <c r="Q779" s="9"/>
      <c r="R779" s="9"/>
    </row>
    <row r="780">
      <c r="P780" s="9"/>
      <c r="Q780" s="9"/>
      <c r="R780" s="9"/>
    </row>
    <row r="781">
      <c r="P781" s="9"/>
      <c r="Q781" s="9"/>
      <c r="R781" s="9"/>
    </row>
    <row r="782">
      <c r="P782" s="9"/>
      <c r="Q782" s="9"/>
      <c r="R782" s="9"/>
    </row>
    <row r="783">
      <c r="P783" s="9"/>
      <c r="Q783" s="9"/>
      <c r="R783" s="9"/>
    </row>
    <row r="784">
      <c r="P784" s="9"/>
      <c r="Q784" s="9"/>
      <c r="R784" s="9"/>
    </row>
    <row r="785">
      <c r="P785" s="9"/>
      <c r="Q785" s="9"/>
      <c r="R785" s="9"/>
    </row>
    <row r="786">
      <c r="P786" s="9"/>
      <c r="Q786" s="9"/>
      <c r="R786" s="9"/>
    </row>
    <row r="787">
      <c r="P787" s="9"/>
      <c r="Q787" s="9"/>
      <c r="R787" s="9"/>
    </row>
    <row r="788">
      <c r="P788" s="9"/>
      <c r="Q788" s="9"/>
      <c r="R788" s="9"/>
    </row>
    <row r="789">
      <c r="P789" s="9"/>
      <c r="Q789" s="9"/>
      <c r="R789" s="9"/>
    </row>
    <row r="790">
      <c r="P790" s="9"/>
      <c r="Q790" s="9"/>
      <c r="R790" s="9"/>
    </row>
    <row r="791">
      <c r="P791" s="9"/>
      <c r="Q791" s="9"/>
      <c r="R791" s="9"/>
    </row>
    <row r="792">
      <c r="P792" s="9"/>
      <c r="Q792" s="9"/>
      <c r="R792" s="9"/>
    </row>
    <row r="793">
      <c r="P793" s="9"/>
      <c r="Q793" s="9"/>
      <c r="R793" s="9"/>
    </row>
    <row r="794">
      <c r="P794" s="9"/>
      <c r="Q794" s="9"/>
      <c r="R794" s="9"/>
    </row>
    <row r="795">
      <c r="P795" s="9"/>
      <c r="Q795" s="9"/>
      <c r="R795" s="9"/>
    </row>
    <row r="796">
      <c r="P796" s="9"/>
      <c r="Q796" s="9"/>
      <c r="R796" s="9"/>
    </row>
    <row r="797">
      <c r="P797" s="9"/>
      <c r="Q797" s="9"/>
      <c r="R797" s="9"/>
    </row>
    <row r="798">
      <c r="P798" s="9"/>
      <c r="Q798" s="9"/>
      <c r="R798" s="9"/>
    </row>
    <row r="799">
      <c r="P799" s="9"/>
      <c r="Q799" s="9"/>
      <c r="R799" s="9"/>
    </row>
    <row r="800">
      <c r="P800" s="9"/>
      <c r="Q800" s="9"/>
      <c r="R800" s="9"/>
    </row>
    <row r="801">
      <c r="P801" s="9"/>
      <c r="Q801" s="9"/>
      <c r="R801" s="9"/>
    </row>
    <row r="802">
      <c r="P802" s="9"/>
      <c r="Q802" s="9"/>
      <c r="R802" s="9"/>
    </row>
    <row r="803">
      <c r="P803" s="9"/>
      <c r="Q803" s="9"/>
      <c r="R803" s="9"/>
    </row>
    <row r="804">
      <c r="P804" s="9"/>
      <c r="Q804" s="9"/>
      <c r="R804" s="9"/>
    </row>
    <row r="805">
      <c r="P805" s="9"/>
      <c r="Q805" s="9"/>
      <c r="R805" s="9"/>
    </row>
    <row r="806">
      <c r="P806" s="9"/>
      <c r="Q806" s="9"/>
      <c r="R806" s="9"/>
    </row>
    <row r="807">
      <c r="P807" s="9"/>
      <c r="Q807" s="9"/>
      <c r="R807" s="9"/>
    </row>
    <row r="808">
      <c r="P808" s="9"/>
      <c r="Q808" s="9"/>
      <c r="R808" s="9"/>
    </row>
    <row r="809">
      <c r="P809" s="9"/>
      <c r="Q809" s="9"/>
      <c r="R809" s="9"/>
    </row>
    <row r="810">
      <c r="P810" s="9"/>
      <c r="Q810" s="9"/>
      <c r="R810" s="9"/>
    </row>
    <row r="811">
      <c r="P811" s="9"/>
      <c r="Q811" s="9"/>
      <c r="R811" s="9"/>
    </row>
    <row r="812">
      <c r="P812" s="9"/>
      <c r="Q812" s="9"/>
      <c r="R812" s="9"/>
    </row>
    <row r="813">
      <c r="P813" s="9"/>
      <c r="Q813" s="9"/>
      <c r="R813" s="9"/>
    </row>
    <row r="814">
      <c r="P814" s="9"/>
      <c r="Q814" s="9"/>
      <c r="R814" s="9"/>
    </row>
    <row r="815">
      <c r="P815" s="9"/>
      <c r="Q815" s="9"/>
      <c r="R815" s="9"/>
    </row>
    <row r="816">
      <c r="P816" s="9"/>
      <c r="Q816" s="9"/>
      <c r="R816" s="9"/>
    </row>
    <row r="817">
      <c r="P817" s="9"/>
      <c r="Q817" s="9"/>
      <c r="R817" s="9"/>
    </row>
    <row r="818">
      <c r="P818" s="9"/>
      <c r="Q818" s="9"/>
      <c r="R818" s="9"/>
    </row>
    <row r="819">
      <c r="P819" s="9"/>
      <c r="Q819" s="9"/>
      <c r="R819" s="9"/>
    </row>
    <row r="820">
      <c r="P820" s="9"/>
      <c r="Q820" s="9"/>
      <c r="R820" s="9"/>
    </row>
    <row r="821">
      <c r="P821" s="9"/>
      <c r="Q821" s="9"/>
      <c r="R821" s="9"/>
    </row>
    <row r="822">
      <c r="P822" s="9"/>
      <c r="Q822" s="9"/>
      <c r="R822" s="9"/>
    </row>
    <row r="823">
      <c r="P823" s="9"/>
      <c r="Q823" s="9"/>
      <c r="R823" s="9"/>
    </row>
    <row r="824">
      <c r="P824" s="9"/>
      <c r="Q824" s="9"/>
      <c r="R824" s="9"/>
    </row>
    <row r="825">
      <c r="P825" s="9"/>
      <c r="Q825" s="9"/>
      <c r="R825" s="9"/>
    </row>
    <row r="826">
      <c r="P826" s="9"/>
      <c r="Q826" s="9"/>
      <c r="R826" s="9"/>
    </row>
    <row r="827">
      <c r="P827" s="9"/>
      <c r="Q827" s="9"/>
      <c r="R827" s="9"/>
    </row>
    <row r="828">
      <c r="P828" s="9"/>
      <c r="Q828" s="9"/>
      <c r="R828" s="9"/>
    </row>
    <row r="829">
      <c r="P829" s="9"/>
      <c r="Q829" s="9"/>
      <c r="R829" s="9"/>
    </row>
    <row r="830">
      <c r="P830" s="9"/>
      <c r="Q830" s="9"/>
      <c r="R830" s="9"/>
    </row>
    <row r="831">
      <c r="P831" s="9"/>
      <c r="Q831" s="9"/>
      <c r="R831" s="9"/>
    </row>
    <row r="832">
      <c r="P832" s="9"/>
      <c r="Q832" s="9"/>
      <c r="R832" s="9"/>
    </row>
    <row r="833">
      <c r="P833" s="9"/>
      <c r="Q833" s="9"/>
      <c r="R833" s="9"/>
    </row>
    <row r="834">
      <c r="P834" s="9"/>
      <c r="Q834" s="9"/>
      <c r="R834" s="9"/>
    </row>
    <row r="835">
      <c r="P835" s="9"/>
      <c r="Q835" s="9"/>
      <c r="R835" s="9"/>
    </row>
    <row r="836">
      <c r="P836" s="9"/>
      <c r="Q836" s="9"/>
      <c r="R836" s="9"/>
    </row>
    <row r="837">
      <c r="P837" s="9"/>
      <c r="Q837" s="9"/>
      <c r="R837" s="9"/>
    </row>
    <row r="838">
      <c r="P838" s="9"/>
      <c r="Q838" s="9"/>
      <c r="R838" s="9"/>
    </row>
    <row r="839">
      <c r="P839" s="9"/>
      <c r="Q839" s="9"/>
      <c r="R839" s="9"/>
    </row>
    <row r="840">
      <c r="P840" s="9"/>
      <c r="Q840" s="9"/>
      <c r="R840" s="9"/>
    </row>
    <row r="841">
      <c r="P841" s="9"/>
      <c r="Q841" s="9"/>
      <c r="R841" s="9"/>
    </row>
    <row r="842">
      <c r="P842" s="9"/>
      <c r="Q842" s="9"/>
      <c r="R842" s="9"/>
    </row>
    <row r="843">
      <c r="P843" s="9"/>
      <c r="Q843" s="9"/>
      <c r="R843" s="9"/>
    </row>
    <row r="844">
      <c r="P844" s="9"/>
      <c r="Q844" s="9"/>
      <c r="R844" s="9"/>
    </row>
    <row r="845">
      <c r="P845" s="9"/>
      <c r="Q845" s="9"/>
      <c r="R845" s="9"/>
    </row>
    <row r="846">
      <c r="P846" s="9"/>
      <c r="Q846" s="9"/>
      <c r="R846" s="9"/>
    </row>
    <row r="847">
      <c r="P847" s="9"/>
      <c r="Q847" s="9"/>
      <c r="R847" s="9"/>
    </row>
    <row r="848">
      <c r="P848" s="9"/>
      <c r="Q848" s="9"/>
      <c r="R848" s="9"/>
    </row>
    <row r="849">
      <c r="P849" s="9"/>
      <c r="Q849" s="9"/>
      <c r="R849" s="9"/>
    </row>
    <row r="850">
      <c r="P850" s="9"/>
      <c r="Q850" s="9"/>
      <c r="R850" s="9"/>
    </row>
    <row r="851">
      <c r="P851" s="9"/>
      <c r="Q851" s="9"/>
      <c r="R851" s="9"/>
    </row>
    <row r="852">
      <c r="P852" s="9"/>
      <c r="Q852" s="9"/>
      <c r="R852" s="9"/>
    </row>
    <row r="853">
      <c r="P853" s="9"/>
      <c r="Q853" s="9"/>
      <c r="R853" s="9"/>
    </row>
    <row r="854">
      <c r="P854" s="9"/>
      <c r="Q854" s="9"/>
      <c r="R854" s="9"/>
    </row>
    <row r="855">
      <c r="P855" s="9"/>
      <c r="Q855" s="9"/>
      <c r="R855" s="9"/>
    </row>
    <row r="856">
      <c r="P856" s="9"/>
      <c r="Q856" s="9"/>
      <c r="R856" s="9"/>
    </row>
    <row r="857">
      <c r="P857" s="9"/>
      <c r="Q857" s="9"/>
      <c r="R857" s="9"/>
    </row>
    <row r="858">
      <c r="P858" s="9"/>
      <c r="Q858" s="9"/>
      <c r="R858" s="9"/>
    </row>
    <row r="859">
      <c r="P859" s="9"/>
      <c r="Q859" s="9"/>
      <c r="R859" s="9"/>
    </row>
    <row r="860">
      <c r="P860" s="9"/>
      <c r="Q860" s="9"/>
      <c r="R860" s="9"/>
    </row>
    <row r="861">
      <c r="P861" s="9"/>
      <c r="Q861" s="9"/>
      <c r="R861" s="9"/>
    </row>
    <row r="862">
      <c r="P862" s="9"/>
      <c r="Q862" s="9"/>
      <c r="R862" s="9"/>
    </row>
    <row r="863">
      <c r="P863" s="9"/>
      <c r="Q863" s="9"/>
      <c r="R863" s="9"/>
    </row>
    <row r="864">
      <c r="P864" s="9"/>
      <c r="Q864" s="9"/>
      <c r="R864" s="9"/>
    </row>
    <row r="865">
      <c r="P865" s="9"/>
      <c r="Q865" s="9"/>
      <c r="R865" s="9"/>
    </row>
    <row r="866">
      <c r="P866" s="9"/>
      <c r="Q866" s="9"/>
      <c r="R866" s="9"/>
    </row>
    <row r="867">
      <c r="P867" s="9"/>
      <c r="Q867" s="9"/>
      <c r="R867" s="9"/>
    </row>
    <row r="868">
      <c r="P868" s="9"/>
      <c r="Q868" s="9"/>
      <c r="R868" s="9"/>
    </row>
    <row r="869">
      <c r="P869" s="9"/>
      <c r="Q869" s="9"/>
      <c r="R869" s="9"/>
    </row>
    <row r="870">
      <c r="P870" s="9"/>
      <c r="Q870" s="9"/>
      <c r="R870" s="9"/>
    </row>
    <row r="871">
      <c r="P871" s="9"/>
      <c r="Q871" s="9"/>
      <c r="R871" s="9"/>
    </row>
    <row r="872">
      <c r="P872" s="9"/>
      <c r="Q872" s="9"/>
      <c r="R872" s="9"/>
    </row>
    <row r="873">
      <c r="P873" s="9"/>
      <c r="Q873" s="9"/>
      <c r="R873" s="9"/>
    </row>
    <row r="874">
      <c r="P874" s="9"/>
      <c r="Q874" s="9"/>
      <c r="R874" s="9"/>
    </row>
    <row r="875">
      <c r="P875" s="9"/>
      <c r="Q875" s="9"/>
      <c r="R875" s="9"/>
    </row>
    <row r="876">
      <c r="P876" s="9"/>
      <c r="Q876" s="9"/>
      <c r="R876" s="9"/>
    </row>
    <row r="877">
      <c r="P877" s="9"/>
      <c r="Q877" s="9"/>
      <c r="R877" s="9"/>
    </row>
    <row r="878">
      <c r="P878" s="9"/>
      <c r="Q878" s="9"/>
      <c r="R878" s="9"/>
    </row>
    <row r="879">
      <c r="P879" s="9"/>
      <c r="Q879" s="9"/>
      <c r="R879" s="9"/>
    </row>
    <row r="880">
      <c r="P880" s="9"/>
      <c r="Q880" s="9"/>
      <c r="R880" s="9"/>
    </row>
    <row r="881">
      <c r="P881" s="9"/>
      <c r="Q881" s="9"/>
      <c r="R881" s="9"/>
    </row>
    <row r="882">
      <c r="P882" s="9"/>
      <c r="Q882" s="9"/>
      <c r="R882" s="9"/>
    </row>
    <row r="883">
      <c r="P883" s="9"/>
      <c r="Q883" s="9"/>
      <c r="R883" s="9"/>
    </row>
    <row r="884">
      <c r="P884" s="9"/>
      <c r="Q884" s="9"/>
      <c r="R884" s="9"/>
    </row>
    <row r="885">
      <c r="P885" s="9"/>
      <c r="Q885" s="9"/>
      <c r="R885" s="9"/>
    </row>
    <row r="886">
      <c r="P886" s="9"/>
      <c r="Q886" s="9"/>
      <c r="R886" s="9"/>
    </row>
    <row r="887">
      <c r="P887" s="9"/>
      <c r="Q887" s="9"/>
      <c r="R887" s="9"/>
    </row>
    <row r="888">
      <c r="P888" s="9"/>
      <c r="Q888" s="9"/>
      <c r="R888" s="9"/>
    </row>
    <row r="889">
      <c r="P889" s="9"/>
      <c r="Q889" s="9"/>
      <c r="R889" s="9"/>
    </row>
    <row r="890">
      <c r="P890" s="9"/>
      <c r="Q890" s="9"/>
      <c r="R890" s="9"/>
    </row>
    <row r="891">
      <c r="P891" s="9"/>
      <c r="Q891" s="9"/>
      <c r="R891" s="9"/>
    </row>
    <row r="892">
      <c r="P892" s="9"/>
      <c r="Q892" s="9"/>
      <c r="R892" s="9"/>
    </row>
    <row r="893">
      <c r="P893" s="9"/>
      <c r="Q893" s="9"/>
      <c r="R893" s="9"/>
    </row>
    <row r="894">
      <c r="P894" s="9"/>
      <c r="Q894" s="9"/>
      <c r="R894" s="9"/>
    </row>
    <row r="895">
      <c r="P895" s="9"/>
      <c r="Q895" s="9"/>
      <c r="R895" s="9"/>
    </row>
    <row r="896">
      <c r="P896" s="9"/>
      <c r="Q896" s="9"/>
      <c r="R896" s="9"/>
    </row>
    <row r="897">
      <c r="P897" s="9"/>
      <c r="Q897" s="9"/>
      <c r="R897" s="9"/>
    </row>
    <row r="898">
      <c r="P898" s="9"/>
      <c r="Q898" s="9"/>
      <c r="R898" s="9"/>
    </row>
    <row r="899">
      <c r="P899" s="9"/>
      <c r="Q899" s="9"/>
      <c r="R899" s="9"/>
    </row>
    <row r="900">
      <c r="P900" s="9"/>
      <c r="Q900" s="9"/>
      <c r="R900" s="9"/>
    </row>
    <row r="901">
      <c r="P901" s="9"/>
      <c r="Q901" s="9"/>
      <c r="R901" s="9"/>
    </row>
    <row r="902">
      <c r="P902" s="9"/>
      <c r="Q902" s="9"/>
      <c r="R902" s="9"/>
    </row>
    <row r="903">
      <c r="P903" s="9"/>
      <c r="Q903" s="9"/>
      <c r="R903" s="9"/>
    </row>
    <row r="904">
      <c r="P904" s="9"/>
      <c r="Q904" s="9"/>
      <c r="R904" s="9"/>
    </row>
    <row r="905">
      <c r="P905" s="9"/>
      <c r="Q905" s="9"/>
      <c r="R905" s="9"/>
    </row>
    <row r="906">
      <c r="P906" s="9"/>
      <c r="Q906" s="9"/>
      <c r="R906" s="9"/>
    </row>
    <row r="907">
      <c r="P907" s="9"/>
      <c r="Q907" s="9"/>
      <c r="R907" s="9"/>
    </row>
    <row r="908">
      <c r="P908" s="9"/>
      <c r="Q908" s="9"/>
      <c r="R908" s="9"/>
    </row>
    <row r="909">
      <c r="P909" s="9"/>
      <c r="Q909" s="9"/>
      <c r="R909" s="9"/>
    </row>
    <row r="910">
      <c r="P910" s="9"/>
      <c r="Q910" s="9"/>
      <c r="R910" s="9"/>
    </row>
    <row r="911">
      <c r="P911" s="9"/>
      <c r="Q911" s="9"/>
      <c r="R911" s="9"/>
    </row>
    <row r="912">
      <c r="P912" s="9"/>
      <c r="Q912" s="9"/>
      <c r="R912" s="9"/>
    </row>
    <row r="913">
      <c r="P913" s="9"/>
      <c r="Q913" s="9"/>
      <c r="R913" s="9"/>
    </row>
    <row r="914">
      <c r="P914" s="9"/>
      <c r="Q914" s="9"/>
      <c r="R914" s="9"/>
    </row>
    <row r="915">
      <c r="P915" s="9"/>
      <c r="Q915" s="9"/>
      <c r="R915" s="9"/>
    </row>
    <row r="916">
      <c r="P916" s="9"/>
      <c r="Q916" s="9"/>
      <c r="R916" s="9"/>
    </row>
    <row r="917">
      <c r="P917" s="9"/>
      <c r="Q917" s="9"/>
      <c r="R917" s="9"/>
    </row>
    <row r="918">
      <c r="P918" s="9"/>
      <c r="Q918" s="9"/>
      <c r="R918" s="9"/>
    </row>
    <row r="919">
      <c r="P919" s="9"/>
      <c r="Q919" s="9"/>
      <c r="R919" s="9"/>
    </row>
    <row r="920">
      <c r="P920" s="9"/>
      <c r="Q920" s="9"/>
      <c r="R920" s="9"/>
    </row>
    <row r="921">
      <c r="P921" s="9"/>
      <c r="Q921" s="9"/>
      <c r="R921" s="9"/>
    </row>
    <row r="922">
      <c r="P922" s="9"/>
      <c r="Q922" s="9"/>
      <c r="R922" s="9"/>
    </row>
    <row r="923">
      <c r="P923" s="9"/>
      <c r="Q923" s="9"/>
      <c r="R923" s="9"/>
    </row>
    <row r="924">
      <c r="P924" s="9"/>
      <c r="Q924" s="9"/>
      <c r="R924" s="9"/>
    </row>
    <row r="925">
      <c r="P925" s="9"/>
      <c r="Q925" s="9"/>
      <c r="R925" s="9"/>
    </row>
    <row r="926">
      <c r="P926" s="9"/>
      <c r="Q926" s="9"/>
      <c r="R926" s="9"/>
    </row>
    <row r="927">
      <c r="P927" s="9"/>
      <c r="Q927" s="9"/>
      <c r="R927" s="9"/>
    </row>
    <row r="928">
      <c r="P928" s="9"/>
      <c r="Q928" s="9"/>
      <c r="R928" s="9"/>
    </row>
    <row r="929">
      <c r="P929" s="9"/>
      <c r="Q929" s="9"/>
      <c r="R929" s="9"/>
    </row>
    <row r="930">
      <c r="P930" s="9"/>
      <c r="Q930" s="9"/>
      <c r="R930" s="9"/>
    </row>
    <row r="931">
      <c r="P931" s="9"/>
      <c r="Q931" s="9"/>
      <c r="R931" s="9"/>
    </row>
    <row r="932">
      <c r="P932" s="9"/>
      <c r="Q932" s="9"/>
      <c r="R932" s="9"/>
    </row>
    <row r="933">
      <c r="P933" s="9"/>
      <c r="Q933" s="9"/>
      <c r="R933" s="9"/>
    </row>
    <row r="934">
      <c r="P934" s="9"/>
      <c r="Q934" s="9"/>
      <c r="R934" s="9"/>
    </row>
    <row r="935">
      <c r="P935" s="9"/>
      <c r="Q935" s="9"/>
      <c r="R935" s="9"/>
    </row>
    <row r="936">
      <c r="P936" s="9"/>
      <c r="Q936" s="9"/>
      <c r="R936" s="9"/>
    </row>
    <row r="937">
      <c r="P937" s="9"/>
      <c r="Q937" s="9"/>
      <c r="R937" s="9"/>
    </row>
    <row r="938">
      <c r="P938" s="9"/>
      <c r="Q938" s="9"/>
      <c r="R938" s="9"/>
    </row>
    <row r="939">
      <c r="P939" s="9"/>
      <c r="Q939" s="9"/>
      <c r="R939" s="9"/>
    </row>
    <row r="940">
      <c r="P940" s="9"/>
      <c r="Q940" s="9"/>
      <c r="R940" s="9"/>
    </row>
    <row r="941">
      <c r="P941" s="9"/>
      <c r="Q941" s="9"/>
      <c r="R941" s="9"/>
    </row>
    <row r="942">
      <c r="P942" s="9"/>
      <c r="Q942" s="9"/>
      <c r="R942" s="9"/>
    </row>
    <row r="943">
      <c r="P943" s="9"/>
      <c r="Q943" s="9"/>
      <c r="R943" s="9"/>
    </row>
    <row r="944">
      <c r="P944" s="9"/>
      <c r="Q944" s="9"/>
      <c r="R944" s="9"/>
    </row>
    <row r="945">
      <c r="P945" s="9"/>
      <c r="Q945" s="9"/>
      <c r="R945" s="9"/>
    </row>
    <row r="946">
      <c r="P946" s="9"/>
      <c r="Q946" s="9"/>
      <c r="R946" s="9"/>
    </row>
    <row r="947">
      <c r="P947" s="9"/>
      <c r="Q947" s="9"/>
      <c r="R947" s="9"/>
    </row>
    <row r="948">
      <c r="P948" s="9"/>
      <c r="Q948" s="9"/>
      <c r="R948" s="9"/>
    </row>
    <row r="949">
      <c r="P949" s="9"/>
      <c r="Q949" s="9"/>
      <c r="R949" s="9"/>
    </row>
    <row r="950">
      <c r="P950" s="9"/>
      <c r="Q950" s="9"/>
      <c r="R950" s="9"/>
    </row>
    <row r="951">
      <c r="P951" s="9"/>
      <c r="Q951" s="9"/>
      <c r="R951" s="9"/>
    </row>
    <row r="952">
      <c r="P952" s="9"/>
      <c r="Q952" s="9"/>
      <c r="R952" s="9"/>
    </row>
    <row r="953">
      <c r="P953" s="9"/>
      <c r="Q953" s="9"/>
      <c r="R953" s="9"/>
    </row>
    <row r="954">
      <c r="P954" s="9"/>
      <c r="Q954" s="9"/>
      <c r="R954" s="9"/>
    </row>
    <row r="955">
      <c r="P955" s="9"/>
      <c r="Q955" s="9"/>
      <c r="R955" s="9"/>
    </row>
    <row r="956">
      <c r="P956" s="9"/>
      <c r="Q956" s="9"/>
      <c r="R956" s="9"/>
    </row>
    <row r="957">
      <c r="P957" s="9"/>
      <c r="Q957" s="9"/>
      <c r="R957" s="9"/>
    </row>
    <row r="958">
      <c r="P958" s="9"/>
      <c r="Q958" s="9"/>
      <c r="R958" s="9"/>
    </row>
    <row r="959">
      <c r="P959" s="9"/>
      <c r="Q959" s="9"/>
      <c r="R959" s="9"/>
    </row>
    <row r="960">
      <c r="P960" s="9"/>
      <c r="Q960" s="9"/>
      <c r="R960" s="9"/>
    </row>
    <row r="961">
      <c r="P961" s="9"/>
      <c r="Q961" s="9"/>
      <c r="R961" s="9"/>
    </row>
    <row r="962">
      <c r="P962" s="9"/>
      <c r="Q962" s="9"/>
      <c r="R962" s="9"/>
    </row>
    <row r="963">
      <c r="P963" s="9"/>
      <c r="Q963" s="9"/>
      <c r="R963" s="9"/>
    </row>
    <row r="964">
      <c r="P964" s="9"/>
      <c r="Q964" s="9"/>
      <c r="R964" s="9"/>
    </row>
    <row r="965">
      <c r="P965" s="9"/>
      <c r="Q965" s="9"/>
      <c r="R965" s="9"/>
    </row>
    <row r="966">
      <c r="P966" s="9"/>
      <c r="Q966" s="9"/>
      <c r="R966" s="9"/>
    </row>
    <row r="967">
      <c r="P967" s="9"/>
      <c r="Q967" s="9"/>
      <c r="R967" s="9"/>
    </row>
    <row r="968">
      <c r="P968" s="9"/>
      <c r="Q968" s="9"/>
      <c r="R968" s="9"/>
    </row>
    <row r="969">
      <c r="P969" s="9"/>
      <c r="Q969" s="9"/>
      <c r="R969" s="9"/>
    </row>
    <row r="970">
      <c r="P970" s="9"/>
      <c r="Q970" s="9"/>
      <c r="R970" s="9"/>
    </row>
    <row r="971">
      <c r="P971" s="9"/>
      <c r="Q971" s="9"/>
      <c r="R971" s="9"/>
    </row>
    <row r="972">
      <c r="P972" s="9"/>
      <c r="Q972" s="9"/>
      <c r="R972" s="9"/>
    </row>
    <row r="973">
      <c r="P973" s="9"/>
      <c r="Q973" s="9"/>
      <c r="R973" s="9"/>
    </row>
    <row r="974">
      <c r="P974" s="9"/>
      <c r="Q974" s="9"/>
      <c r="R974" s="9"/>
    </row>
    <row r="975">
      <c r="P975" s="9"/>
      <c r="Q975" s="9"/>
      <c r="R975" s="9"/>
    </row>
    <row r="976">
      <c r="P976" s="9"/>
      <c r="Q976" s="9"/>
      <c r="R976" s="9"/>
    </row>
    <row r="977">
      <c r="P977" s="9"/>
      <c r="Q977" s="9"/>
      <c r="R977" s="9"/>
    </row>
    <row r="978">
      <c r="P978" s="9"/>
      <c r="Q978" s="9"/>
      <c r="R978" s="9"/>
    </row>
    <row r="979">
      <c r="P979" s="9"/>
      <c r="Q979" s="9"/>
      <c r="R979" s="9"/>
    </row>
    <row r="980">
      <c r="P980" s="9"/>
      <c r="Q980" s="9"/>
      <c r="R980" s="9"/>
    </row>
    <row r="981">
      <c r="P981" s="9"/>
      <c r="Q981" s="9"/>
      <c r="R981" s="9"/>
    </row>
    <row r="982">
      <c r="P982" s="9"/>
      <c r="Q982" s="9"/>
      <c r="R982" s="9"/>
    </row>
    <row r="983">
      <c r="P983" s="9"/>
      <c r="Q983" s="9"/>
      <c r="R983" s="9"/>
    </row>
    <row r="984">
      <c r="P984" s="9"/>
      <c r="Q984" s="9"/>
      <c r="R984" s="9"/>
    </row>
    <row r="985">
      <c r="P985" s="9"/>
      <c r="Q985" s="9"/>
      <c r="R985" s="9"/>
    </row>
    <row r="986">
      <c r="P986" s="9"/>
      <c r="Q986" s="9"/>
      <c r="R986" s="9"/>
    </row>
    <row r="987">
      <c r="P987" s="9"/>
      <c r="Q987" s="9"/>
      <c r="R987" s="9"/>
    </row>
    <row r="988">
      <c r="P988" s="9"/>
      <c r="Q988" s="9"/>
      <c r="R988" s="9"/>
    </row>
    <row r="989">
      <c r="P989" s="9"/>
      <c r="Q989" s="9"/>
      <c r="R989" s="9"/>
    </row>
    <row r="990">
      <c r="P990" s="9"/>
      <c r="Q990" s="9"/>
      <c r="R990" s="9"/>
    </row>
    <row r="991">
      <c r="P991" s="9"/>
      <c r="Q991" s="9"/>
      <c r="R991" s="9"/>
    </row>
    <row r="992">
      <c r="P992" s="9"/>
      <c r="Q992" s="9"/>
      <c r="R992" s="9"/>
    </row>
    <row r="993">
      <c r="P993" s="9"/>
      <c r="Q993" s="9"/>
      <c r="R993" s="9"/>
    </row>
    <row r="994">
      <c r="P994" s="9"/>
      <c r="Q994" s="9"/>
      <c r="R994" s="9"/>
    </row>
    <row r="995">
      <c r="P995" s="9"/>
      <c r="Q995" s="9"/>
      <c r="R995" s="9"/>
    </row>
    <row r="996">
      <c r="P996" s="9"/>
      <c r="Q996" s="9"/>
      <c r="R996" s="9"/>
    </row>
    <row r="997">
      <c r="P997" s="9"/>
      <c r="Q997" s="9"/>
      <c r="R997" s="9"/>
    </row>
    <row r="998">
      <c r="P998" s="9"/>
      <c r="Q998" s="9"/>
      <c r="R998" s="9"/>
    </row>
    <row r="999">
      <c r="P999" s="9"/>
      <c r="Q999" s="9"/>
      <c r="R999" s="9"/>
    </row>
    <row r="1000">
      <c r="P1000" s="9"/>
      <c r="Q1000" s="9"/>
      <c r="R1000" s="9"/>
    </row>
    <row r="1001">
      <c r="P1001" s="9"/>
      <c r="Q1001" s="9"/>
      <c r="R1001" s="9"/>
    </row>
  </sheetData>
  <autoFilter ref="$A$2:$N$32">
    <sortState ref="A2:N32">
      <sortCondition descending="1" ref="D2:D32"/>
    </sortState>
  </autoFilter>
  <mergeCells count="6">
    <mergeCell ref="B1:C1"/>
    <mergeCell ref="E1:F1"/>
    <mergeCell ref="G1:H1"/>
    <mergeCell ref="I1:J1"/>
    <mergeCell ref="K1:L1"/>
    <mergeCell ref="M1:N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5"/>
    <col hidden="1" min="2" max="2" width="12.63"/>
  </cols>
  <sheetData>
    <row r="1">
      <c r="A1" s="16" t="s">
        <v>0</v>
      </c>
      <c r="B1" s="16" t="s">
        <v>145</v>
      </c>
      <c r="C1" s="93" t="s">
        <v>146</v>
      </c>
      <c r="D1" s="16" t="s">
        <v>147</v>
      </c>
      <c r="E1" s="16" t="s">
        <v>148</v>
      </c>
      <c r="F1" s="16" t="s">
        <v>149</v>
      </c>
      <c r="G1" s="16" t="s">
        <v>150</v>
      </c>
    </row>
    <row r="2">
      <c r="A2" s="18" t="s">
        <v>140</v>
      </c>
      <c r="B2" s="29">
        <v>75.55</v>
      </c>
      <c r="C2" s="94">
        <v>78.48</v>
      </c>
      <c r="D2" s="17">
        <v>74.12</v>
      </c>
      <c r="E2" s="18"/>
      <c r="F2" s="18"/>
      <c r="G2" s="18"/>
    </row>
    <row r="3">
      <c r="A3" s="18" t="s">
        <v>131</v>
      </c>
      <c r="B3" s="17">
        <v>70.88</v>
      </c>
      <c r="C3" s="94">
        <v>82.59</v>
      </c>
      <c r="D3" s="17">
        <v>76.35</v>
      </c>
      <c r="E3" s="18"/>
      <c r="F3" s="18"/>
      <c r="G3" s="18"/>
    </row>
    <row r="4">
      <c r="A4" s="18" t="s">
        <v>136</v>
      </c>
      <c r="B4" s="17">
        <v>78.76</v>
      </c>
      <c r="C4" s="94">
        <v>74.79</v>
      </c>
      <c r="D4" s="17">
        <v>71.46</v>
      </c>
      <c r="E4" s="18"/>
      <c r="F4" s="18"/>
      <c r="G4" s="18"/>
    </row>
    <row r="5">
      <c r="A5" s="18" t="s">
        <v>135</v>
      </c>
      <c r="B5" s="17">
        <v>76.86</v>
      </c>
      <c r="C5" s="94">
        <v>82.94</v>
      </c>
      <c r="D5" s="17">
        <v>83.63</v>
      </c>
      <c r="E5" s="18"/>
      <c r="F5" s="18"/>
      <c r="G5" s="18"/>
    </row>
    <row r="6">
      <c r="A6" s="18" t="s">
        <v>122</v>
      </c>
      <c r="B6" s="94">
        <v>79.5</v>
      </c>
      <c r="C6" s="94">
        <v>77.86</v>
      </c>
      <c r="D6" s="17">
        <v>72.56</v>
      </c>
      <c r="E6" s="18"/>
      <c r="F6" s="18"/>
      <c r="G6" s="18"/>
    </row>
    <row r="7">
      <c r="A7" s="18" t="s">
        <v>116</v>
      </c>
      <c r="B7" s="17">
        <v>82.59</v>
      </c>
      <c r="C7" s="94">
        <v>86.28</v>
      </c>
      <c r="D7" s="17">
        <v>87.07</v>
      </c>
      <c r="E7" s="18"/>
      <c r="F7" s="18"/>
      <c r="G7" s="18"/>
    </row>
    <row r="8">
      <c r="A8" s="18" t="s">
        <v>133</v>
      </c>
      <c r="B8" s="17">
        <v>85.38</v>
      </c>
      <c r="C8" s="94">
        <v>79.68</v>
      </c>
      <c r="D8" s="17">
        <v>73.83</v>
      </c>
      <c r="E8" s="18"/>
      <c r="F8" s="18"/>
      <c r="G8" s="18"/>
    </row>
    <row r="9">
      <c r="A9" s="18" t="s">
        <v>138</v>
      </c>
      <c r="B9" s="17">
        <v>84.63</v>
      </c>
      <c r="C9" s="94">
        <v>78.49</v>
      </c>
      <c r="D9" s="17">
        <v>79.06</v>
      </c>
      <c r="E9" s="18"/>
      <c r="F9" s="18"/>
      <c r="G9" s="18"/>
    </row>
    <row r="10">
      <c r="A10" s="18" t="s">
        <v>143</v>
      </c>
      <c r="B10" s="17">
        <v>69.45</v>
      </c>
      <c r="C10" s="94">
        <v>57.82</v>
      </c>
      <c r="D10" s="17">
        <v>69.04</v>
      </c>
      <c r="E10" s="18"/>
      <c r="F10" s="18"/>
      <c r="G10" s="18"/>
    </row>
    <row r="11">
      <c r="A11" s="18" t="s">
        <v>137</v>
      </c>
      <c r="B11" s="17">
        <v>78.84</v>
      </c>
      <c r="C11" s="94">
        <v>80.72</v>
      </c>
      <c r="D11" s="17">
        <v>80.56</v>
      </c>
      <c r="E11" s="18"/>
      <c r="F11" s="18"/>
      <c r="G11" s="18"/>
    </row>
    <row r="12">
      <c r="A12" s="18" t="s">
        <v>128</v>
      </c>
      <c r="B12" s="17">
        <v>89.73</v>
      </c>
      <c r="C12" s="94">
        <v>93.33</v>
      </c>
      <c r="D12" s="17">
        <v>91.7</v>
      </c>
      <c r="E12" s="18"/>
      <c r="F12" s="18"/>
      <c r="G12" s="18"/>
    </row>
    <row r="13">
      <c r="A13" s="18" t="s">
        <v>121</v>
      </c>
      <c r="B13" s="94">
        <v>82.0</v>
      </c>
      <c r="C13" s="94">
        <v>79.54</v>
      </c>
      <c r="D13" s="17">
        <v>80.66</v>
      </c>
      <c r="E13" s="18"/>
      <c r="F13" s="18"/>
      <c r="G13" s="18"/>
    </row>
    <row r="14">
      <c r="A14" s="18" t="s">
        <v>139</v>
      </c>
      <c r="B14" s="17">
        <v>72.65</v>
      </c>
      <c r="C14" s="94">
        <v>67.45</v>
      </c>
      <c r="D14" s="17">
        <v>64.81</v>
      </c>
      <c r="E14" s="18"/>
      <c r="F14" s="18"/>
      <c r="G14" s="18"/>
    </row>
    <row r="15">
      <c r="A15" s="18" t="s">
        <v>142</v>
      </c>
      <c r="B15" s="17">
        <v>76.82</v>
      </c>
      <c r="C15" s="94">
        <v>63.07</v>
      </c>
      <c r="D15" s="17">
        <v>51.52</v>
      </c>
      <c r="E15" s="18"/>
      <c r="F15" s="18"/>
      <c r="G15" s="18"/>
    </row>
    <row r="16">
      <c r="A16" s="18" t="s">
        <v>132</v>
      </c>
      <c r="B16" s="17">
        <v>73.32</v>
      </c>
      <c r="C16" s="94">
        <v>79.61</v>
      </c>
      <c r="D16" s="17">
        <v>75.37</v>
      </c>
      <c r="E16" s="18"/>
      <c r="F16" s="18"/>
      <c r="G16" s="18"/>
    </row>
    <row r="17">
      <c r="A17" s="18" t="s">
        <v>114</v>
      </c>
      <c r="B17" s="17">
        <v>86.89</v>
      </c>
      <c r="C17" s="94">
        <v>87.41</v>
      </c>
      <c r="D17" s="17">
        <v>81.05</v>
      </c>
      <c r="E17" s="18"/>
      <c r="F17" s="18"/>
      <c r="G17" s="18"/>
    </row>
    <row r="18">
      <c r="A18" s="18" t="s">
        <v>111</v>
      </c>
      <c r="B18" s="17">
        <v>86.11</v>
      </c>
      <c r="C18" s="94">
        <v>83.42</v>
      </c>
      <c r="D18" s="17">
        <v>84.46</v>
      </c>
      <c r="E18" s="18"/>
      <c r="F18" s="18"/>
      <c r="G18" s="18"/>
    </row>
    <row r="19">
      <c r="A19" s="18" t="s">
        <v>109</v>
      </c>
      <c r="B19" s="17">
        <v>90.04</v>
      </c>
      <c r="C19" s="94">
        <v>87.58</v>
      </c>
      <c r="D19" s="17">
        <v>87.04</v>
      </c>
      <c r="E19" s="18"/>
      <c r="F19" s="18"/>
      <c r="G19" s="18"/>
    </row>
    <row r="20">
      <c r="A20" s="18" t="s">
        <v>124</v>
      </c>
      <c r="B20" s="17">
        <v>82.88</v>
      </c>
      <c r="C20" s="94">
        <v>80.58</v>
      </c>
      <c r="D20" s="17">
        <v>79.67</v>
      </c>
      <c r="E20" s="18"/>
      <c r="F20" s="18"/>
      <c r="G20" s="18"/>
    </row>
    <row r="21">
      <c r="A21" s="18" t="s">
        <v>127</v>
      </c>
      <c r="B21" s="17">
        <v>89.47</v>
      </c>
      <c r="C21" s="94">
        <v>92.03</v>
      </c>
      <c r="D21" s="17">
        <v>88.61</v>
      </c>
      <c r="E21" s="18"/>
      <c r="F21" s="18"/>
      <c r="G21" s="18"/>
    </row>
    <row r="22">
      <c r="A22" s="18" t="s">
        <v>130</v>
      </c>
      <c r="B22" s="17">
        <v>81.89</v>
      </c>
      <c r="C22" s="94">
        <v>82.0</v>
      </c>
      <c r="D22" s="17">
        <v>78.8</v>
      </c>
      <c r="E22" s="18"/>
      <c r="F22" s="18"/>
      <c r="G22" s="18"/>
    </row>
    <row r="23">
      <c r="A23" s="18" t="s">
        <v>141</v>
      </c>
      <c r="B23" s="17">
        <v>79.52</v>
      </c>
      <c r="C23" s="94">
        <v>80.3</v>
      </c>
      <c r="D23" s="17">
        <v>79.39</v>
      </c>
      <c r="E23" s="18"/>
      <c r="F23" s="18"/>
      <c r="G23" s="18"/>
    </row>
    <row r="24">
      <c r="A24" s="18" t="s">
        <v>123</v>
      </c>
      <c r="B24" s="17">
        <v>84.62</v>
      </c>
      <c r="C24" s="94">
        <v>84.57</v>
      </c>
      <c r="D24" s="17">
        <v>85.36</v>
      </c>
      <c r="E24" s="18"/>
      <c r="F24" s="18"/>
      <c r="G24" s="18"/>
    </row>
    <row r="25">
      <c r="A25" s="18" t="s">
        <v>112</v>
      </c>
      <c r="B25" s="17">
        <v>88.31</v>
      </c>
      <c r="C25" s="94">
        <v>87.36</v>
      </c>
      <c r="D25" s="17">
        <v>86.75</v>
      </c>
      <c r="E25" s="18"/>
      <c r="F25" s="18"/>
      <c r="G25" s="18"/>
    </row>
    <row r="26">
      <c r="A26" s="18" t="s">
        <v>134</v>
      </c>
      <c r="B26" s="17">
        <v>78.92</v>
      </c>
      <c r="C26" s="94">
        <v>80.91</v>
      </c>
      <c r="D26" s="17">
        <v>64.28</v>
      </c>
      <c r="E26" s="18"/>
      <c r="F26" s="18"/>
      <c r="G26" s="18"/>
    </row>
    <row r="27">
      <c r="A27" s="18" t="s">
        <v>125</v>
      </c>
      <c r="B27" s="17">
        <v>81.43</v>
      </c>
      <c r="C27" s="94">
        <v>85.2</v>
      </c>
      <c r="D27" s="17">
        <v>79.17</v>
      </c>
      <c r="E27" s="18"/>
      <c r="F27" s="18"/>
      <c r="G27" s="18"/>
    </row>
    <row r="28">
      <c r="A28" s="18" t="s">
        <v>129</v>
      </c>
      <c r="B28" s="17">
        <v>85.36</v>
      </c>
      <c r="C28" s="94">
        <v>77.36</v>
      </c>
      <c r="D28" s="17">
        <v>71.67</v>
      </c>
      <c r="E28" s="18"/>
      <c r="F28" s="18"/>
      <c r="G28" s="18"/>
    </row>
    <row r="29">
      <c r="A29" s="18" t="s">
        <v>120</v>
      </c>
      <c r="B29" s="17">
        <v>87.95</v>
      </c>
      <c r="C29" s="94">
        <v>87.85</v>
      </c>
      <c r="D29" s="17">
        <v>83.11</v>
      </c>
      <c r="E29" s="18"/>
      <c r="F29" s="18"/>
      <c r="G29" s="18"/>
    </row>
    <row r="30">
      <c r="A30" s="18" t="s">
        <v>126</v>
      </c>
      <c r="B30" s="17">
        <v>83.02</v>
      </c>
      <c r="C30" s="94">
        <v>77.58</v>
      </c>
      <c r="D30" s="17">
        <v>88.36</v>
      </c>
      <c r="E30" s="18"/>
      <c r="F30" s="18"/>
      <c r="G30" s="18"/>
    </row>
    <row r="31">
      <c r="A31" s="18" t="s">
        <v>118</v>
      </c>
      <c r="B31" s="17">
        <v>86.03</v>
      </c>
      <c r="C31" s="94">
        <v>88.21</v>
      </c>
      <c r="D31" s="17">
        <v>88.72</v>
      </c>
      <c r="E31" s="18"/>
      <c r="F31" s="18"/>
      <c r="G31" s="18"/>
    </row>
    <row r="32">
      <c r="C32" s="95"/>
    </row>
    <row r="33">
      <c r="C33" s="95"/>
    </row>
    <row r="34">
      <c r="C34" s="95"/>
    </row>
    <row r="35">
      <c r="C35" s="95"/>
    </row>
    <row r="36">
      <c r="C36" s="95"/>
    </row>
    <row r="37">
      <c r="C37" s="95"/>
    </row>
    <row r="38">
      <c r="C38" s="95"/>
    </row>
    <row r="39">
      <c r="C39" s="95"/>
    </row>
    <row r="40">
      <c r="C40" s="95"/>
    </row>
    <row r="41">
      <c r="C41" s="95"/>
    </row>
    <row r="42">
      <c r="C42" s="95"/>
    </row>
    <row r="43">
      <c r="C43" s="95"/>
    </row>
    <row r="44">
      <c r="C44" s="95"/>
    </row>
    <row r="45">
      <c r="C45" s="95"/>
    </row>
    <row r="46">
      <c r="C46" s="95"/>
    </row>
    <row r="47">
      <c r="C47" s="95"/>
    </row>
    <row r="48">
      <c r="C48" s="95"/>
    </row>
    <row r="49">
      <c r="C49" s="95"/>
    </row>
    <row r="50">
      <c r="C50" s="95"/>
    </row>
    <row r="51">
      <c r="C51" s="95"/>
    </row>
    <row r="52">
      <c r="C52" s="95"/>
    </row>
    <row r="53">
      <c r="C53" s="95"/>
    </row>
    <row r="54">
      <c r="C54" s="95"/>
    </row>
    <row r="55">
      <c r="C55" s="95"/>
    </row>
    <row r="56">
      <c r="C56" s="95"/>
    </row>
    <row r="57">
      <c r="C57" s="95"/>
    </row>
    <row r="58">
      <c r="C58" s="95"/>
    </row>
    <row r="59">
      <c r="C59" s="95"/>
    </row>
    <row r="60">
      <c r="C60" s="95"/>
    </row>
    <row r="61">
      <c r="C61" s="95"/>
    </row>
    <row r="62">
      <c r="C62" s="95"/>
    </row>
    <row r="63">
      <c r="C63" s="95"/>
    </row>
    <row r="64">
      <c r="C64" s="95"/>
    </row>
    <row r="65">
      <c r="C65" s="95"/>
    </row>
    <row r="66">
      <c r="C66" s="95"/>
    </row>
    <row r="67">
      <c r="C67" s="95"/>
    </row>
    <row r="68">
      <c r="C68" s="95"/>
    </row>
    <row r="69">
      <c r="C69" s="95"/>
    </row>
    <row r="70">
      <c r="C70" s="95"/>
    </row>
    <row r="71">
      <c r="C71" s="95"/>
    </row>
    <row r="72">
      <c r="C72" s="95"/>
    </row>
    <row r="73">
      <c r="C73" s="95"/>
    </row>
    <row r="74">
      <c r="C74" s="95"/>
    </row>
    <row r="75">
      <c r="C75" s="95"/>
    </row>
    <row r="76">
      <c r="C76" s="95"/>
    </row>
    <row r="77">
      <c r="C77" s="95"/>
    </row>
    <row r="78">
      <c r="C78" s="95"/>
    </row>
    <row r="79">
      <c r="C79" s="95"/>
    </row>
    <row r="80">
      <c r="C80" s="95"/>
    </row>
    <row r="81">
      <c r="C81" s="95"/>
    </row>
    <row r="82">
      <c r="C82" s="95"/>
    </row>
    <row r="83">
      <c r="C83" s="95"/>
    </row>
    <row r="84">
      <c r="C84" s="95"/>
    </row>
    <row r="85">
      <c r="C85" s="95"/>
    </row>
    <row r="86">
      <c r="C86" s="95"/>
    </row>
    <row r="87">
      <c r="C87" s="95"/>
    </row>
    <row r="88">
      <c r="C88" s="95"/>
    </row>
    <row r="89">
      <c r="C89" s="95"/>
    </row>
    <row r="90">
      <c r="C90" s="95"/>
    </row>
    <row r="91">
      <c r="C91" s="95"/>
    </row>
    <row r="92">
      <c r="C92" s="95"/>
    </row>
    <row r="93">
      <c r="C93" s="95"/>
    </row>
    <row r="94">
      <c r="C94" s="95"/>
    </row>
    <row r="95">
      <c r="C95" s="95"/>
    </row>
    <row r="96">
      <c r="C96" s="95"/>
    </row>
    <row r="97">
      <c r="C97" s="95"/>
    </row>
    <row r="98">
      <c r="C98" s="95"/>
    </row>
    <row r="99">
      <c r="C99" s="95"/>
    </row>
    <row r="100">
      <c r="C100" s="95"/>
    </row>
    <row r="101">
      <c r="C101" s="95"/>
    </row>
    <row r="102">
      <c r="C102" s="95"/>
    </row>
    <row r="103">
      <c r="C103" s="95"/>
    </row>
    <row r="104">
      <c r="C104" s="95"/>
    </row>
    <row r="105">
      <c r="C105" s="95"/>
    </row>
    <row r="106">
      <c r="C106" s="95"/>
    </row>
    <row r="107">
      <c r="C107" s="95"/>
    </row>
    <row r="108">
      <c r="C108" s="95"/>
    </row>
    <row r="109">
      <c r="C109" s="95"/>
    </row>
    <row r="110">
      <c r="C110" s="95"/>
    </row>
    <row r="111">
      <c r="C111" s="95"/>
    </row>
    <row r="112">
      <c r="C112" s="95"/>
    </row>
    <row r="113">
      <c r="C113" s="95"/>
    </row>
    <row r="114">
      <c r="C114" s="95"/>
    </row>
    <row r="115">
      <c r="C115" s="95"/>
    </row>
    <row r="116">
      <c r="C116" s="95"/>
    </row>
    <row r="117">
      <c r="C117" s="95"/>
    </row>
    <row r="118">
      <c r="C118" s="95"/>
    </row>
    <row r="119">
      <c r="C119" s="95"/>
    </row>
    <row r="120">
      <c r="C120" s="95"/>
    </row>
    <row r="121">
      <c r="C121" s="95"/>
    </row>
    <row r="122">
      <c r="C122" s="95"/>
    </row>
    <row r="123">
      <c r="C123" s="95"/>
    </row>
    <row r="124">
      <c r="C124" s="95"/>
    </row>
    <row r="125">
      <c r="C125" s="95"/>
    </row>
    <row r="126">
      <c r="C126" s="95"/>
    </row>
    <row r="127">
      <c r="C127" s="95"/>
    </row>
    <row r="128">
      <c r="C128" s="95"/>
    </row>
    <row r="129">
      <c r="C129" s="95"/>
    </row>
    <row r="130">
      <c r="C130" s="95"/>
    </row>
    <row r="131">
      <c r="C131" s="95"/>
    </row>
    <row r="132">
      <c r="C132" s="95"/>
    </row>
    <row r="133">
      <c r="C133" s="95"/>
    </row>
    <row r="134">
      <c r="C134" s="95"/>
    </row>
    <row r="135">
      <c r="C135" s="95"/>
    </row>
    <row r="136">
      <c r="C136" s="95"/>
    </row>
    <row r="137">
      <c r="C137" s="95"/>
    </row>
    <row r="138">
      <c r="C138" s="95"/>
    </row>
    <row r="139">
      <c r="C139" s="95"/>
    </row>
    <row r="140">
      <c r="C140" s="95"/>
    </row>
    <row r="141">
      <c r="C141" s="95"/>
    </row>
    <row r="142">
      <c r="C142" s="95"/>
    </row>
    <row r="143">
      <c r="C143" s="95"/>
    </row>
    <row r="144">
      <c r="C144" s="95"/>
    </row>
    <row r="145">
      <c r="C145" s="95"/>
    </row>
    <row r="146">
      <c r="C146" s="95"/>
    </row>
    <row r="147">
      <c r="C147" s="95"/>
    </row>
    <row r="148">
      <c r="C148" s="95"/>
    </row>
    <row r="149">
      <c r="C149" s="95"/>
    </row>
    <row r="150">
      <c r="C150" s="95"/>
    </row>
    <row r="151">
      <c r="C151" s="95"/>
    </row>
    <row r="152">
      <c r="C152" s="95"/>
    </row>
    <row r="153">
      <c r="C153" s="95"/>
    </row>
    <row r="154">
      <c r="C154" s="95"/>
    </row>
    <row r="155">
      <c r="C155" s="95"/>
    </row>
    <row r="156">
      <c r="C156" s="95"/>
    </row>
    <row r="157">
      <c r="C157" s="95"/>
    </row>
    <row r="158">
      <c r="C158" s="95"/>
    </row>
    <row r="159">
      <c r="C159" s="95"/>
    </row>
    <row r="160">
      <c r="C160" s="95"/>
    </row>
    <row r="161">
      <c r="C161" s="95"/>
    </row>
    <row r="162">
      <c r="C162" s="95"/>
    </row>
    <row r="163">
      <c r="C163" s="95"/>
    </row>
    <row r="164">
      <c r="C164" s="95"/>
    </row>
    <row r="165">
      <c r="C165" s="95"/>
    </row>
    <row r="166">
      <c r="C166" s="95"/>
    </row>
    <row r="167">
      <c r="C167" s="95"/>
    </row>
    <row r="168">
      <c r="C168" s="95"/>
    </row>
    <row r="169">
      <c r="C169" s="95"/>
    </row>
    <row r="170">
      <c r="C170" s="95"/>
    </row>
    <row r="171">
      <c r="C171" s="95"/>
    </row>
    <row r="172">
      <c r="C172" s="95"/>
    </row>
    <row r="173">
      <c r="C173" s="95"/>
    </row>
    <row r="174">
      <c r="C174" s="95"/>
    </row>
    <row r="175">
      <c r="C175" s="95"/>
    </row>
    <row r="176">
      <c r="C176" s="95"/>
    </row>
    <row r="177">
      <c r="C177" s="95"/>
    </row>
    <row r="178">
      <c r="C178" s="95"/>
    </row>
    <row r="179">
      <c r="C179" s="95"/>
    </row>
    <row r="180">
      <c r="C180" s="95"/>
    </row>
    <row r="181">
      <c r="C181" s="95"/>
    </row>
    <row r="182">
      <c r="C182" s="95"/>
    </row>
    <row r="183">
      <c r="C183" s="95"/>
    </row>
    <row r="184">
      <c r="C184" s="95"/>
    </row>
    <row r="185">
      <c r="C185" s="95"/>
    </row>
    <row r="186">
      <c r="C186" s="95"/>
    </row>
    <row r="187">
      <c r="C187" s="95"/>
    </row>
    <row r="188">
      <c r="C188" s="95"/>
    </row>
    <row r="189">
      <c r="C189" s="95"/>
    </row>
    <row r="190">
      <c r="C190" s="95"/>
    </row>
    <row r="191">
      <c r="C191" s="95"/>
    </row>
    <row r="192">
      <c r="C192" s="95"/>
    </row>
    <row r="193">
      <c r="C193" s="95"/>
    </row>
    <row r="194">
      <c r="C194" s="95"/>
    </row>
    <row r="195">
      <c r="C195" s="95"/>
    </row>
    <row r="196">
      <c r="C196" s="95"/>
    </row>
    <row r="197">
      <c r="C197" s="95"/>
    </row>
    <row r="198">
      <c r="C198" s="95"/>
    </row>
    <row r="199">
      <c r="C199" s="95"/>
    </row>
    <row r="200">
      <c r="C200" s="95"/>
    </row>
    <row r="201">
      <c r="C201" s="95"/>
    </row>
    <row r="202">
      <c r="C202" s="95"/>
    </row>
    <row r="203">
      <c r="C203" s="95"/>
    </row>
    <row r="204">
      <c r="C204" s="95"/>
    </row>
    <row r="205">
      <c r="C205" s="95"/>
    </row>
    <row r="206">
      <c r="C206" s="95"/>
    </row>
    <row r="207">
      <c r="C207" s="95"/>
    </row>
    <row r="208">
      <c r="C208" s="95"/>
    </row>
    <row r="209">
      <c r="C209" s="95"/>
    </row>
    <row r="210">
      <c r="C210" s="95"/>
    </row>
    <row r="211">
      <c r="C211" s="95"/>
    </row>
    <row r="212">
      <c r="C212" s="95"/>
    </row>
    <row r="213">
      <c r="C213" s="95"/>
    </row>
    <row r="214">
      <c r="C214" s="95"/>
    </row>
    <row r="215">
      <c r="C215" s="95"/>
    </row>
    <row r="216">
      <c r="C216" s="95"/>
    </row>
    <row r="217">
      <c r="C217" s="95"/>
    </row>
    <row r="218">
      <c r="C218" s="95"/>
    </row>
    <row r="219">
      <c r="C219" s="95"/>
    </row>
    <row r="220">
      <c r="C220" s="95"/>
    </row>
    <row r="221">
      <c r="C221" s="95"/>
    </row>
    <row r="222">
      <c r="C222" s="95"/>
    </row>
    <row r="223">
      <c r="C223" s="95"/>
    </row>
    <row r="224">
      <c r="C224" s="95"/>
    </row>
    <row r="225">
      <c r="C225" s="95"/>
    </row>
    <row r="226">
      <c r="C226" s="95"/>
    </row>
    <row r="227">
      <c r="C227" s="95"/>
    </row>
    <row r="228">
      <c r="C228" s="95"/>
    </row>
    <row r="229">
      <c r="C229" s="95"/>
    </row>
    <row r="230">
      <c r="C230" s="95"/>
    </row>
    <row r="231">
      <c r="C231" s="95"/>
    </row>
    <row r="232">
      <c r="C232" s="95"/>
    </row>
    <row r="233">
      <c r="C233" s="95"/>
    </row>
    <row r="234">
      <c r="C234" s="95"/>
    </row>
    <row r="235">
      <c r="C235" s="95"/>
    </row>
    <row r="236">
      <c r="C236" s="95"/>
    </row>
    <row r="237">
      <c r="C237" s="95"/>
    </row>
    <row r="238">
      <c r="C238" s="95"/>
    </row>
    <row r="239">
      <c r="C239" s="95"/>
    </row>
    <row r="240">
      <c r="C240" s="95"/>
    </row>
    <row r="241">
      <c r="C241" s="95"/>
    </row>
    <row r="242">
      <c r="C242" s="95"/>
    </row>
    <row r="243">
      <c r="C243" s="95"/>
    </row>
    <row r="244">
      <c r="C244" s="95"/>
    </row>
    <row r="245">
      <c r="C245" s="95"/>
    </row>
    <row r="246">
      <c r="C246" s="95"/>
    </row>
    <row r="247">
      <c r="C247" s="95"/>
    </row>
    <row r="248">
      <c r="C248" s="95"/>
    </row>
    <row r="249">
      <c r="C249" s="95"/>
    </row>
    <row r="250">
      <c r="C250" s="95"/>
    </row>
    <row r="251">
      <c r="C251" s="95"/>
    </row>
    <row r="252">
      <c r="C252" s="95"/>
    </row>
    <row r="253">
      <c r="C253" s="95"/>
    </row>
    <row r="254">
      <c r="C254" s="95"/>
    </row>
    <row r="255">
      <c r="C255" s="95"/>
    </row>
    <row r="256">
      <c r="C256" s="95"/>
    </row>
    <row r="257">
      <c r="C257" s="95"/>
    </row>
    <row r="258">
      <c r="C258" s="95"/>
    </row>
    <row r="259">
      <c r="C259" s="95"/>
    </row>
    <row r="260">
      <c r="C260" s="95"/>
    </row>
    <row r="261">
      <c r="C261" s="95"/>
    </row>
    <row r="262">
      <c r="C262" s="95"/>
    </row>
    <row r="263">
      <c r="C263" s="95"/>
    </row>
    <row r="264">
      <c r="C264" s="95"/>
    </row>
    <row r="265">
      <c r="C265" s="95"/>
    </row>
    <row r="266">
      <c r="C266" s="95"/>
    </row>
    <row r="267">
      <c r="C267" s="95"/>
    </row>
    <row r="268">
      <c r="C268" s="95"/>
    </row>
    <row r="269">
      <c r="C269" s="95"/>
    </row>
    <row r="270">
      <c r="C270" s="95"/>
    </row>
    <row r="271">
      <c r="C271" s="95"/>
    </row>
    <row r="272">
      <c r="C272" s="95"/>
    </row>
    <row r="273">
      <c r="C273" s="95"/>
    </row>
    <row r="274">
      <c r="C274" s="95"/>
    </row>
    <row r="275">
      <c r="C275" s="95"/>
    </row>
    <row r="276">
      <c r="C276" s="95"/>
    </row>
    <row r="277">
      <c r="C277" s="95"/>
    </row>
    <row r="278">
      <c r="C278" s="95"/>
    </row>
    <row r="279">
      <c r="C279" s="95"/>
    </row>
    <row r="280">
      <c r="C280" s="95"/>
    </row>
    <row r="281">
      <c r="C281" s="95"/>
    </row>
    <row r="282">
      <c r="C282" s="95"/>
    </row>
    <row r="283">
      <c r="C283" s="95"/>
    </row>
    <row r="284">
      <c r="C284" s="95"/>
    </row>
    <row r="285">
      <c r="C285" s="95"/>
    </row>
    <row r="286">
      <c r="C286" s="95"/>
    </row>
    <row r="287">
      <c r="C287" s="95"/>
    </row>
    <row r="288">
      <c r="C288" s="95"/>
    </row>
    <row r="289">
      <c r="C289" s="95"/>
    </row>
    <row r="290">
      <c r="C290" s="95"/>
    </row>
    <row r="291">
      <c r="C291" s="95"/>
    </row>
    <row r="292">
      <c r="C292" s="95"/>
    </row>
    <row r="293">
      <c r="C293" s="95"/>
    </row>
    <row r="294">
      <c r="C294" s="95"/>
    </row>
    <row r="295">
      <c r="C295" s="95"/>
    </row>
    <row r="296">
      <c r="C296" s="95"/>
    </row>
    <row r="297">
      <c r="C297" s="95"/>
    </row>
    <row r="298">
      <c r="C298" s="95"/>
    </row>
    <row r="299">
      <c r="C299" s="95"/>
    </row>
    <row r="300">
      <c r="C300" s="95"/>
    </row>
    <row r="301">
      <c r="C301" s="95"/>
    </row>
    <row r="302">
      <c r="C302" s="95"/>
    </row>
    <row r="303">
      <c r="C303" s="95"/>
    </row>
    <row r="304">
      <c r="C304" s="95"/>
    </row>
    <row r="305">
      <c r="C305" s="95"/>
    </row>
    <row r="306">
      <c r="C306" s="95"/>
    </row>
    <row r="307">
      <c r="C307" s="95"/>
    </row>
    <row r="308">
      <c r="C308" s="95"/>
    </row>
    <row r="309">
      <c r="C309" s="95"/>
    </row>
    <row r="310">
      <c r="C310" s="95"/>
    </row>
    <row r="311">
      <c r="C311" s="95"/>
    </row>
    <row r="312">
      <c r="C312" s="95"/>
    </row>
    <row r="313">
      <c r="C313" s="95"/>
    </row>
    <row r="314">
      <c r="C314" s="95"/>
    </row>
    <row r="315">
      <c r="C315" s="95"/>
    </row>
    <row r="316">
      <c r="C316" s="95"/>
    </row>
    <row r="317">
      <c r="C317" s="95"/>
    </row>
    <row r="318">
      <c r="C318" s="95"/>
    </row>
    <row r="319">
      <c r="C319" s="95"/>
    </row>
    <row r="320">
      <c r="C320" s="95"/>
    </row>
    <row r="321">
      <c r="C321" s="95"/>
    </row>
    <row r="322">
      <c r="C322" s="95"/>
    </row>
    <row r="323">
      <c r="C323" s="95"/>
    </row>
    <row r="324">
      <c r="C324" s="95"/>
    </row>
    <row r="325">
      <c r="C325" s="95"/>
    </row>
    <row r="326">
      <c r="C326" s="95"/>
    </row>
    <row r="327">
      <c r="C327" s="95"/>
    </row>
    <row r="328">
      <c r="C328" s="95"/>
    </row>
    <row r="329">
      <c r="C329" s="95"/>
    </row>
    <row r="330">
      <c r="C330" s="95"/>
    </row>
    <row r="331">
      <c r="C331" s="95"/>
    </row>
    <row r="332">
      <c r="C332" s="95"/>
    </row>
    <row r="333">
      <c r="C333" s="95"/>
    </row>
    <row r="334">
      <c r="C334" s="95"/>
    </row>
    <row r="335">
      <c r="C335" s="95"/>
    </row>
    <row r="336">
      <c r="C336" s="95"/>
    </row>
    <row r="337">
      <c r="C337" s="95"/>
    </row>
    <row r="338">
      <c r="C338" s="95"/>
    </row>
    <row r="339">
      <c r="C339" s="95"/>
    </row>
    <row r="340">
      <c r="C340" s="95"/>
    </row>
    <row r="341">
      <c r="C341" s="95"/>
    </row>
    <row r="342">
      <c r="C342" s="95"/>
    </row>
    <row r="343">
      <c r="C343" s="95"/>
    </row>
    <row r="344">
      <c r="C344" s="95"/>
    </row>
    <row r="345">
      <c r="C345" s="95"/>
    </row>
    <row r="346">
      <c r="C346" s="95"/>
    </row>
    <row r="347">
      <c r="C347" s="95"/>
    </row>
    <row r="348">
      <c r="C348" s="95"/>
    </row>
    <row r="349">
      <c r="C349" s="95"/>
    </row>
    <row r="350">
      <c r="C350" s="95"/>
    </row>
    <row r="351">
      <c r="C351" s="95"/>
    </row>
    <row r="352">
      <c r="C352" s="95"/>
    </row>
    <row r="353">
      <c r="C353" s="95"/>
    </row>
    <row r="354">
      <c r="C354" s="95"/>
    </row>
    <row r="355">
      <c r="C355" s="95"/>
    </row>
    <row r="356">
      <c r="C356" s="95"/>
    </row>
    <row r="357">
      <c r="C357" s="95"/>
    </row>
    <row r="358">
      <c r="C358" s="95"/>
    </row>
    <row r="359">
      <c r="C359" s="95"/>
    </row>
    <row r="360">
      <c r="C360" s="95"/>
    </row>
    <row r="361">
      <c r="C361" s="95"/>
    </row>
    <row r="362">
      <c r="C362" s="95"/>
    </row>
    <row r="363">
      <c r="C363" s="95"/>
    </row>
    <row r="364">
      <c r="C364" s="95"/>
    </row>
    <row r="365">
      <c r="C365" s="95"/>
    </row>
    <row r="366">
      <c r="C366" s="95"/>
    </row>
    <row r="367">
      <c r="C367" s="95"/>
    </row>
    <row r="368">
      <c r="C368" s="95"/>
    </row>
    <row r="369">
      <c r="C369" s="95"/>
    </row>
    <row r="370">
      <c r="C370" s="95"/>
    </row>
    <row r="371">
      <c r="C371" s="95"/>
    </row>
    <row r="372">
      <c r="C372" s="95"/>
    </row>
    <row r="373">
      <c r="C373" s="95"/>
    </row>
    <row r="374">
      <c r="C374" s="95"/>
    </row>
    <row r="375">
      <c r="C375" s="95"/>
    </row>
    <row r="376">
      <c r="C376" s="95"/>
    </row>
    <row r="377">
      <c r="C377" s="95"/>
    </row>
    <row r="378">
      <c r="C378" s="95"/>
    </row>
    <row r="379">
      <c r="C379" s="95"/>
    </row>
    <row r="380">
      <c r="C380" s="95"/>
    </row>
    <row r="381">
      <c r="C381" s="95"/>
    </row>
    <row r="382">
      <c r="C382" s="95"/>
    </row>
    <row r="383">
      <c r="C383" s="95"/>
    </row>
    <row r="384">
      <c r="C384" s="95"/>
    </row>
    <row r="385">
      <c r="C385" s="95"/>
    </row>
    <row r="386">
      <c r="C386" s="95"/>
    </row>
    <row r="387">
      <c r="C387" s="95"/>
    </row>
    <row r="388">
      <c r="C388" s="95"/>
    </row>
    <row r="389">
      <c r="C389" s="95"/>
    </row>
    <row r="390">
      <c r="C390" s="95"/>
    </row>
    <row r="391">
      <c r="C391" s="95"/>
    </row>
    <row r="392">
      <c r="C392" s="95"/>
    </row>
    <row r="393">
      <c r="C393" s="95"/>
    </row>
    <row r="394">
      <c r="C394" s="95"/>
    </row>
    <row r="395">
      <c r="C395" s="95"/>
    </row>
    <row r="396">
      <c r="C396" s="95"/>
    </row>
    <row r="397">
      <c r="C397" s="95"/>
    </row>
    <row r="398">
      <c r="C398" s="95"/>
    </row>
    <row r="399">
      <c r="C399" s="95"/>
    </row>
    <row r="400">
      <c r="C400" s="95"/>
    </row>
    <row r="401">
      <c r="C401" s="95"/>
    </row>
    <row r="402">
      <c r="C402" s="95"/>
    </row>
    <row r="403">
      <c r="C403" s="95"/>
    </row>
    <row r="404">
      <c r="C404" s="95"/>
    </row>
    <row r="405">
      <c r="C405" s="95"/>
    </row>
    <row r="406">
      <c r="C406" s="95"/>
    </row>
    <row r="407">
      <c r="C407" s="95"/>
    </row>
    <row r="408">
      <c r="C408" s="95"/>
    </row>
    <row r="409">
      <c r="C409" s="95"/>
    </row>
    <row r="410">
      <c r="C410" s="95"/>
    </row>
    <row r="411">
      <c r="C411" s="95"/>
    </row>
    <row r="412">
      <c r="C412" s="95"/>
    </row>
    <row r="413">
      <c r="C413" s="95"/>
    </row>
    <row r="414">
      <c r="C414" s="95"/>
    </row>
    <row r="415">
      <c r="C415" s="95"/>
    </row>
    <row r="416">
      <c r="C416" s="95"/>
    </row>
    <row r="417">
      <c r="C417" s="95"/>
    </row>
    <row r="418">
      <c r="C418" s="95"/>
    </row>
    <row r="419">
      <c r="C419" s="95"/>
    </row>
    <row r="420">
      <c r="C420" s="95"/>
    </row>
    <row r="421">
      <c r="C421" s="95"/>
    </row>
    <row r="422">
      <c r="C422" s="95"/>
    </row>
    <row r="423">
      <c r="C423" s="95"/>
    </row>
    <row r="424">
      <c r="C424" s="95"/>
    </row>
    <row r="425">
      <c r="C425" s="95"/>
    </row>
    <row r="426">
      <c r="C426" s="95"/>
    </row>
    <row r="427">
      <c r="C427" s="95"/>
    </row>
    <row r="428">
      <c r="C428" s="95"/>
    </row>
    <row r="429">
      <c r="C429" s="95"/>
    </row>
    <row r="430">
      <c r="C430" s="95"/>
    </row>
    <row r="431">
      <c r="C431" s="95"/>
    </row>
    <row r="432">
      <c r="C432" s="95"/>
    </row>
    <row r="433">
      <c r="C433" s="95"/>
    </row>
    <row r="434">
      <c r="C434" s="95"/>
    </row>
    <row r="435">
      <c r="C435" s="95"/>
    </row>
    <row r="436">
      <c r="C436" s="95"/>
    </row>
    <row r="437">
      <c r="C437" s="95"/>
    </row>
    <row r="438">
      <c r="C438" s="95"/>
    </row>
    <row r="439">
      <c r="C439" s="95"/>
    </row>
    <row r="440">
      <c r="C440" s="95"/>
    </row>
    <row r="441">
      <c r="C441" s="95"/>
    </row>
    <row r="442">
      <c r="C442" s="95"/>
    </row>
    <row r="443">
      <c r="C443" s="95"/>
    </row>
    <row r="444">
      <c r="C444" s="95"/>
    </row>
    <row r="445">
      <c r="C445" s="95"/>
    </row>
    <row r="446">
      <c r="C446" s="95"/>
    </row>
    <row r="447">
      <c r="C447" s="95"/>
    </row>
    <row r="448">
      <c r="C448" s="95"/>
    </row>
    <row r="449">
      <c r="C449" s="95"/>
    </row>
    <row r="450">
      <c r="C450" s="95"/>
    </row>
    <row r="451">
      <c r="C451" s="95"/>
    </row>
    <row r="452">
      <c r="C452" s="95"/>
    </row>
    <row r="453">
      <c r="C453" s="95"/>
    </row>
    <row r="454">
      <c r="C454" s="95"/>
    </row>
    <row r="455">
      <c r="C455" s="95"/>
    </row>
    <row r="456">
      <c r="C456" s="95"/>
    </row>
    <row r="457">
      <c r="C457" s="95"/>
    </row>
    <row r="458">
      <c r="C458" s="95"/>
    </row>
    <row r="459">
      <c r="C459" s="95"/>
    </row>
    <row r="460">
      <c r="C460" s="95"/>
    </row>
    <row r="461">
      <c r="C461" s="95"/>
    </row>
    <row r="462">
      <c r="C462" s="95"/>
    </row>
    <row r="463">
      <c r="C463" s="95"/>
    </row>
    <row r="464">
      <c r="C464" s="95"/>
    </row>
    <row r="465">
      <c r="C465" s="95"/>
    </row>
    <row r="466">
      <c r="C466" s="95"/>
    </row>
    <row r="467">
      <c r="C467" s="95"/>
    </row>
    <row r="468">
      <c r="C468" s="95"/>
    </row>
    <row r="469">
      <c r="C469" s="95"/>
    </row>
    <row r="470">
      <c r="C470" s="95"/>
    </row>
    <row r="471">
      <c r="C471" s="95"/>
    </row>
    <row r="472">
      <c r="C472" s="95"/>
    </row>
    <row r="473">
      <c r="C473" s="95"/>
    </row>
    <row r="474">
      <c r="C474" s="95"/>
    </row>
    <row r="475">
      <c r="C475" s="95"/>
    </row>
    <row r="476">
      <c r="C476" s="95"/>
    </row>
    <row r="477">
      <c r="C477" s="95"/>
    </row>
    <row r="478">
      <c r="C478" s="95"/>
    </row>
    <row r="479">
      <c r="C479" s="95"/>
    </row>
    <row r="480">
      <c r="C480" s="95"/>
    </row>
    <row r="481">
      <c r="C481" s="95"/>
    </row>
    <row r="482">
      <c r="C482" s="95"/>
    </row>
    <row r="483">
      <c r="C483" s="95"/>
    </row>
    <row r="484">
      <c r="C484" s="95"/>
    </row>
    <row r="485">
      <c r="C485" s="95"/>
    </row>
    <row r="486">
      <c r="C486" s="95"/>
    </row>
    <row r="487">
      <c r="C487" s="95"/>
    </row>
    <row r="488">
      <c r="C488" s="95"/>
    </row>
    <row r="489">
      <c r="C489" s="95"/>
    </row>
    <row r="490">
      <c r="C490" s="95"/>
    </row>
    <row r="491">
      <c r="C491" s="95"/>
    </row>
    <row r="492">
      <c r="C492" s="95"/>
    </row>
    <row r="493">
      <c r="C493" s="95"/>
    </row>
    <row r="494">
      <c r="C494" s="95"/>
    </row>
    <row r="495">
      <c r="C495" s="95"/>
    </row>
    <row r="496">
      <c r="C496" s="95"/>
    </row>
    <row r="497">
      <c r="C497" s="95"/>
    </row>
    <row r="498">
      <c r="C498" s="95"/>
    </row>
    <row r="499">
      <c r="C499" s="95"/>
    </row>
    <row r="500">
      <c r="C500" s="95"/>
    </row>
    <row r="501">
      <c r="C501" s="95"/>
    </row>
    <row r="502">
      <c r="C502" s="95"/>
    </row>
    <row r="503">
      <c r="C503" s="95"/>
    </row>
    <row r="504">
      <c r="C504" s="95"/>
    </row>
    <row r="505">
      <c r="C505" s="95"/>
    </row>
    <row r="506">
      <c r="C506" s="95"/>
    </row>
    <row r="507">
      <c r="C507" s="95"/>
    </row>
    <row r="508">
      <c r="C508" s="95"/>
    </row>
    <row r="509">
      <c r="C509" s="95"/>
    </row>
    <row r="510">
      <c r="C510" s="95"/>
    </row>
    <row r="511">
      <c r="C511" s="95"/>
    </row>
    <row r="512">
      <c r="C512" s="95"/>
    </row>
    <row r="513">
      <c r="C513" s="95"/>
    </row>
    <row r="514">
      <c r="C514" s="95"/>
    </row>
    <row r="515">
      <c r="C515" s="95"/>
    </row>
    <row r="516">
      <c r="C516" s="95"/>
    </row>
    <row r="517">
      <c r="C517" s="95"/>
    </row>
    <row r="518">
      <c r="C518" s="95"/>
    </row>
    <row r="519">
      <c r="C519" s="95"/>
    </row>
    <row r="520">
      <c r="C520" s="95"/>
    </row>
    <row r="521">
      <c r="C521" s="95"/>
    </row>
    <row r="522">
      <c r="C522" s="95"/>
    </row>
    <row r="523">
      <c r="C523" s="95"/>
    </row>
    <row r="524">
      <c r="C524" s="95"/>
    </row>
    <row r="525">
      <c r="C525" s="95"/>
    </row>
    <row r="526">
      <c r="C526" s="95"/>
    </row>
    <row r="527">
      <c r="C527" s="95"/>
    </row>
    <row r="528">
      <c r="C528" s="95"/>
    </row>
    <row r="529">
      <c r="C529" s="95"/>
    </row>
    <row r="530">
      <c r="C530" s="95"/>
    </row>
    <row r="531">
      <c r="C531" s="95"/>
    </row>
    <row r="532">
      <c r="C532" s="95"/>
    </row>
    <row r="533">
      <c r="C533" s="95"/>
    </row>
    <row r="534">
      <c r="C534" s="95"/>
    </row>
    <row r="535">
      <c r="C535" s="95"/>
    </row>
    <row r="536">
      <c r="C536" s="95"/>
    </row>
    <row r="537">
      <c r="C537" s="95"/>
    </row>
    <row r="538">
      <c r="C538" s="95"/>
    </row>
    <row r="539">
      <c r="C539" s="95"/>
    </row>
    <row r="540">
      <c r="C540" s="95"/>
    </row>
    <row r="541">
      <c r="C541" s="95"/>
    </row>
    <row r="542">
      <c r="C542" s="95"/>
    </row>
    <row r="543">
      <c r="C543" s="95"/>
    </row>
    <row r="544">
      <c r="C544" s="95"/>
    </row>
    <row r="545">
      <c r="C545" s="95"/>
    </row>
    <row r="546">
      <c r="C546" s="95"/>
    </row>
    <row r="547">
      <c r="C547" s="95"/>
    </row>
    <row r="548">
      <c r="C548" s="95"/>
    </row>
    <row r="549">
      <c r="C549" s="95"/>
    </row>
    <row r="550">
      <c r="C550" s="95"/>
    </row>
    <row r="551">
      <c r="C551" s="95"/>
    </row>
    <row r="552">
      <c r="C552" s="95"/>
    </row>
    <row r="553">
      <c r="C553" s="95"/>
    </row>
    <row r="554">
      <c r="C554" s="95"/>
    </row>
    <row r="555">
      <c r="C555" s="95"/>
    </row>
    <row r="556">
      <c r="C556" s="95"/>
    </row>
    <row r="557">
      <c r="C557" s="95"/>
    </row>
    <row r="558">
      <c r="C558" s="95"/>
    </row>
    <row r="559">
      <c r="C559" s="95"/>
    </row>
    <row r="560">
      <c r="C560" s="95"/>
    </row>
    <row r="561">
      <c r="C561" s="95"/>
    </row>
    <row r="562">
      <c r="C562" s="95"/>
    </row>
    <row r="563">
      <c r="C563" s="95"/>
    </row>
    <row r="564">
      <c r="C564" s="95"/>
    </row>
    <row r="565">
      <c r="C565" s="95"/>
    </row>
    <row r="566">
      <c r="C566" s="95"/>
    </row>
    <row r="567">
      <c r="C567" s="95"/>
    </row>
    <row r="568">
      <c r="C568" s="95"/>
    </row>
    <row r="569">
      <c r="C569" s="95"/>
    </row>
    <row r="570">
      <c r="C570" s="95"/>
    </row>
    <row r="571">
      <c r="C571" s="95"/>
    </row>
    <row r="572">
      <c r="C572" s="95"/>
    </row>
    <row r="573">
      <c r="C573" s="95"/>
    </row>
    <row r="574">
      <c r="C574" s="95"/>
    </row>
    <row r="575">
      <c r="C575" s="95"/>
    </row>
    <row r="576">
      <c r="C576" s="95"/>
    </row>
    <row r="577">
      <c r="C577" s="95"/>
    </row>
    <row r="578">
      <c r="C578" s="95"/>
    </row>
    <row r="579">
      <c r="C579" s="95"/>
    </row>
    <row r="580">
      <c r="C580" s="95"/>
    </row>
    <row r="581">
      <c r="C581" s="95"/>
    </row>
    <row r="582">
      <c r="C582" s="95"/>
    </row>
    <row r="583">
      <c r="C583" s="95"/>
    </row>
    <row r="584">
      <c r="C584" s="95"/>
    </row>
    <row r="585">
      <c r="C585" s="95"/>
    </row>
    <row r="586">
      <c r="C586" s="95"/>
    </row>
    <row r="587">
      <c r="C587" s="95"/>
    </row>
    <row r="588">
      <c r="C588" s="95"/>
    </row>
    <row r="589">
      <c r="C589" s="95"/>
    </row>
    <row r="590">
      <c r="C590" s="95"/>
    </row>
    <row r="591">
      <c r="C591" s="95"/>
    </row>
    <row r="592">
      <c r="C592" s="95"/>
    </row>
    <row r="593">
      <c r="C593" s="95"/>
    </row>
    <row r="594">
      <c r="C594" s="95"/>
    </row>
    <row r="595">
      <c r="C595" s="95"/>
    </row>
    <row r="596">
      <c r="C596" s="95"/>
    </row>
    <row r="597">
      <c r="C597" s="95"/>
    </row>
    <row r="598">
      <c r="C598" s="95"/>
    </row>
    <row r="599">
      <c r="C599" s="95"/>
    </row>
    <row r="600">
      <c r="C600" s="95"/>
    </row>
    <row r="601">
      <c r="C601" s="95"/>
    </row>
    <row r="602">
      <c r="C602" s="95"/>
    </row>
    <row r="603">
      <c r="C603" s="95"/>
    </row>
    <row r="604">
      <c r="C604" s="95"/>
    </row>
    <row r="605">
      <c r="C605" s="95"/>
    </row>
    <row r="606">
      <c r="C606" s="95"/>
    </row>
    <row r="607">
      <c r="C607" s="95"/>
    </row>
    <row r="608">
      <c r="C608" s="95"/>
    </row>
    <row r="609">
      <c r="C609" s="95"/>
    </row>
    <row r="610">
      <c r="C610" s="95"/>
    </row>
    <row r="611">
      <c r="C611" s="95"/>
    </row>
    <row r="612">
      <c r="C612" s="95"/>
    </row>
    <row r="613">
      <c r="C613" s="95"/>
    </row>
    <row r="614">
      <c r="C614" s="95"/>
    </row>
    <row r="615">
      <c r="C615" s="95"/>
    </row>
    <row r="616">
      <c r="C616" s="95"/>
    </row>
    <row r="617">
      <c r="C617" s="95"/>
    </row>
    <row r="618">
      <c r="C618" s="95"/>
    </row>
    <row r="619">
      <c r="C619" s="95"/>
    </row>
    <row r="620">
      <c r="C620" s="95"/>
    </row>
    <row r="621">
      <c r="C621" s="95"/>
    </row>
    <row r="622">
      <c r="C622" s="95"/>
    </row>
    <row r="623">
      <c r="C623" s="95"/>
    </row>
    <row r="624">
      <c r="C624" s="95"/>
    </row>
    <row r="625">
      <c r="C625" s="95"/>
    </row>
    <row r="626">
      <c r="C626" s="95"/>
    </row>
    <row r="627">
      <c r="C627" s="95"/>
    </row>
    <row r="628">
      <c r="C628" s="95"/>
    </row>
    <row r="629">
      <c r="C629" s="95"/>
    </row>
    <row r="630">
      <c r="C630" s="95"/>
    </row>
    <row r="631">
      <c r="C631" s="95"/>
    </row>
    <row r="632">
      <c r="C632" s="95"/>
    </row>
    <row r="633">
      <c r="C633" s="95"/>
    </row>
    <row r="634">
      <c r="C634" s="95"/>
    </row>
    <row r="635">
      <c r="C635" s="95"/>
    </row>
    <row r="636">
      <c r="C636" s="95"/>
    </row>
    <row r="637">
      <c r="C637" s="95"/>
    </row>
    <row r="638">
      <c r="C638" s="95"/>
    </row>
    <row r="639">
      <c r="C639" s="95"/>
    </row>
    <row r="640">
      <c r="C640" s="95"/>
    </row>
    <row r="641">
      <c r="C641" s="95"/>
    </row>
    <row r="642">
      <c r="C642" s="95"/>
    </row>
    <row r="643">
      <c r="C643" s="95"/>
    </row>
    <row r="644">
      <c r="C644" s="95"/>
    </row>
    <row r="645">
      <c r="C645" s="95"/>
    </row>
    <row r="646">
      <c r="C646" s="95"/>
    </row>
    <row r="647">
      <c r="C647" s="95"/>
    </row>
    <row r="648">
      <c r="C648" s="95"/>
    </row>
    <row r="649">
      <c r="C649" s="95"/>
    </row>
    <row r="650">
      <c r="C650" s="95"/>
    </row>
    <row r="651">
      <c r="C651" s="95"/>
    </row>
    <row r="652">
      <c r="C652" s="95"/>
    </row>
    <row r="653">
      <c r="C653" s="95"/>
    </row>
    <row r="654">
      <c r="C654" s="95"/>
    </row>
    <row r="655">
      <c r="C655" s="95"/>
    </row>
    <row r="656">
      <c r="C656" s="95"/>
    </row>
    <row r="657">
      <c r="C657" s="95"/>
    </row>
    <row r="658">
      <c r="C658" s="95"/>
    </row>
    <row r="659">
      <c r="C659" s="95"/>
    </row>
    <row r="660">
      <c r="C660" s="95"/>
    </row>
    <row r="661">
      <c r="C661" s="95"/>
    </row>
    <row r="662">
      <c r="C662" s="95"/>
    </row>
    <row r="663">
      <c r="C663" s="95"/>
    </row>
    <row r="664">
      <c r="C664" s="95"/>
    </row>
    <row r="665">
      <c r="C665" s="95"/>
    </row>
    <row r="666">
      <c r="C666" s="95"/>
    </row>
    <row r="667">
      <c r="C667" s="95"/>
    </row>
    <row r="668">
      <c r="C668" s="95"/>
    </row>
    <row r="669">
      <c r="C669" s="95"/>
    </row>
    <row r="670">
      <c r="C670" s="95"/>
    </row>
    <row r="671">
      <c r="C671" s="95"/>
    </row>
    <row r="672">
      <c r="C672" s="95"/>
    </row>
    <row r="673">
      <c r="C673" s="95"/>
    </row>
    <row r="674">
      <c r="C674" s="95"/>
    </row>
    <row r="675">
      <c r="C675" s="95"/>
    </row>
    <row r="676">
      <c r="C676" s="95"/>
    </row>
    <row r="677">
      <c r="C677" s="95"/>
    </row>
    <row r="678">
      <c r="C678" s="95"/>
    </row>
    <row r="679">
      <c r="C679" s="95"/>
    </row>
    <row r="680">
      <c r="C680" s="95"/>
    </row>
    <row r="681">
      <c r="C681" s="95"/>
    </row>
    <row r="682">
      <c r="C682" s="95"/>
    </row>
    <row r="683">
      <c r="C683" s="95"/>
    </row>
    <row r="684">
      <c r="C684" s="95"/>
    </row>
    <row r="685">
      <c r="C685" s="95"/>
    </row>
    <row r="686">
      <c r="C686" s="95"/>
    </row>
    <row r="687">
      <c r="C687" s="95"/>
    </row>
    <row r="688">
      <c r="C688" s="95"/>
    </row>
    <row r="689">
      <c r="C689" s="95"/>
    </row>
    <row r="690">
      <c r="C690" s="95"/>
    </row>
    <row r="691">
      <c r="C691" s="95"/>
    </row>
    <row r="692">
      <c r="C692" s="95"/>
    </row>
    <row r="693">
      <c r="C693" s="95"/>
    </row>
    <row r="694">
      <c r="C694" s="95"/>
    </row>
    <row r="695">
      <c r="C695" s="95"/>
    </row>
    <row r="696">
      <c r="C696" s="95"/>
    </row>
    <row r="697">
      <c r="C697" s="95"/>
    </row>
    <row r="698">
      <c r="C698" s="95"/>
    </row>
    <row r="699">
      <c r="C699" s="95"/>
    </row>
    <row r="700">
      <c r="C700" s="95"/>
    </row>
    <row r="701">
      <c r="C701" s="95"/>
    </row>
    <row r="702">
      <c r="C702" s="95"/>
    </row>
    <row r="703">
      <c r="C703" s="95"/>
    </row>
    <row r="704">
      <c r="C704" s="95"/>
    </row>
    <row r="705">
      <c r="C705" s="95"/>
    </row>
    <row r="706">
      <c r="C706" s="95"/>
    </row>
    <row r="707">
      <c r="C707" s="95"/>
    </row>
    <row r="708">
      <c r="C708" s="95"/>
    </row>
    <row r="709">
      <c r="C709" s="95"/>
    </row>
    <row r="710">
      <c r="C710" s="95"/>
    </row>
    <row r="711">
      <c r="C711" s="95"/>
    </row>
    <row r="712">
      <c r="C712" s="95"/>
    </row>
    <row r="713">
      <c r="C713" s="95"/>
    </row>
    <row r="714">
      <c r="C714" s="95"/>
    </row>
    <row r="715">
      <c r="C715" s="95"/>
    </row>
    <row r="716">
      <c r="C716" s="95"/>
    </row>
    <row r="717">
      <c r="C717" s="95"/>
    </row>
    <row r="718">
      <c r="C718" s="95"/>
    </row>
    <row r="719">
      <c r="C719" s="95"/>
    </row>
    <row r="720">
      <c r="C720" s="95"/>
    </row>
    <row r="721">
      <c r="C721" s="95"/>
    </row>
    <row r="722">
      <c r="C722" s="95"/>
    </row>
    <row r="723">
      <c r="C723" s="95"/>
    </row>
    <row r="724">
      <c r="C724" s="95"/>
    </row>
    <row r="725">
      <c r="C725" s="95"/>
    </row>
    <row r="726">
      <c r="C726" s="95"/>
    </row>
    <row r="727">
      <c r="C727" s="95"/>
    </row>
    <row r="728">
      <c r="C728" s="95"/>
    </row>
    <row r="729">
      <c r="C729" s="95"/>
    </row>
    <row r="730">
      <c r="C730" s="95"/>
    </row>
    <row r="731">
      <c r="C731" s="95"/>
    </row>
    <row r="732">
      <c r="C732" s="95"/>
    </row>
    <row r="733">
      <c r="C733" s="95"/>
    </row>
    <row r="734">
      <c r="C734" s="95"/>
    </row>
    <row r="735">
      <c r="C735" s="95"/>
    </row>
    <row r="736">
      <c r="C736" s="95"/>
    </row>
    <row r="737">
      <c r="C737" s="95"/>
    </row>
    <row r="738">
      <c r="C738" s="95"/>
    </row>
    <row r="739">
      <c r="C739" s="95"/>
    </row>
    <row r="740">
      <c r="C740" s="95"/>
    </row>
    <row r="741">
      <c r="C741" s="95"/>
    </row>
    <row r="742">
      <c r="C742" s="95"/>
    </row>
    <row r="743">
      <c r="C743" s="95"/>
    </row>
    <row r="744">
      <c r="C744" s="95"/>
    </row>
    <row r="745">
      <c r="C745" s="95"/>
    </row>
    <row r="746">
      <c r="C746" s="95"/>
    </row>
    <row r="747">
      <c r="C747" s="95"/>
    </row>
    <row r="748">
      <c r="C748" s="95"/>
    </row>
    <row r="749">
      <c r="C749" s="95"/>
    </row>
    <row r="750">
      <c r="C750" s="95"/>
    </row>
    <row r="751">
      <c r="C751" s="95"/>
    </row>
    <row r="752">
      <c r="C752" s="95"/>
    </row>
    <row r="753">
      <c r="C753" s="95"/>
    </row>
    <row r="754">
      <c r="C754" s="95"/>
    </row>
    <row r="755">
      <c r="C755" s="95"/>
    </row>
    <row r="756">
      <c r="C756" s="95"/>
    </row>
    <row r="757">
      <c r="C757" s="95"/>
    </row>
    <row r="758">
      <c r="C758" s="95"/>
    </row>
    <row r="759">
      <c r="C759" s="95"/>
    </row>
    <row r="760">
      <c r="C760" s="95"/>
    </row>
    <row r="761">
      <c r="C761" s="95"/>
    </row>
    <row r="762">
      <c r="C762" s="95"/>
    </row>
    <row r="763">
      <c r="C763" s="95"/>
    </row>
    <row r="764">
      <c r="C764" s="95"/>
    </row>
    <row r="765">
      <c r="C765" s="95"/>
    </row>
    <row r="766">
      <c r="C766" s="95"/>
    </row>
    <row r="767">
      <c r="C767" s="95"/>
    </row>
    <row r="768">
      <c r="C768" s="95"/>
    </row>
    <row r="769">
      <c r="C769" s="95"/>
    </row>
    <row r="770">
      <c r="C770" s="95"/>
    </row>
    <row r="771">
      <c r="C771" s="95"/>
    </row>
    <row r="772">
      <c r="C772" s="95"/>
    </row>
    <row r="773">
      <c r="C773" s="95"/>
    </row>
    <row r="774">
      <c r="C774" s="95"/>
    </row>
    <row r="775">
      <c r="C775" s="95"/>
    </row>
    <row r="776">
      <c r="C776" s="95"/>
    </row>
    <row r="777">
      <c r="C777" s="95"/>
    </row>
    <row r="778">
      <c r="C778" s="95"/>
    </row>
    <row r="779">
      <c r="C779" s="95"/>
    </row>
    <row r="780">
      <c r="C780" s="95"/>
    </row>
    <row r="781">
      <c r="C781" s="95"/>
    </row>
    <row r="782">
      <c r="C782" s="95"/>
    </row>
    <row r="783">
      <c r="C783" s="95"/>
    </row>
    <row r="784">
      <c r="C784" s="95"/>
    </row>
    <row r="785">
      <c r="C785" s="95"/>
    </row>
    <row r="786">
      <c r="C786" s="95"/>
    </row>
    <row r="787">
      <c r="C787" s="95"/>
    </row>
    <row r="788">
      <c r="C788" s="95"/>
    </row>
    <row r="789">
      <c r="C789" s="95"/>
    </row>
    <row r="790">
      <c r="C790" s="95"/>
    </row>
    <row r="791">
      <c r="C791" s="95"/>
    </row>
    <row r="792">
      <c r="C792" s="95"/>
    </row>
    <row r="793">
      <c r="C793" s="95"/>
    </row>
    <row r="794">
      <c r="C794" s="95"/>
    </row>
    <row r="795">
      <c r="C795" s="95"/>
    </row>
    <row r="796">
      <c r="C796" s="95"/>
    </row>
    <row r="797">
      <c r="C797" s="95"/>
    </row>
    <row r="798">
      <c r="C798" s="95"/>
    </row>
    <row r="799">
      <c r="C799" s="95"/>
    </row>
    <row r="800">
      <c r="C800" s="95"/>
    </row>
    <row r="801">
      <c r="C801" s="95"/>
    </row>
    <row r="802">
      <c r="C802" s="95"/>
    </row>
    <row r="803">
      <c r="C803" s="95"/>
    </row>
    <row r="804">
      <c r="C804" s="95"/>
    </row>
    <row r="805">
      <c r="C805" s="95"/>
    </row>
    <row r="806">
      <c r="C806" s="95"/>
    </row>
    <row r="807">
      <c r="C807" s="95"/>
    </row>
    <row r="808">
      <c r="C808" s="95"/>
    </row>
    <row r="809">
      <c r="C809" s="95"/>
    </row>
    <row r="810">
      <c r="C810" s="95"/>
    </row>
    <row r="811">
      <c r="C811" s="95"/>
    </row>
    <row r="812">
      <c r="C812" s="95"/>
    </row>
    <row r="813">
      <c r="C813" s="95"/>
    </row>
    <row r="814">
      <c r="C814" s="95"/>
    </row>
    <row r="815">
      <c r="C815" s="95"/>
    </row>
    <row r="816">
      <c r="C816" s="95"/>
    </row>
    <row r="817">
      <c r="C817" s="95"/>
    </row>
    <row r="818">
      <c r="C818" s="95"/>
    </row>
    <row r="819">
      <c r="C819" s="95"/>
    </row>
    <row r="820">
      <c r="C820" s="95"/>
    </row>
    <row r="821">
      <c r="C821" s="95"/>
    </row>
    <row r="822">
      <c r="C822" s="95"/>
    </row>
    <row r="823">
      <c r="C823" s="95"/>
    </row>
    <row r="824">
      <c r="C824" s="95"/>
    </row>
    <row r="825">
      <c r="C825" s="95"/>
    </row>
    <row r="826">
      <c r="C826" s="95"/>
    </row>
    <row r="827">
      <c r="C827" s="95"/>
    </row>
    <row r="828">
      <c r="C828" s="95"/>
    </row>
    <row r="829">
      <c r="C829" s="95"/>
    </row>
    <row r="830">
      <c r="C830" s="95"/>
    </row>
    <row r="831">
      <c r="C831" s="95"/>
    </row>
    <row r="832">
      <c r="C832" s="95"/>
    </row>
    <row r="833">
      <c r="C833" s="95"/>
    </row>
    <row r="834">
      <c r="C834" s="95"/>
    </row>
    <row r="835">
      <c r="C835" s="95"/>
    </row>
    <row r="836">
      <c r="C836" s="95"/>
    </row>
    <row r="837">
      <c r="C837" s="95"/>
    </row>
    <row r="838">
      <c r="C838" s="95"/>
    </row>
    <row r="839">
      <c r="C839" s="95"/>
    </row>
    <row r="840">
      <c r="C840" s="95"/>
    </row>
    <row r="841">
      <c r="C841" s="95"/>
    </row>
    <row r="842">
      <c r="C842" s="95"/>
    </row>
    <row r="843">
      <c r="C843" s="95"/>
    </row>
    <row r="844">
      <c r="C844" s="95"/>
    </row>
    <row r="845">
      <c r="C845" s="95"/>
    </row>
    <row r="846">
      <c r="C846" s="95"/>
    </row>
    <row r="847">
      <c r="C847" s="95"/>
    </row>
    <row r="848">
      <c r="C848" s="95"/>
    </row>
    <row r="849">
      <c r="C849" s="95"/>
    </row>
    <row r="850">
      <c r="C850" s="95"/>
    </row>
    <row r="851">
      <c r="C851" s="95"/>
    </row>
    <row r="852">
      <c r="C852" s="95"/>
    </row>
    <row r="853">
      <c r="C853" s="95"/>
    </row>
    <row r="854">
      <c r="C854" s="95"/>
    </row>
    <row r="855">
      <c r="C855" s="95"/>
    </row>
    <row r="856">
      <c r="C856" s="95"/>
    </row>
    <row r="857">
      <c r="C857" s="95"/>
    </row>
    <row r="858">
      <c r="C858" s="95"/>
    </row>
    <row r="859">
      <c r="C859" s="95"/>
    </row>
    <row r="860">
      <c r="C860" s="95"/>
    </row>
    <row r="861">
      <c r="C861" s="95"/>
    </row>
    <row r="862">
      <c r="C862" s="95"/>
    </row>
    <row r="863">
      <c r="C863" s="95"/>
    </row>
    <row r="864">
      <c r="C864" s="95"/>
    </row>
    <row r="865">
      <c r="C865" s="95"/>
    </row>
    <row r="866">
      <c r="C866" s="95"/>
    </row>
    <row r="867">
      <c r="C867" s="95"/>
    </row>
    <row r="868">
      <c r="C868" s="95"/>
    </row>
    <row r="869">
      <c r="C869" s="95"/>
    </row>
    <row r="870">
      <c r="C870" s="95"/>
    </row>
    <row r="871">
      <c r="C871" s="95"/>
    </row>
    <row r="872">
      <c r="C872" s="95"/>
    </row>
    <row r="873">
      <c r="C873" s="95"/>
    </row>
    <row r="874">
      <c r="C874" s="95"/>
    </row>
    <row r="875">
      <c r="C875" s="95"/>
    </row>
    <row r="876">
      <c r="C876" s="95"/>
    </row>
    <row r="877">
      <c r="C877" s="95"/>
    </row>
    <row r="878">
      <c r="C878" s="95"/>
    </row>
    <row r="879">
      <c r="C879" s="95"/>
    </row>
    <row r="880">
      <c r="C880" s="95"/>
    </row>
    <row r="881">
      <c r="C881" s="95"/>
    </row>
    <row r="882">
      <c r="C882" s="95"/>
    </row>
    <row r="883">
      <c r="C883" s="95"/>
    </row>
    <row r="884">
      <c r="C884" s="95"/>
    </row>
    <row r="885">
      <c r="C885" s="95"/>
    </row>
    <row r="886">
      <c r="C886" s="95"/>
    </row>
    <row r="887">
      <c r="C887" s="95"/>
    </row>
    <row r="888">
      <c r="C888" s="95"/>
    </row>
    <row r="889">
      <c r="C889" s="95"/>
    </row>
    <row r="890">
      <c r="C890" s="95"/>
    </row>
    <row r="891">
      <c r="C891" s="95"/>
    </row>
    <row r="892">
      <c r="C892" s="95"/>
    </row>
    <row r="893">
      <c r="C893" s="95"/>
    </row>
    <row r="894">
      <c r="C894" s="95"/>
    </row>
    <row r="895">
      <c r="C895" s="95"/>
    </row>
    <row r="896">
      <c r="C896" s="95"/>
    </row>
    <row r="897">
      <c r="C897" s="95"/>
    </row>
    <row r="898">
      <c r="C898" s="95"/>
    </row>
    <row r="899">
      <c r="C899" s="95"/>
    </row>
    <row r="900">
      <c r="C900" s="95"/>
    </row>
    <row r="901">
      <c r="C901" s="95"/>
    </row>
    <row r="902">
      <c r="C902" s="95"/>
    </row>
    <row r="903">
      <c r="C903" s="95"/>
    </row>
    <row r="904">
      <c r="C904" s="95"/>
    </row>
    <row r="905">
      <c r="C905" s="95"/>
    </row>
    <row r="906">
      <c r="C906" s="95"/>
    </row>
    <row r="907">
      <c r="C907" s="95"/>
    </row>
    <row r="908">
      <c r="C908" s="95"/>
    </row>
    <row r="909">
      <c r="C909" s="95"/>
    </row>
    <row r="910">
      <c r="C910" s="95"/>
    </row>
    <row r="911">
      <c r="C911" s="95"/>
    </row>
    <row r="912">
      <c r="C912" s="95"/>
    </row>
    <row r="913">
      <c r="C913" s="95"/>
    </row>
    <row r="914">
      <c r="C914" s="95"/>
    </row>
    <row r="915">
      <c r="C915" s="95"/>
    </row>
    <row r="916">
      <c r="C916" s="95"/>
    </row>
    <row r="917">
      <c r="C917" s="95"/>
    </row>
    <row r="918">
      <c r="C918" s="95"/>
    </row>
    <row r="919">
      <c r="C919" s="95"/>
    </row>
    <row r="920">
      <c r="C920" s="95"/>
    </row>
    <row r="921">
      <c r="C921" s="95"/>
    </row>
    <row r="922">
      <c r="C922" s="95"/>
    </row>
    <row r="923">
      <c r="C923" s="95"/>
    </row>
    <row r="924">
      <c r="C924" s="95"/>
    </row>
    <row r="925">
      <c r="C925" s="95"/>
    </row>
    <row r="926">
      <c r="C926" s="95"/>
    </row>
    <row r="927">
      <c r="C927" s="95"/>
    </row>
    <row r="928">
      <c r="C928" s="95"/>
    </row>
    <row r="929">
      <c r="C929" s="95"/>
    </row>
    <row r="930">
      <c r="C930" s="95"/>
    </row>
    <row r="931">
      <c r="C931" s="95"/>
    </row>
    <row r="932">
      <c r="C932" s="95"/>
    </row>
    <row r="933">
      <c r="C933" s="95"/>
    </row>
    <row r="934">
      <c r="C934" s="95"/>
    </row>
    <row r="935">
      <c r="C935" s="95"/>
    </row>
    <row r="936">
      <c r="C936" s="95"/>
    </row>
    <row r="937">
      <c r="C937" s="95"/>
    </row>
    <row r="938">
      <c r="C938" s="95"/>
    </row>
    <row r="939">
      <c r="C939" s="95"/>
    </row>
    <row r="940">
      <c r="C940" s="95"/>
    </row>
    <row r="941">
      <c r="C941" s="95"/>
    </row>
    <row r="942">
      <c r="C942" s="95"/>
    </row>
    <row r="943">
      <c r="C943" s="95"/>
    </row>
    <row r="944">
      <c r="C944" s="95"/>
    </row>
    <row r="945">
      <c r="C945" s="95"/>
    </row>
    <row r="946">
      <c r="C946" s="95"/>
    </row>
    <row r="947">
      <c r="C947" s="95"/>
    </row>
    <row r="948">
      <c r="C948" s="95"/>
    </row>
    <row r="949">
      <c r="C949" s="95"/>
    </row>
    <row r="950">
      <c r="C950" s="95"/>
    </row>
    <row r="951">
      <c r="C951" s="95"/>
    </row>
    <row r="952">
      <c r="C952" s="95"/>
    </row>
    <row r="953">
      <c r="C953" s="95"/>
    </row>
    <row r="954">
      <c r="C954" s="95"/>
    </row>
    <row r="955">
      <c r="C955" s="95"/>
    </row>
    <row r="956">
      <c r="C956" s="95"/>
    </row>
    <row r="957">
      <c r="C957" s="95"/>
    </row>
    <row r="958">
      <c r="C958" s="95"/>
    </row>
    <row r="959">
      <c r="C959" s="95"/>
    </row>
    <row r="960">
      <c r="C960" s="95"/>
    </row>
    <row r="961">
      <c r="C961" s="95"/>
    </row>
    <row r="962">
      <c r="C962" s="95"/>
    </row>
    <row r="963">
      <c r="C963" s="95"/>
    </row>
    <row r="964">
      <c r="C964" s="95"/>
    </row>
    <row r="965">
      <c r="C965" s="95"/>
    </row>
    <row r="966">
      <c r="C966" s="95"/>
    </row>
    <row r="967">
      <c r="C967" s="95"/>
    </row>
    <row r="968">
      <c r="C968" s="95"/>
    </row>
    <row r="969">
      <c r="C969" s="95"/>
    </row>
    <row r="970">
      <c r="C970" s="95"/>
    </row>
    <row r="971">
      <c r="C971" s="95"/>
    </row>
    <row r="972">
      <c r="C972" s="95"/>
    </row>
    <row r="973">
      <c r="C973" s="95"/>
    </row>
    <row r="974">
      <c r="C974" s="95"/>
    </row>
    <row r="975">
      <c r="C975" s="95"/>
    </row>
    <row r="976">
      <c r="C976" s="95"/>
    </row>
    <row r="977">
      <c r="C977" s="95"/>
    </row>
    <row r="978">
      <c r="C978" s="95"/>
    </row>
    <row r="979">
      <c r="C979" s="95"/>
    </row>
    <row r="980">
      <c r="C980" s="95"/>
    </row>
    <row r="981">
      <c r="C981" s="95"/>
    </row>
    <row r="982">
      <c r="C982" s="95"/>
    </row>
    <row r="983">
      <c r="C983" s="95"/>
    </row>
    <row r="984">
      <c r="C984" s="95"/>
    </row>
    <row r="985">
      <c r="C985" s="95"/>
    </row>
    <row r="986">
      <c r="C986" s="95"/>
    </row>
    <row r="987">
      <c r="C987" s="95"/>
    </row>
    <row r="988">
      <c r="C988" s="95"/>
    </row>
    <row r="989">
      <c r="C989" s="95"/>
    </row>
    <row r="990">
      <c r="C990" s="95"/>
    </row>
    <row r="991">
      <c r="C991" s="95"/>
    </row>
    <row r="992">
      <c r="C992" s="95"/>
    </row>
    <row r="993">
      <c r="C993" s="95"/>
    </row>
    <row r="994">
      <c r="C994" s="95"/>
    </row>
    <row r="995">
      <c r="C995" s="95"/>
    </row>
    <row r="996">
      <c r="C996" s="95"/>
    </row>
    <row r="997">
      <c r="C997" s="95"/>
    </row>
    <row r="998">
      <c r="C998" s="95"/>
    </row>
    <row r="999">
      <c r="C999" s="95"/>
    </row>
  </sheetData>
  <autoFilter ref="$A$1:$G$31">
    <sortState ref="A1:G31">
      <sortCondition ref="A1:A31"/>
      <sortCondition descending="1" ref="C1:C31"/>
      <sortCondition descending="1" ref="B1:B31"/>
    </sortState>
  </autoFil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63"/>
    <col hidden="1" min="2" max="2" width="12.63"/>
  </cols>
  <sheetData>
    <row r="1">
      <c r="A1" s="16" t="s">
        <v>0</v>
      </c>
      <c r="B1" s="16" t="s">
        <v>145</v>
      </c>
      <c r="C1" s="93" t="s">
        <v>146</v>
      </c>
      <c r="D1" s="96" t="s">
        <v>147</v>
      </c>
      <c r="E1" s="16" t="s">
        <v>148</v>
      </c>
      <c r="F1" s="16" t="s">
        <v>149</v>
      </c>
      <c r="G1" s="16" t="s">
        <v>150</v>
      </c>
    </row>
    <row r="2">
      <c r="A2" s="18" t="s">
        <v>122</v>
      </c>
      <c r="B2" s="97">
        <v>5.0</v>
      </c>
      <c r="C2" s="98">
        <v>5.0</v>
      </c>
      <c r="D2" s="99">
        <v>4.25</v>
      </c>
      <c r="E2" s="18"/>
      <c r="F2" s="18"/>
      <c r="G2" s="18"/>
    </row>
    <row r="3">
      <c r="A3" s="18" t="s">
        <v>143</v>
      </c>
      <c r="B3" s="97">
        <v>5.0</v>
      </c>
      <c r="C3" s="98">
        <v>5.0</v>
      </c>
      <c r="D3" s="99">
        <v>4.8</v>
      </c>
      <c r="E3" s="18"/>
      <c r="F3" s="18"/>
      <c r="G3" s="18"/>
    </row>
    <row r="4">
      <c r="A4" s="18" t="s">
        <v>142</v>
      </c>
      <c r="B4" s="97">
        <v>5.0</v>
      </c>
      <c r="C4" s="98">
        <v>5.0</v>
      </c>
      <c r="D4" s="100">
        <v>0.0</v>
      </c>
      <c r="E4" s="18"/>
      <c r="F4" s="18"/>
      <c r="G4" s="18"/>
    </row>
    <row r="5">
      <c r="A5" s="18" t="s">
        <v>132</v>
      </c>
      <c r="B5" s="97">
        <v>5.0</v>
      </c>
      <c r="C5" s="98">
        <v>5.0</v>
      </c>
      <c r="D5" s="100">
        <v>0.0</v>
      </c>
      <c r="E5" s="18"/>
      <c r="F5" s="18"/>
      <c r="G5" s="18"/>
    </row>
    <row r="6">
      <c r="A6" s="18" t="s">
        <v>111</v>
      </c>
      <c r="B6" s="97">
        <v>5.0</v>
      </c>
      <c r="C6" s="98">
        <v>5.0</v>
      </c>
      <c r="D6" s="99">
        <v>5.0</v>
      </c>
      <c r="E6" s="18"/>
      <c r="F6" s="18"/>
      <c r="G6" s="18"/>
    </row>
    <row r="7">
      <c r="A7" s="18" t="s">
        <v>109</v>
      </c>
      <c r="B7" s="97">
        <v>5.0</v>
      </c>
      <c r="C7" s="98">
        <v>5.0</v>
      </c>
      <c r="D7" s="99">
        <v>5.0</v>
      </c>
      <c r="E7" s="18"/>
      <c r="F7" s="18"/>
      <c r="G7" s="18"/>
    </row>
    <row r="8">
      <c r="A8" s="18" t="s">
        <v>130</v>
      </c>
      <c r="B8" s="97">
        <v>5.0</v>
      </c>
      <c r="C8" s="98">
        <v>5.0</v>
      </c>
      <c r="D8" s="100">
        <v>0.0</v>
      </c>
      <c r="E8" s="18"/>
      <c r="F8" s="18"/>
      <c r="G8" s="18"/>
    </row>
    <row r="9">
      <c r="A9" s="18" t="s">
        <v>141</v>
      </c>
      <c r="B9" s="97">
        <v>5.0</v>
      </c>
      <c r="C9" s="98">
        <v>5.0</v>
      </c>
      <c r="D9" s="99">
        <v>5.0</v>
      </c>
      <c r="E9" s="18"/>
      <c r="F9" s="18"/>
      <c r="G9" s="18"/>
    </row>
    <row r="10">
      <c r="A10" s="18" t="s">
        <v>125</v>
      </c>
      <c r="B10" s="97">
        <v>5.0</v>
      </c>
      <c r="C10" s="98">
        <v>5.0</v>
      </c>
      <c r="D10" s="99">
        <v>5.0</v>
      </c>
      <c r="E10" s="18"/>
      <c r="F10" s="18"/>
      <c r="G10" s="18"/>
    </row>
    <row r="11">
      <c r="A11" s="18" t="s">
        <v>129</v>
      </c>
      <c r="B11" s="97">
        <v>5.0</v>
      </c>
      <c r="C11" s="98">
        <v>5.0</v>
      </c>
      <c r="D11" s="100">
        <v>0.0</v>
      </c>
      <c r="E11" s="18"/>
      <c r="F11" s="18"/>
      <c r="G11" s="18"/>
    </row>
    <row r="12">
      <c r="A12" s="18" t="s">
        <v>139</v>
      </c>
      <c r="B12" s="97">
        <v>4.95</v>
      </c>
      <c r="C12" s="98">
        <v>5.0</v>
      </c>
      <c r="D12" s="99">
        <v>4.95</v>
      </c>
      <c r="E12" s="18"/>
      <c r="F12" s="18"/>
      <c r="G12" s="18"/>
    </row>
    <row r="13">
      <c r="A13" s="18" t="s">
        <v>121</v>
      </c>
      <c r="B13" s="97">
        <v>4.9</v>
      </c>
      <c r="C13" s="98">
        <v>5.0</v>
      </c>
      <c r="D13" s="99">
        <v>5.0</v>
      </c>
      <c r="E13" s="18"/>
      <c r="F13" s="18"/>
      <c r="G13" s="18"/>
    </row>
    <row r="14">
      <c r="A14" s="18" t="s">
        <v>127</v>
      </c>
      <c r="B14" s="97">
        <v>4.9</v>
      </c>
      <c r="C14" s="98">
        <v>5.0</v>
      </c>
      <c r="D14" s="100">
        <v>0.0</v>
      </c>
      <c r="E14" s="18"/>
      <c r="F14" s="18"/>
      <c r="G14" s="18"/>
    </row>
    <row r="15">
      <c r="A15" s="18" t="s">
        <v>126</v>
      </c>
      <c r="B15" s="97">
        <v>4.26</v>
      </c>
      <c r="C15" s="98">
        <v>5.0</v>
      </c>
      <c r="D15" s="99">
        <v>4.83</v>
      </c>
      <c r="E15" s="18"/>
      <c r="F15" s="18"/>
      <c r="G15" s="18"/>
    </row>
    <row r="16">
      <c r="A16" s="18" t="s">
        <v>133</v>
      </c>
      <c r="B16" s="97">
        <v>5.0</v>
      </c>
      <c r="C16" s="98">
        <v>4.95</v>
      </c>
      <c r="D16" s="99">
        <v>4.95</v>
      </c>
      <c r="E16" s="18"/>
      <c r="F16" s="18"/>
      <c r="G16" s="18"/>
    </row>
    <row r="17">
      <c r="A17" s="18" t="s">
        <v>140</v>
      </c>
      <c r="B17" s="97">
        <v>4.75</v>
      </c>
      <c r="C17" s="98">
        <v>4.9</v>
      </c>
      <c r="D17" s="99">
        <v>4.55</v>
      </c>
      <c r="E17" s="18"/>
      <c r="F17" s="18"/>
      <c r="G17" s="18"/>
    </row>
    <row r="18">
      <c r="A18" s="18" t="s">
        <v>138</v>
      </c>
      <c r="B18" s="97">
        <v>4.96</v>
      </c>
      <c r="C18" s="98">
        <v>4.8</v>
      </c>
      <c r="D18" s="99">
        <v>4.68</v>
      </c>
      <c r="E18" s="18"/>
      <c r="F18" s="18"/>
      <c r="G18" s="18"/>
    </row>
    <row r="19">
      <c r="A19" s="18" t="s">
        <v>136</v>
      </c>
      <c r="B19" s="97">
        <v>4.95</v>
      </c>
      <c r="C19" s="98">
        <v>4.8</v>
      </c>
      <c r="D19" s="99">
        <v>4.9</v>
      </c>
      <c r="E19" s="18"/>
      <c r="F19" s="18"/>
      <c r="G19" s="18"/>
    </row>
    <row r="20">
      <c r="A20" s="18" t="s">
        <v>134</v>
      </c>
      <c r="B20" s="97">
        <v>4.9</v>
      </c>
      <c r="C20" s="98">
        <v>4.75</v>
      </c>
      <c r="D20" s="99">
        <v>4.84</v>
      </c>
      <c r="E20" s="18"/>
      <c r="F20" s="18"/>
      <c r="G20" s="18"/>
    </row>
    <row r="21">
      <c r="A21" s="18" t="s">
        <v>114</v>
      </c>
      <c r="B21" s="97">
        <v>4.38</v>
      </c>
      <c r="C21" s="98">
        <v>4.65</v>
      </c>
      <c r="D21" s="99">
        <v>4.49</v>
      </c>
      <c r="E21" s="18"/>
      <c r="F21" s="18"/>
      <c r="G21" s="18"/>
    </row>
    <row r="22">
      <c r="A22" s="18" t="s">
        <v>116</v>
      </c>
      <c r="B22" s="97">
        <v>4.32</v>
      </c>
      <c r="C22" s="98">
        <v>4.63</v>
      </c>
      <c r="D22" s="99">
        <v>4.35</v>
      </c>
      <c r="E22" s="18"/>
      <c r="F22" s="18"/>
      <c r="G22" s="18"/>
    </row>
    <row r="23">
      <c r="A23" s="18" t="s">
        <v>131</v>
      </c>
      <c r="B23" s="97">
        <v>4.28</v>
      </c>
      <c r="C23" s="98">
        <v>4.6</v>
      </c>
      <c r="D23" s="99">
        <v>4.29</v>
      </c>
      <c r="E23" s="18"/>
      <c r="F23" s="18"/>
      <c r="G23" s="18"/>
    </row>
    <row r="24">
      <c r="A24" s="18" t="s">
        <v>137</v>
      </c>
      <c r="B24" s="97">
        <v>4.42</v>
      </c>
      <c r="C24" s="98">
        <v>4.5</v>
      </c>
      <c r="D24" s="99">
        <v>4.38</v>
      </c>
      <c r="E24" s="18"/>
      <c r="F24" s="18"/>
      <c r="G24" s="18"/>
    </row>
    <row r="25">
      <c r="A25" s="18" t="s">
        <v>135</v>
      </c>
      <c r="B25" s="97">
        <v>4.9</v>
      </c>
      <c r="C25" s="98">
        <v>4.4</v>
      </c>
      <c r="D25" s="100">
        <v>4.7</v>
      </c>
      <c r="E25" s="18"/>
      <c r="F25" s="18"/>
      <c r="G25" s="18"/>
    </row>
    <row r="26">
      <c r="A26" s="18" t="s">
        <v>128</v>
      </c>
      <c r="B26" s="97">
        <v>4.56</v>
      </c>
      <c r="C26" s="98">
        <v>4.38</v>
      </c>
      <c r="D26" s="99">
        <v>4.62</v>
      </c>
      <c r="E26" s="18"/>
      <c r="F26" s="18"/>
      <c r="G26" s="18"/>
    </row>
    <row r="27">
      <c r="A27" s="18" t="s">
        <v>124</v>
      </c>
      <c r="B27" s="97">
        <v>4.7</v>
      </c>
      <c r="C27" s="98">
        <v>4.3</v>
      </c>
      <c r="D27" s="99">
        <v>4.6</v>
      </c>
      <c r="E27" s="18"/>
      <c r="F27" s="18"/>
      <c r="G27" s="18"/>
    </row>
    <row r="28">
      <c r="A28" s="18" t="s">
        <v>112</v>
      </c>
      <c r="B28" s="97">
        <v>4.58</v>
      </c>
      <c r="C28" s="98">
        <v>4.23</v>
      </c>
      <c r="D28" s="99">
        <v>4.0</v>
      </c>
      <c r="E28" s="18"/>
      <c r="F28" s="18"/>
      <c r="G28" s="18"/>
    </row>
    <row r="29">
      <c r="A29" s="18" t="s">
        <v>123</v>
      </c>
      <c r="B29" s="97">
        <v>4.48</v>
      </c>
      <c r="C29" s="98">
        <v>4.21</v>
      </c>
      <c r="D29" s="99">
        <v>4.4</v>
      </c>
      <c r="E29" s="18"/>
      <c r="F29" s="18"/>
      <c r="G29" s="18"/>
    </row>
    <row r="30">
      <c r="A30" s="18" t="s">
        <v>118</v>
      </c>
      <c r="B30" s="97">
        <v>3.96</v>
      </c>
      <c r="C30" s="98">
        <v>3.96</v>
      </c>
      <c r="D30" s="99">
        <v>4.29</v>
      </c>
      <c r="E30" s="18"/>
      <c r="F30" s="18"/>
      <c r="G30" s="18"/>
    </row>
    <row r="31">
      <c r="A31" s="18" t="s">
        <v>120</v>
      </c>
      <c r="B31" s="97">
        <v>4.31</v>
      </c>
      <c r="C31" s="98">
        <v>3.36</v>
      </c>
      <c r="D31" s="99">
        <v>3.69</v>
      </c>
      <c r="E31" s="18"/>
      <c r="F31" s="18"/>
      <c r="G31" s="18"/>
    </row>
    <row r="32">
      <c r="C32" s="101"/>
      <c r="D32" s="102"/>
    </row>
    <row r="33">
      <c r="C33" s="101"/>
      <c r="D33" s="102"/>
    </row>
    <row r="34">
      <c r="C34" s="101"/>
      <c r="D34" s="102"/>
    </row>
    <row r="35">
      <c r="C35" s="101"/>
      <c r="D35" s="102"/>
    </row>
    <row r="36">
      <c r="C36" s="101"/>
      <c r="D36" s="102"/>
    </row>
    <row r="37">
      <c r="C37" s="101"/>
      <c r="D37" s="102"/>
    </row>
    <row r="38">
      <c r="C38" s="101"/>
      <c r="D38" s="102"/>
    </row>
    <row r="39">
      <c r="C39" s="101"/>
      <c r="D39" s="102"/>
    </row>
    <row r="40">
      <c r="C40" s="101"/>
      <c r="D40" s="102"/>
    </row>
    <row r="41">
      <c r="C41" s="101"/>
      <c r="D41" s="102"/>
    </row>
    <row r="42">
      <c r="C42" s="101"/>
      <c r="D42" s="102"/>
    </row>
    <row r="43">
      <c r="C43" s="101"/>
      <c r="D43" s="102"/>
    </row>
    <row r="44">
      <c r="C44" s="101"/>
      <c r="D44" s="102"/>
    </row>
    <row r="45">
      <c r="C45" s="101"/>
      <c r="D45" s="102"/>
    </row>
    <row r="46">
      <c r="C46" s="101"/>
      <c r="D46" s="102"/>
    </row>
    <row r="47">
      <c r="C47" s="101"/>
      <c r="D47" s="102"/>
    </row>
    <row r="48">
      <c r="C48" s="101"/>
      <c r="D48" s="102"/>
    </row>
    <row r="49">
      <c r="C49" s="101"/>
      <c r="D49" s="102"/>
    </row>
    <row r="50">
      <c r="C50" s="101"/>
      <c r="D50" s="102"/>
    </row>
    <row r="51">
      <c r="C51" s="101"/>
      <c r="D51" s="102"/>
    </row>
    <row r="52">
      <c r="C52" s="101"/>
      <c r="D52" s="102"/>
    </row>
    <row r="53">
      <c r="C53" s="101"/>
      <c r="D53" s="102"/>
    </row>
    <row r="54">
      <c r="C54" s="101"/>
      <c r="D54" s="102"/>
    </row>
    <row r="55">
      <c r="C55" s="101"/>
      <c r="D55" s="102"/>
    </row>
    <row r="56">
      <c r="C56" s="101"/>
      <c r="D56" s="102"/>
    </row>
    <row r="57">
      <c r="C57" s="101"/>
      <c r="D57" s="102"/>
    </row>
    <row r="58">
      <c r="C58" s="101"/>
      <c r="D58" s="102"/>
    </row>
    <row r="59">
      <c r="C59" s="101"/>
      <c r="D59" s="102"/>
    </row>
    <row r="60">
      <c r="C60" s="101"/>
      <c r="D60" s="102"/>
    </row>
    <row r="61">
      <c r="C61" s="101"/>
      <c r="D61" s="102"/>
    </row>
    <row r="62">
      <c r="C62" s="101"/>
      <c r="D62" s="102"/>
    </row>
    <row r="63">
      <c r="C63" s="101"/>
      <c r="D63" s="102"/>
    </row>
    <row r="64">
      <c r="C64" s="101"/>
      <c r="D64" s="102"/>
    </row>
    <row r="65">
      <c r="C65" s="101"/>
      <c r="D65" s="102"/>
    </row>
    <row r="66">
      <c r="C66" s="101"/>
      <c r="D66" s="102"/>
    </row>
    <row r="67">
      <c r="C67" s="101"/>
      <c r="D67" s="102"/>
    </row>
    <row r="68">
      <c r="C68" s="101"/>
      <c r="D68" s="102"/>
    </row>
    <row r="69">
      <c r="C69" s="101"/>
      <c r="D69" s="102"/>
    </row>
    <row r="70">
      <c r="C70" s="101"/>
      <c r="D70" s="102"/>
    </row>
    <row r="71">
      <c r="C71" s="101"/>
      <c r="D71" s="102"/>
    </row>
    <row r="72">
      <c r="C72" s="101"/>
      <c r="D72" s="102"/>
    </row>
    <row r="73">
      <c r="C73" s="101"/>
      <c r="D73" s="102"/>
    </row>
    <row r="74">
      <c r="C74" s="101"/>
      <c r="D74" s="102"/>
    </row>
    <row r="75">
      <c r="C75" s="101"/>
      <c r="D75" s="102"/>
    </row>
    <row r="76">
      <c r="C76" s="101"/>
      <c r="D76" s="102"/>
    </row>
    <row r="77">
      <c r="C77" s="101"/>
      <c r="D77" s="102"/>
    </row>
    <row r="78">
      <c r="C78" s="101"/>
      <c r="D78" s="102"/>
    </row>
    <row r="79">
      <c r="C79" s="101"/>
      <c r="D79" s="102"/>
    </row>
    <row r="80">
      <c r="C80" s="101"/>
      <c r="D80" s="102"/>
    </row>
    <row r="81">
      <c r="C81" s="101"/>
      <c r="D81" s="102"/>
    </row>
    <row r="82">
      <c r="C82" s="101"/>
      <c r="D82" s="102"/>
    </row>
    <row r="83">
      <c r="C83" s="101"/>
      <c r="D83" s="102"/>
    </row>
    <row r="84">
      <c r="C84" s="101"/>
      <c r="D84" s="102"/>
    </row>
    <row r="85">
      <c r="C85" s="101"/>
      <c r="D85" s="102"/>
    </row>
    <row r="86">
      <c r="C86" s="101"/>
      <c r="D86" s="102"/>
    </row>
    <row r="87">
      <c r="C87" s="101"/>
      <c r="D87" s="102"/>
    </row>
    <row r="88">
      <c r="C88" s="101"/>
      <c r="D88" s="102"/>
    </row>
    <row r="89">
      <c r="C89" s="101"/>
      <c r="D89" s="102"/>
    </row>
    <row r="90">
      <c r="C90" s="101"/>
      <c r="D90" s="102"/>
    </row>
    <row r="91">
      <c r="C91" s="101"/>
      <c r="D91" s="102"/>
    </row>
    <row r="92">
      <c r="C92" s="101"/>
      <c r="D92" s="102"/>
    </row>
    <row r="93">
      <c r="C93" s="101"/>
      <c r="D93" s="102"/>
    </row>
    <row r="94">
      <c r="C94" s="101"/>
      <c r="D94" s="102"/>
    </row>
    <row r="95">
      <c r="C95" s="101"/>
      <c r="D95" s="102"/>
    </row>
    <row r="96">
      <c r="C96" s="101"/>
      <c r="D96" s="102"/>
    </row>
    <row r="97">
      <c r="C97" s="101"/>
      <c r="D97" s="102"/>
    </row>
    <row r="98">
      <c r="C98" s="101"/>
      <c r="D98" s="102"/>
    </row>
    <row r="99">
      <c r="C99" s="101"/>
      <c r="D99" s="102"/>
    </row>
    <row r="100">
      <c r="C100" s="101"/>
      <c r="D100" s="102"/>
    </row>
    <row r="101">
      <c r="C101" s="101"/>
      <c r="D101" s="102"/>
    </row>
    <row r="102">
      <c r="C102" s="101"/>
      <c r="D102" s="102"/>
    </row>
    <row r="103">
      <c r="C103" s="101"/>
      <c r="D103" s="102"/>
    </row>
    <row r="104">
      <c r="C104" s="101"/>
      <c r="D104" s="102"/>
    </row>
    <row r="105">
      <c r="C105" s="101"/>
      <c r="D105" s="102"/>
    </row>
    <row r="106">
      <c r="C106" s="101"/>
      <c r="D106" s="102"/>
    </row>
    <row r="107">
      <c r="C107" s="101"/>
      <c r="D107" s="102"/>
    </row>
    <row r="108">
      <c r="C108" s="101"/>
      <c r="D108" s="102"/>
    </row>
    <row r="109">
      <c r="C109" s="101"/>
      <c r="D109" s="102"/>
    </row>
    <row r="110">
      <c r="C110" s="101"/>
      <c r="D110" s="102"/>
    </row>
    <row r="111">
      <c r="C111" s="101"/>
      <c r="D111" s="102"/>
    </row>
    <row r="112">
      <c r="C112" s="101"/>
      <c r="D112" s="102"/>
    </row>
    <row r="113">
      <c r="C113" s="101"/>
      <c r="D113" s="102"/>
    </row>
    <row r="114">
      <c r="C114" s="101"/>
      <c r="D114" s="102"/>
    </row>
    <row r="115">
      <c r="C115" s="101"/>
      <c r="D115" s="102"/>
    </row>
    <row r="116">
      <c r="C116" s="101"/>
      <c r="D116" s="102"/>
    </row>
    <row r="117">
      <c r="C117" s="101"/>
      <c r="D117" s="102"/>
    </row>
    <row r="118">
      <c r="C118" s="101"/>
      <c r="D118" s="102"/>
    </row>
    <row r="119">
      <c r="C119" s="101"/>
      <c r="D119" s="102"/>
    </row>
    <row r="120">
      <c r="C120" s="101"/>
      <c r="D120" s="102"/>
    </row>
    <row r="121">
      <c r="C121" s="101"/>
      <c r="D121" s="102"/>
    </row>
    <row r="122">
      <c r="C122" s="101"/>
      <c r="D122" s="102"/>
    </row>
    <row r="123">
      <c r="C123" s="101"/>
      <c r="D123" s="102"/>
    </row>
    <row r="124">
      <c r="C124" s="101"/>
      <c r="D124" s="102"/>
    </row>
    <row r="125">
      <c r="C125" s="101"/>
      <c r="D125" s="102"/>
    </row>
    <row r="126">
      <c r="C126" s="101"/>
      <c r="D126" s="102"/>
    </row>
    <row r="127">
      <c r="C127" s="101"/>
      <c r="D127" s="102"/>
    </row>
    <row r="128">
      <c r="C128" s="101"/>
      <c r="D128" s="102"/>
    </row>
    <row r="129">
      <c r="C129" s="101"/>
      <c r="D129" s="102"/>
    </row>
    <row r="130">
      <c r="C130" s="101"/>
      <c r="D130" s="102"/>
    </row>
    <row r="131">
      <c r="C131" s="101"/>
      <c r="D131" s="102"/>
    </row>
    <row r="132">
      <c r="C132" s="101"/>
      <c r="D132" s="102"/>
    </row>
    <row r="133">
      <c r="C133" s="101"/>
      <c r="D133" s="102"/>
    </row>
    <row r="134">
      <c r="C134" s="101"/>
      <c r="D134" s="102"/>
    </row>
    <row r="135">
      <c r="C135" s="101"/>
      <c r="D135" s="102"/>
    </row>
    <row r="136">
      <c r="C136" s="101"/>
      <c r="D136" s="102"/>
    </row>
    <row r="137">
      <c r="C137" s="101"/>
      <c r="D137" s="102"/>
    </row>
    <row r="138">
      <c r="C138" s="101"/>
      <c r="D138" s="102"/>
    </row>
    <row r="139">
      <c r="C139" s="101"/>
      <c r="D139" s="102"/>
    </row>
    <row r="140">
      <c r="C140" s="101"/>
      <c r="D140" s="102"/>
    </row>
    <row r="141">
      <c r="C141" s="101"/>
      <c r="D141" s="102"/>
    </row>
    <row r="142">
      <c r="C142" s="101"/>
      <c r="D142" s="102"/>
    </row>
    <row r="143">
      <c r="C143" s="101"/>
      <c r="D143" s="102"/>
    </row>
    <row r="144">
      <c r="C144" s="101"/>
      <c r="D144" s="102"/>
    </row>
    <row r="145">
      <c r="C145" s="101"/>
      <c r="D145" s="102"/>
    </row>
    <row r="146">
      <c r="C146" s="101"/>
      <c r="D146" s="102"/>
    </row>
    <row r="147">
      <c r="C147" s="101"/>
      <c r="D147" s="102"/>
    </row>
    <row r="148">
      <c r="C148" s="101"/>
      <c r="D148" s="102"/>
    </row>
    <row r="149">
      <c r="C149" s="101"/>
      <c r="D149" s="102"/>
    </row>
    <row r="150">
      <c r="C150" s="101"/>
      <c r="D150" s="102"/>
    </row>
    <row r="151">
      <c r="C151" s="101"/>
      <c r="D151" s="102"/>
    </row>
    <row r="152">
      <c r="C152" s="101"/>
      <c r="D152" s="102"/>
    </row>
    <row r="153">
      <c r="C153" s="101"/>
      <c r="D153" s="102"/>
    </row>
    <row r="154">
      <c r="C154" s="101"/>
      <c r="D154" s="102"/>
    </row>
    <row r="155">
      <c r="C155" s="101"/>
      <c r="D155" s="102"/>
    </row>
    <row r="156">
      <c r="C156" s="101"/>
      <c r="D156" s="102"/>
    </row>
    <row r="157">
      <c r="C157" s="101"/>
      <c r="D157" s="102"/>
    </row>
    <row r="158">
      <c r="C158" s="101"/>
      <c r="D158" s="102"/>
    </row>
    <row r="159">
      <c r="C159" s="101"/>
      <c r="D159" s="102"/>
    </row>
    <row r="160">
      <c r="C160" s="101"/>
      <c r="D160" s="102"/>
    </row>
    <row r="161">
      <c r="C161" s="101"/>
      <c r="D161" s="102"/>
    </row>
    <row r="162">
      <c r="C162" s="101"/>
      <c r="D162" s="102"/>
    </row>
    <row r="163">
      <c r="C163" s="101"/>
      <c r="D163" s="102"/>
    </row>
    <row r="164">
      <c r="C164" s="101"/>
      <c r="D164" s="102"/>
    </row>
    <row r="165">
      <c r="C165" s="101"/>
      <c r="D165" s="102"/>
    </row>
    <row r="166">
      <c r="C166" s="101"/>
      <c r="D166" s="102"/>
    </row>
    <row r="167">
      <c r="C167" s="101"/>
      <c r="D167" s="102"/>
    </row>
    <row r="168">
      <c r="C168" s="101"/>
      <c r="D168" s="102"/>
    </row>
    <row r="169">
      <c r="C169" s="101"/>
      <c r="D169" s="102"/>
    </row>
    <row r="170">
      <c r="C170" s="101"/>
      <c r="D170" s="102"/>
    </row>
    <row r="171">
      <c r="C171" s="101"/>
      <c r="D171" s="102"/>
    </row>
    <row r="172">
      <c r="C172" s="101"/>
      <c r="D172" s="102"/>
    </row>
    <row r="173">
      <c r="C173" s="101"/>
      <c r="D173" s="102"/>
    </row>
    <row r="174">
      <c r="C174" s="101"/>
      <c r="D174" s="102"/>
    </row>
    <row r="175">
      <c r="C175" s="101"/>
      <c r="D175" s="102"/>
    </row>
    <row r="176">
      <c r="C176" s="101"/>
      <c r="D176" s="102"/>
    </row>
    <row r="177">
      <c r="C177" s="101"/>
      <c r="D177" s="102"/>
    </row>
    <row r="178">
      <c r="C178" s="101"/>
      <c r="D178" s="102"/>
    </row>
    <row r="179">
      <c r="C179" s="101"/>
      <c r="D179" s="102"/>
    </row>
    <row r="180">
      <c r="C180" s="101"/>
      <c r="D180" s="102"/>
    </row>
    <row r="181">
      <c r="C181" s="101"/>
      <c r="D181" s="102"/>
    </row>
    <row r="182">
      <c r="C182" s="101"/>
      <c r="D182" s="102"/>
    </row>
    <row r="183">
      <c r="C183" s="101"/>
      <c r="D183" s="102"/>
    </row>
    <row r="184">
      <c r="C184" s="101"/>
      <c r="D184" s="102"/>
    </row>
    <row r="185">
      <c r="C185" s="101"/>
      <c r="D185" s="102"/>
    </row>
    <row r="186">
      <c r="C186" s="101"/>
      <c r="D186" s="102"/>
    </row>
    <row r="187">
      <c r="C187" s="101"/>
      <c r="D187" s="102"/>
    </row>
    <row r="188">
      <c r="C188" s="101"/>
      <c r="D188" s="102"/>
    </row>
    <row r="189">
      <c r="C189" s="101"/>
      <c r="D189" s="102"/>
    </row>
    <row r="190">
      <c r="C190" s="101"/>
      <c r="D190" s="102"/>
    </row>
    <row r="191">
      <c r="C191" s="101"/>
      <c r="D191" s="102"/>
    </row>
    <row r="192">
      <c r="C192" s="101"/>
      <c r="D192" s="102"/>
    </row>
    <row r="193">
      <c r="C193" s="101"/>
      <c r="D193" s="102"/>
    </row>
    <row r="194">
      <c r="C194" s="101"/>
      <c r="D194" s="102"/>
    </row>
    <row r="195">
      <c r="C195" s="101"/>
      <c r="D195" s="102"/>
    </row>
    <row r="196">
      <c r="C196" s="101"/>
      <c r="D196" s="102"/>
    </row>
    <row r="197">
      <c r="C197" s="101"/>
      <c r="D197" s="102"/>
    </row>
    <row r="198">
      <c r="C198" s="101"/>
      <c r="D198" s="102"/>
    </row>
    <row r="199">
      <c r="C199" s="101"/>
      <c r="D199" s="102"/>
    </row>
    <row r="200">
      <c r="C200" s="101"/>
      <c r="D200" s="102"/>
    </row>
    <row r="201">
      <c r="C201" s="101"/>
      <c r="D201" s="102"/>
    </row>
    <row r="202">
      <c r="C202" s="101"/>
      <c r="D202" s="102"/>
    </row>
    <row r="203">
      <c r="C203" s="101"/>
      <c r="D203" s="102"/>
    </row>
    <row r="204">
      <c r="C204" s="101"/>
      <c r="D204" s="102"/>
    </row>
    <row r="205">
      <c r="C205" s="101"/>
      <c r="D205" s="102"/>
    </row>
    <row r="206">
      <c r="C206" s="101"/>
      <c r="D206" s="102"/>
    </row>
    <row r="207">
      <c r="C207" s="101"/>
      <c r="D207" s="102"/>
    </row>
    <row r="208">
      <c r="C208" s="101"/>
      <c r="D208" s="102"/>
    </row>
    <row r="209">
      <c r="C209" s="101"/>
      <c r="D209" s="102"/>
    </row>
    <row r="210">
      <c r="C210" s="101"/>
      <c r="D210" s="102"/>
    </row>
    <row r="211">
      <c r="C211" s="101"/>
      <c r="D211" s="102"/>
    </row>
    <row r="212">
      <c r="C212" s="101"/>
      <c r="D212" s="102"/>
    </row>
    <row r="213">
      <c r="C213" s="101"/>
      <c r="D213" s="102"/>
    </row>
    <row r="214">
      <c r="C214" s="101"/>
      <c r="D214" s="102"/>
    </row>
    <row r="215">
      <c r="C215" s="101"/>
      <c r="D215" s="102"/>
    </row>
    <row r="216">
      <c r="C216" s="101"/>
      <c r="D216" s="102"/>
    </row>
    <row r="217">
      <c r="C217" s="101"/>
      <c r="D217" s="102"/>
    </row>
    <row r="218">
      <c r="C218" s="101"/>
      <c r="D218" s="102"/>
    </row>
    <row r="219">
      <c r="C219" s="101"/>
      <c r="D219" s="102"/>
    </row>
    <row r="220">
      <c r="C220" s="101"/>
      <c r="D220" s="102"/>
    </row>
    <row r="221">
      <c r="C221" s="101"/>
      <c r="D221" s="102"/>
    </row>
    <row r="222">
      <c r="C222" s="101"/>
      <c r="D222" s="102"/>
    </row>
    <row r="223">
      <c r="C223" s="101"/>
      <c r="D223" s="102"/>
    </row>
    <row r="224">
      <c r="C224" s="101"/>
      <c r="D224" s="102"/>
    </row>
    <row r="225">
      <c r="C225" s="101"/>
      <c r="D225" s="102"/>
    </row>
    <row r="226">
      <c r="C226" s="101"/>
      <c r="D226" s="102"/>
    </row>
    <row r="227">
      <c r="C227" s="101"/>
      <c r="D227" s="102"/>
    </row>
    <row r="228">
      <c r="C228" s="101"/>
      <c r="D228" s="102"/>
    </row>
    <row r="229">
      <c r="C229" s="101"/>
      <c r="D229" s="102"/>
    </row>
    <row r="230">
      <c r="C230" s="101"/>
      <c r="D230" s="102"/>
    </row>
    <row r="231">
      <c r="C231" s="101"/>
      <c r="D231" s="102"/>
    </row>
    <row r="232">
      <c r="C232" s="101"/>
      <c r="D232" s="102"/>
    </row>
    <row r="233">
      <c r="C233" s="101"/>
      <c r="D233" s="102"/>
    </row>
    <row r="234">
      <c r="C234" s="101"/>
      <c r="D234" s="102"/>
    </row>
    <row r="235">
      <c r="C235" s="101"/>
      <c r="D235" s="102"/>
    </row>
    <row r="236">
      <c r="C236" s="101"/>
      <c r="D236" s="102"/>
    </row>
    <row r="237">
      <c r="C237" s="101"/>
      <c r="D237" s="102"/>
    </row>
    <row r="238">
      <c r="C238" s="101"/>
      <c r="D238" s="102"/>
    </row>
    <row r="239">
      <c r="C239" s="101"/>
      <c r="D239" s="102"/>
    </row>
    <row r="240">
      <c r="C240" s="101"/>
      <c r="D240" s="102"/>
    </row>
    <row r="241">
      <c r="C241" s="101"/>
      <c r="D241" s="102"/>
    </row>
    <row r="242">
      <c r="C242" s="101"/>
      <c r="D242" s="102"/>
    </row>
    <row r="243">
      <c r="C243" s="101"/>
      <c r="D243" s="102"/>
    </row>
    <row r="244">
      <c r="C244" s="101"/>
      <c r="D244" s="102"/>
    </row>
    <row r="245">
      <c r="C245" s="101"/>
      <c r="D245" s="102"/>
    </row>
    <row r="246">
      <c r="C246" s="101"/>
      <c r="D246" s="102"/>
    </row>
    <row r="247">
      <c r="C247" s="101"/>
      <c r="D247" s="102"/>
    </row>
    <row r="248">
      <c r="C248" s="101"/>
      <c r="D248" s="102"/>
    </row>
    <row r="249">
      <c r="C249" s="101"/>
      <c r="D249" s="102"/>
    </row>
    <row r="250">
      <c r="C250" s="101"/>
      <c r="D250" s="102"/>
    </row>
    <row r="251">
      <c r="C251" s="101"/>
      <c r="D251" s="102"/>
    </row>
    <row r="252">
      <c r="C252" s="101"/>
      <c r="D252" s="102"/>
    </row>
    <row r="253">
      <c r="C253" s="101"/>
      <c r="D253" s="102"/>
    </row>
    <row r="254">
      <c r="C254" s="101"/>
      <c r="D254" s="102"/>
    </row>
    <row r="255">
      <c r="C255" s="101"/>
      <c r="D255" s="102"/>
    </row>
    <row r="256">
      <c r="C256" s="101"/>
      <c r="D256" s="102"/>
    </row>
    <row r="257">
      <c r="C257" s="101"/>
      <c r="D257" s="102"/>
    </row>
    <row r="258">
      <c r="C258" s="101"/>
      <c r="D258" s="102"/>
    </row>
    <row r="259">
      <c r="C259" s="101"/>
      <c r="D259" s="102"/>
    </row>
    <row r="260">
      <c r="C260" s="101"/>
      <c r="D260" s="102"/>
    </row>
    <row r="261">
      <c r="C261" s="101"/>
      <c r="D261" s="102"/>
    </row>
    <row r="262">
      <c r="C262" s="101"/>
      <c r="D262" s="102"/>
    </row>
    <row r="263">
      <c r="C263" s="101"/>
      <c r="D263" s="102"/>
    </row>
    <row r="264">
      <c r="C264" s="101"/>
      <c r="D264" s="102"/>
    </row>
    <row r="265">
      <c r="C265" s="101"/>
      <c r="D265" s="102"/>
    </row>
    <row r="266">
      <c r="C266" s="101"/>
      <c r="D266" s="102"/>
    </row>
    <row r="267">
      <c r="C267" s="101"/>
      <c r="D267" s="102"/>
    </row>
    <row r="268">
      <c r="C268" s="101"/>
      <c r="D268" s="102"/>
    </row>
    <row r="269">
      <c r="C269" s="101"/>
      <c r="D269" s="102"/>
    </row>
    <row r="270">
      <c r="C270" s="101"/>
      <c r="D270" s="102"/>
    </row>
    <row r="271">
      <c r="C271" s="101"/>
      <c r="D271" s="102"/>
    </row>
    <row r="272">
      <c r="C272" s="101"/>
      <c r="D272" s="102"/>
    </row>
    <row r="273">
      <c r="C273" s="101"/>
      <c r="D273" s="102"/>
    </row>
    <row r="274">
      <c r="C274" s="101"/>
      <c r="D274" s="102"/>
    </row>
    <row r="275">
      <c r="C275" s="101"/>
      <c r="D275" s="102"/>
    </row>
    <row r="276">
      <c r="C276" s="101"/>
      <c r="D276" s="102"/>
    </row>
    <row r="277">
      <c r="C277" s="101"/>
      <c r="D277" s="102"/>
    </row>
    <row r="278">
      <c r="C278" s="101"/>
      <c r="D278" s="102"/>
    </row>
    <row r="279">
      <c r="C279" s="101"/>
      <c r="D279" s="102"/>
    </row>
    <row r="280">
      <c r="C280" s="101"/>
      <c r="D280" s="102"/>
    </row>
    <row r="281">
      <c r="C281" s="101"/>
      <c r="D281" s="102"/>
    </row>
    <row r="282">
      <c r="C282" s="101"/>
      <c r="D282" s="102"/>
    </row>
    <row r="283">
      <c r="C283" s="101"/>
      <c r="D283" s="102"/>
    </row>
    <row r="284">
      <c r="C284" s="101"/>
      <c r="D284" s="102"/>
    </row>
    <row r="285">
      <c r="C285" s="101"/>
      <c r="D285" s="102"/>
    </row>
    <row r="286">
      <c r="C286" s="101"/>
      <c r="D286" s="102"/>
    </row>
    <row r="287">
      <c r="C287" s="101"/>
      <c r="D287" s="102"/>
    </row>
    <row r="288">
      <c r="C288" s="101"/>
      <c r="D288" s="102"/>
    </row>
    <row r="289">
      <c r="C289" s="101"/>
      <c r="D289" s="102"/>
    </row>
    <row r="290">
      <c r="C290" s="101"/>
      <c r="D290" s="102"/>
    </row>
    <row r="291">
      <c r="C291" s="101"/>
      <c r="D291" s="102"/>
    </row>
    <row r="292">
      <c r="C292" s="101"/>
      <c r="D292" s="102"/>
    </row>
    <row r="293">
      <c r="C293" s="101"/>
      <c r="D293" s="102"/>
    </row>
    <row r="294">
      <c r="C294" s="101"/>
      <c r="D294" s="102"/>
    </row>
    <row r="295">
      <c r="C295" s="101"/>
      <c r="D295" s="102"/>
    </row>
    <row r="296">
      <c r="C296" s="101"/>
      <c r="D296" s="102"/>
    </row>
    <row r="297">
      <c r="C297" s="101"/>
      <c r="D297" s="102"/>
    </row>
    <row r="298">
      <c r="C298" s="101"/>
      <c r="D298" s="102"/>
    </row>
    <row r="299">
      <c r="C299" s="101"/>
      <c r="D299" s="102"/>
    </row>
    <row r="300">
      <c r="C300" s="101"/>
      <c r="D300" s="102"/>
    </row>
    <row r="301">
      <c r="C301" s="101"/>
      <c r="D301" s="102"/>
    </row>
    <row r="302">
      <c r="C302" s="101"/>
      <c r="D302" s="102"/>
    </row>
    <row r="303">
      <c r="C303" s="101"/>
      <c r="D303" s="102"/>
    </row>
    <row r="304">
      <c r="C304" s="101"/>
      <c r="D304" s="102"/>
    </row>
    <row r="305">
      <c r="C305" s="101"/>
      <c r="D305" s="102"/>
    </row>
    <row r="306">
      <c r="C306" s="101"/>
      <c r="D306" s="102"/>
    </row>
    <row r="307">
      <c r="C307" s="101"/>
      <c r="D307" s="102"/>
    </row>
    <row r="308">
      <c r="C308" s="101"/>
      <c r="D308" s="102"/>
    </row>
    <row r="309">
      <c r="C309" s="101"/>
      <c r="D309" s="102"/>
    </row>
    <row r="310">
      <c r="C310" s="101"/>
      <c r="D310" s="102"/>
    </row>
    <row r="311">
      <c r="C311" s="101"/>
      <c r="D311" s="102"/>
    </row>
    <row r="312">
      <c r="C312" s="101"/>
      <c r="D312" s="102"/>
    </row>
    <row r="313">
      <c r="C313" s="101"/>
      <c r="D313" s="102"/>
    </row>
    <row r="314">
      <c r="C314" s="101"/>
      <c r="D314" s="102"/>
    </row>
    <row r="315">
      <c r="C315" s="101"/>
      <c r="D315" s="102"/>
    </row>
    <row r="316">
      <c r="C316" s="101"/>
      <c r="D316" s="102"/>
    </row>
    <row r="317">
      <c r="C317" s="101"/>
      <c r="D317" s="102"/>
    </row>
    <row r="318">
      <c r="C318" s="101"/>
      <c r="D318" s="102"/>
    </row>
    <row r="319">
      <c r="C319" s="101"/>
      <c r="D319" s="102"/>
    </row>
    <row r="320">
      <c r="C320" s="101"/>
      <c r="D320" s="102"/>
    </row>
    <row r="321">
      <c r="C321" s="101"/>
      <c r="D321" s="102"/>
    </row>
    <row r="322">
      <c r="C322" s="101"/>
      <c r="D322" s="102"/>
    </row>
    <row r="323">
      <c r="C323" s="101"/>
      <c r="D323" s="102"/>
    </row>
    <row r="324">
      <c r="C324" s="101"/>
      <c r="D324" s="102"/>
    </row>
    <row r="325">
      <c r="C325" s="101"/>
      <c r="D325" s="102"/>
    </row>
    <row r="326">
      <c r="C326" s="101"/>
      <c r="D326" s="102"/>
    </row>
    <row r="327">
      <c r="C327" s="101"/>
      <c r="D327" s="102"/>
    </row>
    <row r="328">
      <c r="C328" s="101"/>
      <c r="D328" s="102"/>
    </row>
    <row r="329">
      <c r="C329" s="101"/>
      <c r="D329" s="102"/>
    </row>
    <row r="330">
      <c r="C330" s="101"/>
      <c r="D330" s="102"/>
    </row>
    <row r="331">
      <c r="C331" s="101"/>
      <c r="D331" s="102"/>
    </row>
    <row r="332">
      <c r="C332" s="101"/>
      <c r="D332" s="102"/>
    </row>
    <row r="333">
      <c r="C333" s="101"/>
      <c r="D333" s="102"/>
    </row>
    <row r="334">
      <c r="C334" s="101"/>
      <c r="D334" s="102"/>
    </row>
    <row r="335">
      <c r="C335" s="101"/>
      <c r="D335" s="102"/>
    </row>
    <row r="336">
      <c r="C336" s="101"/>
      <c r="D336" s="102"/>
    </row>
    <row r="337">
      <c r="C337" s="101"/>
      <c r="D337" s="102"/>
    </row>
    <row r="338">
      <c r="C338" s="101"/>
      <c r="D338" s="102"/>
    </row>
    <row r="339">
      <c r="C339" s="101"/>
      <c r="D339" s="102"/>
    </row>
    <row r="340">
      <c r="C340" s="101"/>
      <c r="D340" s="102"/>
    </row>
    <row r="341">
      <c r="C341" s="101"/>
      <c r="D341" s="102"/>
    </row>
    <row r="342">
      <c r="C342" s="101"/>
      <c r="D342" s="102"/>
    </row>
    <row r="343">
      <c r="C343" s="101"/>
      <c r="D343" s="102"/>
    </row>
    <row r="344">
      <c r="C344" s="101"/>
      <c r="D344" s="102"/>
    </row>
    <row r="345">
      <c r="C345" s="101"/>
      <c r="D345" s="102"/>
    </row>
    <row r="346">
      <c r="C346" s="101"/>
      <c r="D346" s="102"/>
    </row>
    <row r="347">
      <c r="C347" s="101"/>
      <c r="D347" s="102"/>
    </row>
    <row r="348">
      <c r="C348" s="101"/>
      <c r="D348" s="102"/>
    </row>
    <row r="349">
      <c r="C349" s="101"/>
      <c r="D349" s="102"/>
    </row>
    <row r="350">
      <c r="C350" s="101"/>
      <c r="D350" s="102"/>
    </row>
    <row r="351">
      <c r="C351" s="101"/>
      <c r="D351" s="102"/>
    </row>
    <row r="352">
      <c r="C352" s="101"/>
      <c r="D352" s="102"/>
    </row>
    <row r="353">
      <c r="C353" s="101"/>
      <c r="D353" s="102"/>
    </row>
    <row r="354">
      <c r="C354" s="101"/>
      <c r="D354" s="102"/>
    </row>
    <row r="355">
      <c r="C355" s="101"/>
      <c r="D355" s="102"/>
    </row>
    <row r="356">
      <c r="C356" s="101"/>
      <c r="D356" s="102"/>
    </row>
    <row r="357">
      <c r="C357" s="101"/>
      <c r="D357" s="102"/>
    </row>
    <row r="358">
      <c r="C358" s="101"/>
      <c r="D358" s="102"/>
    </row>
    <row r="359">
      <c r="C359" s="101"/>
      <c r="D359" s="102"/>
    </row>
    <row r="360">
      <c r="C360" s="101"/>
      <c r="D360" s="102"/>
    </row>
    <row r="361">
      <c r="C361" s="101"/>
      <c r="D361" s="102"/>
    </row>
    <row r="362">
      <c r="C362" s="101"/>
      <c r="D362" s="102"/>
    </row>
    <row r="363">
      <c r="C363" s="101"/>
      <c r="D363" s="102"/>
    </row>
    <row r="364">
      <c r="C364" s="101"/>
      <c r="D364" s="102"/>
    </row>
    <row r="365">
      <c r="C365" s="101"/>
      <c r="D365" s="102"/>
    </row>
    <row r="366">
      <c r="C366" s="101"/>
      <c r="D366" s="102"/>
    </row>
    <row r="367">
      <c r="C367" s="101"/>
      <c r="D367" s="102"/>
    </row>
    <row r="368">
      <c r="C368" s="101"/>
      <c r="D368" s="102"/>
    </row>
    <row r="369">
      <c r="C369" s="101"/>
      <c r="D369" s="102"/>
    </row>
    <row r="370">
      <c r="C370" s="101"/>
      <c r="D370" s="102"/>
    </row>
    <row r="371">
      <c r="C371" s="101"/>
      <c r="D371" s="102"/>
    </row>
    <row r="372">
      <c r="C372" s="101"/>
      <c r="D372" s="102"/>
    </row>
    <row r="373">
      <c r="C373" s="101"/>
      <c r="D373" s="102"/>
    </row>
    <row r="374">
      <c r="C374" s="101"/>
      <c r="D374" s="102"/>
    </row>
    <row r="375">
      <c r="C375" s="101"/>
      <c r="D375" s="102"/>
    </row>
    <row r="376">
      <c r="C376" s="101"/>
      <c r="D376" s="102"/>
    </row>
    <row r="377">
      <c r="C377" s="101"/>
      <c r="D377" s="102"/>
    </row>
    <row r="378">
      <c r="C378" s="101"/>
      <c r="D378" s="102"/>
    </row>
    <row r="379">
      <c r="C379" s="101"/>
      <c r="D379" s="102"/>
    </row>
    <row r="380">
      <c r="C380" s="101"/>
      <c r="D380" s="102"/>
    </row>
    <row r="381">
      <c r="C381" s="101"/>
      <c r="D381" s="102"/>
    </row>
    <row r="382">
      <c r="C382" s="101"/>
      <c r="D382" s="102"/>
    </row>
    <row r="383">
      <c r="C383" s="101"/>
      <c r="D383" s="102"/>
    </row>
    <row r="384">
      <c r="C384" s="101"/>
      <c r="D384" s="102"/>
    </row>
    <row r="385">
      <c r="C385" s="101"/>
      <c r="D385" s="102"/>
    </row>
    <row r="386">
      <c r="C386" s="101"/>
      <c r="D386" s="102"/>
    </row>
    <row r="387">
      <c r="C387" s="101"/>
      <c r="D387" s="102"/>
    </row>
    <row r="388">
      <c r="C388" s="101"/>
      <c r="D388" s="102"/>
    </row>
    <row r="389">
      <c r="C389" s="101"/>
      <c r="D389" s="102"/>
    </row>
    <row r="390">
      <c r="C390" s="101"/>
      <c r="D390" s="102"/>
    </row>
    <row r="391">
      <c r="C391" s="101"/>
      <c r="D391" s="102"/>
    </row>
    <row r="392">
      <c r="C392" s="101"/>
      <c r="D392" s="102"/>
    </row>
    <row r="393">
      <c r="C393" s="101"/>
      <c r="D393" s="102"/>
    </row>
    <row r="394">
      <c r="C394" s="101"/>
      <c r="D394" s="102"/>
    </row>
    <row r="395">
      <c r="C395" s="101"/>
      <c r="D395" s="102"/>
    </row>
    <row r="396">
      <c r="C396" s="101"/>
      <c r="D396" s="102"/>
    </row>
    <row r="397">
      <c r="C397" s="101"/>
      <c r="D397" s="102"/>
    </row>
    <row r="398">
      <c r="C398" s="101"/>
      <c r="D398" s="102"/>
    </row>
    <row r="399">
      <c r="C399" s="101"/>
      <c r="D399" s="102"/>
    </row>
    <row r="400">
      <c r="C400" s="101"/>
      <c r="D400" s="102"/>
    </row>
    <row r="401">
      <c r="C401" s="101"/>
      <c r="D401" s="102"/>
    </row>
    <row r="402">
      <c r="C402" s="101"/>
      <c r="D402" s="102"/>
    </row>
    <row r="403">
      <c r="C403" s="101"/>
      <c r="D403" s="102"/>
    </row>
    <row r="404">
      <c r="C404" s="101"/>
      <c r="D404" s="102"/>
    </row>
    <row r="405">
      <c r="C405" s="101"/>
      <c r="D405" s="102"/>
    </row>
    <row r="406">
      <c r="C406" s="101"/>
      <c r="D406" s="102"/>
    </row>
    <row r="407">
      <c r="C407" s="101"/>
      <c r="D407" s="102"/>
    </row>
    <row r="408">
      <c r="C408" s="101"/>
      <c r="D408" s="102"/>
    </row>
    <row r="409">
      <c r="C409" s="101"/>
      <c r="D409" s="102"/>
    </row>
    <row r="410">
      <c r="C410" s="101"/>
      <c r="D410" s="102"/>
    </row>
    <row r="411">
      <c r="C411" s="101"/>
      <c r="D411" s="102"/>
    </row>
    <row r="412">
      <c r="C412" s="101"/>
      <c r="D412" s="102"/>
    </row>
    <row r="413">
      <c r="C413" s="101"/>
      <c r="D413" s="102"/>
    </row>
    <row r="414">
      <c r="C414" s="101"/>
      <c r="D414" s="102"/>
    </row>
    <row r="415">
      <c r="C415" s="101"/>
      <c r="D415" s="102"/>
    </row>
    <row r="416">
      <c r="C416" s="101"/>
      <c r="D416" s="102"/>
    </row>
    <row r="417">
      <c r="C417" s="101"/>
      <c r="D417" s="102"/>
    </row>
    <row r="418">
      <c r="C418" s="101"/>
      <c r="D418" s="102"/>
    </row>
    <row r="419">
      <c r="C419" s="101"/>
      <c r="D419" s="102"/>
    </row>
    <row r="420">
      <c r="C420" s="101"/>
      <c r="D420" s="102"/>
    </row>
    <row r="421">
      <c r="C421" s="101"/>
      <c r="D421" s="102"/>
    </row>
    <row r="422">
      <c r="C422" s="101"/>
      <c r="D422" s="102"/>
    </row>
    <row r="423">
      <c r="C423" s="101"/>
      <c r="D423" s="102"/>
    </row>
    <row r="424">
      <c r="C424" s="101"/>
      <c r="D424" s="102"/>
    </row>
    <row r="425">
      <c r="C425" s="101"/>
      <c r="D425" s="102"/>
    </row>
    <row r="426">
      <c r="C426" s="101"/>
      <c r="D426" s="102"/>
    </row>
    <row r="427">
      <c r="C427" s="101"/>
      <c r="D427" s="102"/>
    </row>
    <row r="428">
      <c r="C428" s="101"/>
      <c r="D428" s="102"/>
    </row>
    <row r="429">
      <c r="C429" s="101"/>
      <c r="D429" s="102"/>
    </row>
    <row r="430">
      <c r="C430" s="101"/>
      <c r="D430" s="102"/>
    </row>
    <row r="431">
      <c r="C431" s="101"/>
      <c r="D431" s="102"/>
    </row>
    <row r="432">
      <c r="C432" s="101"/>
      <c r="D432" s="102"/>
    </row>
    <row r="433">
      <c r="C433" s="101"/>
      <c r="D433" s="102"/>
    </row>
    <row r="434">
      <c r="C434" s="101"/>
      <c r="D434" s="102"/>
    </row>
    <row r="435">
      <c r="C435" s="101"/>
      <c r="D435" s="102"/>
    </row>
    <row r="436">
      <c r="C436" s="101"/>
      <c r="D436" s="102"/>
    </row>
    <row r="437">
      <c r="C437" s="101"/>
      <c r="D437" s="102"/>
    </row>
    <row r="438">
      <c r="C438" s="101"/>
      <c r="D438" s="102"/>
    </row>
    <row r="439">
      <c r="C439" s="101"/>
      <c r="D439" s="102"/>
    </row>
    <row r="440">
      <c r="C440" s="101"/>
      <c r="D440" s="102"/>
    </row>
    <row r="441">
      <c r="C441" s="101"/>
      <c r="D441" s="102"/>
    </row>
    <row r="442">
      <c r="C442" s="101"/>
      <c r="D442" s="102"/>
    </row>
    <row r="443">
      <c r="C443" s="101"/>
      <c r="D443" s="102"/>
    </row>
    <row r="444">
      <c r="C444" s="101"/>
      <c r="D444" s="102"/>
    </row>
    <row r="445">
      <c r="C445" s="101"/>
      <c r="D445" s="102"/>
    </row>
    <row r="446">
      <c r="C446" s="101"/>
      <c r="D446" s="102"/>
    </row>
    <row r="447">
      <c r="C447" s="101"/>
      <c r="D447" s="102"/>
    </row>
    <row r="448">
      <c r="C448" s="101"/>
      <c r="D448" s="102"/>
    </row>
    <row r="449">
      <c r="C449" s="101"/>
      <c r="D449" s="102"/>
    </row>
    <row r="450">
      <c r="C450" s="101"/>
      <c r="D450" s="102"/>
    </row>
    <row r="451">
      <c r="C451" s="101"/>
      <c r="D451" s="102"/>
    </row>
    <row r="452">
      <c r="C452" s="101"/>
      <c r="D452" s="102"/>
    </row>
    <row r="453">
      <c r="C453" s="101"/>
      <c r="D453" s="102"/>
    </row>
    <row r="454">
      <c r="C454" s="101"/>
      <c r="D454" s="102"/>
    </row>
    <row r="455">
      <c r="C455" s="101"/>
      <c r="D455" s="102"/>
    </row>
    <row r="456">
      <c r="C456" s="101"/>
      <c r="D456" s="102"/>
    </row>
    <row r="457">
      <c r="C457" s="101"/>
      <c r="D457" s="102"/>
    </row>
    <row r="458">
      <c r="C458" s="101"/>
      <c r="D458" s="102"/>
    </row>
    <row r="459">
      <c r="C459" s="101"/>
      <c r="D459" s="102"/>
    </row>
    <row r="460">
      <c r="C460" s="101"/>
      <c r="D460" s="102"/>
    </row>
    <row r="461">
      <c r="C461" s="101"/>
      <c r="D461" s="102"/>
    </row>
    <row r="462">
      <c r="C462" s="101"/>
      <c r="D462" s="102"/>
    </row>
    <row r="463">
      <c r="C463" s="101"/>
      <c r="D463" s="102"/>
    </row>
    <row r="464">
      <c r="C464" s="101"/>
      <c r="D464" s="102"/>
    </row>
    <row r="465">
      <c r="C465" s="101"/>
      <c r="D465" s="102"/>
    </row>
    <row r="466">
      <c r="C466" s="101"/>
      <c r="D466" s="102"/>
    </row>
    <row r="467">
      <c r="C467" s="101"/>
      <c r="D467" s="102"/>
    </row>
    <row r="468">
      <c r="C468" s="101"/>
      <c r="D468" s="102"/>
    </row>
    <row r="469">
      <c r="C469" s="101"/>
      <c r="D469" s="102"/>
    </row>
    <row r="470">
      <c r="C470" s="101"/>
      <c r="D470" s="102"/>
    </row>
    <row r="471">
      <c r="C471" s="101"/>
      <c r="D471" s="102"/>
    </row>
    <row r="472">
      <c r="C472" s="101"/>
      <c r="D472" s="102"/>
    </row>
    <row r="473">
      <c r="C473" s="101"/>
      <c r="D473" s="102"/>
    </row>
    <row r="474">
      <c r="C474" s="101"/>
      <c r="D474" s="102"/>
    </row>
    <row r="475">
      <c r="C475" s="101"/>
      <c r="D475" s="102"/>
    </row>
    <row r="476">
      <c r="C476" s="101"/>
      <c r="D476" s="102"/>
    </row>
    <row r="477">
      <c r="C477" s="101"/>
      <c r="D477" s="102"/>
    </row>
    <row r="478">
      <c r="C478" s="101"/>
      <c r="D478" s="102"/>
    </row>
    <row r="479">
      <c r="C479" s="101"/>
      <c r="D479" s="102"/>
    </row>
    <row r="480">
      <c r="C480" s="101"/>
      <c r="D480" s="102"/>
    </row>
    <row r="481">
      <c r="C481" s="101"/>
      <c r="D481" s="102"/>
    </row>
    <row r="482">
      <c r="C482" s="101"/>
      <c r="D482" s="102"/>
    </row>
    <row r="483">
      <c r="C483" s="101"/>
      <c r="D483" s="102"/>
    </row>
    <row r="484">
      <c r="C484" s="101"/>
      <c r="D484" s="102"/>
    </row>
    <row r="485">
      <c r="C485" s="101"/>
      <c r="D485" s="102"/>
    </row>
    <row r="486">
      <c r="C486" s="101"/>
      <c r="D486" s="102"/>
    </row>
    <row r="487">
      <c r="C487" s="101"/>
      <c r="D487" s="102"/>
    </row>
    <row r="488">
      <c r="C488" s="101"/>
      <c r="D488" s="102"/>
    </row>
    <row r="489">
      <c r="C489" s="101"/>
      <c r="D489" s="102"/>
    </row>
    <row r="490">
      <c r="C490" s="101"/>
      <c r="D490" s="102"/>
    </row>
    <row r="491">
      <c r="C491" s="101"/>
      <c r="D491" s="102"/>
    </row>
    <row r="492">
      <c r="C492" s="101"/>
      <c r="D492" s="102"/>
    </row>
    <row r="493">
      <c r="C493" s="101"/>
      <c r="D493" s="102"/>
    </row>
    <row r="494">
      <c r="C494" s="101"/>
      <c r="D494" s="102"/>
    </row>
    <row r="495">
      <c r="C495" s="101"/>
      <c r="D495" s="102"/>
    </row>
    <row r="496">
      <c r="C496" s="101"/>
      <c r="D496" s="102"/>
    </row>
    <row r="497">
      <c r="C497" s="101"/>
      <c r="D497" s="102"/>
    </row>
    <row r="498">
      <c r="C498" s="101"/>
      <c r="D498" s="102"/>
    </row>
    <row r="499">
      <c r="C499" s="101"/>
      <c r="D499" s="102"/>
    </row>
    <row r="500">
      <c r="C500" s="101"/>
      <c r="D500" s="102"/>
    </row>
    <row r="501">
      <c r="C501" s="101"/>
      <c r="D501" s="102"/>
    </row>
    <row r="502">
      <c r="C502" s="101"/>
      <c r="D502" s="102"/>
    </row>
    <row r="503">
      <c r="C503" s="101"/>
      <c r="D503" s="102"/>
    </row>
    <row r="504">
      <c r="C504" s="101"/>
      <c r="D504" s="102"/>
    </row>
    <row r="505">
      <c r="C505" s="101"/>
      <c r="D505" s="102"/>
    </row>
    <row r="506">
      <c r="C506" s="101"/>
      <c r="D506" s="102"/>
    </row>
    <row r="507">
      <c r="C507" s="101"/>
      <c r="D507" s="102"/>
    </row>
    <row r="508">
      <c r="C508" s="101"/>
      <c r="D508" s="102"/>
    </row>
    <row r="509">
      <c r="C509" s="101"/>
      <c r="D509" s="102"/>
    </row>
    <row r="510">
      <c r="C510" s="101"/>
      <c r="D510" s="102"/>
    </row>
    <row r="511">
      <c r="C511" s="101"/>
      <c r="D511" s="102"/>
    </row>
    <row r="512">
      <c r="C512" s="101"/>
      <c r="D512" s="102"/>
    </row>
    <row r="513">
      <c r="C513" s="101"/>
      <c r="D513" s="102"/>
    </row>
    <row r="514">
      <c r="C514" s="101"/>
      <c r="D514" s="102"/>
    </row>
    <row r="515">
      <c r="C515" s="101"/>
      <c r="D515" s="102"/>
    </row>
    <row r="516">
      <c r="C516" s="101"/>
      <c r="D516" s="102"/>
    </row>
    <row r="517">
      <c r="C517" s="101"/>
      <c r="D517" s="102"/>
    </row>
    <row r="518">
      <c r="C518" s="101"/>
      <c r="D518" s="102"/>
    </row>
    <row r="519">
      <c r="C519" s="101"/>
      <c r="D519" s="102"/>
    </row>
    <row r="520">
      <c r="C520" s="101"/>
      <c r="D520" s="102"/>
    </row>
    <row r="521">
      <c r="C521" s="101"/>
      <c r="D521" s="102"/>
    </row>
    <row r="522">
      <c r="C522" s="101"/>
      <c r="D522" s="102"/>
    </row>
    <row r="523">
      <c r="C523" s="101"/>
      <c r="D523" s="102"/>
    </row>
    <row r="524">
      <c r="C524" s="101"/>
      <c r="D524" s="102"/>
    </row>
    <row r="525">
      <c r="C525" s="101"/>
      <c r="D525" s="102"/>
    </row>
    <row r="526">
      <c r="C526" s="101"/>
      <c r="D526" s="102"/>
    </row>
    <row r="527">
      <c r="C527" s="101"/>
      <c r="D527" s="102"/>
    </row>
    <row r="528">
      <c r="C528" s="101"/>
      <c r="D528" s="102"/>
    </row>
    <row r="529">
      <c r="C529" s="101"/>
      <c r="D529" s="102"/>
    </row>
    <row r="530">
      <c r="C530" s="101"/>
      <c r="D530" s="102"/>
    </row>
    <row r="531">
      <c r="C531" s="101"/>
      <c r="D531" s="102"/>
    </row>
    <row r="532">
      <c r="C532" s="101"/>
      <c r="D532" s="102"/>
    </row>
    <row r="533">
      <c r="C533" s="101"/>
      <c r="D533" s="102"/>
    </row>
    <row r="534">
      <c r="C534" s="101"/>
      <c r="D534" s="102"/>
    </row>
    <row r="535">
      <c r="C535" s="101"/>
      <c r="D535" s="102"/>
    </row>
    <row r="536">
      <c r="C536" s="101"/>
      <c r="D536" s="102"/>
    </row>
    <row r="537">
      <c r="C537" s="101"/>
      <c r="D537" s="102"/>
    </row>
    <row r="538">
      <c r="C538" s="101"/>
      <c r="D538" s="102"/>
    </row>
    <row r="539">
      <c r="C539" s="101"/>
      <c r="D539" s="102"/>
    </row>
    <row r="540">
      <c r="C540" s="101"/>
      <c r="D540" s="102"/>
    </row>
    <row r="541">
      <c r="C541" s="101"/>
      <c r="D541" s="102"/>
    </row>
    <row r="542">
      <c r="C542" s="101"/>
      <c r="D542" s="102"/>
    </row>
    <row r="543">
      <c r="C543" s="101"/>
      <c r="D543" s="102"/>
    </row>
    <row r="544">
      <c r="C544" s="101"/>
      <c r="D544" s="102"/>
    </row>
    <row r="545">
      <c r="C545" s="101"/>
      <c r="D545" s="102"/>
    </row>
    <row r="546">
      <c r="C546" s="101"/>
      <c r="D546" s="102"/>
    </row>
    <row r="547">
      <c r="C547" s="101"/>
      <c r="D547" s="102"/>
    </row>
    <row r="548">
      <c r="C548" s="101"/>
      <c r="D548" s="102"/>
    </row>
    <row r="549">
      <c r="C549" s="101"/>
      <c r="D549" s="102"/>
    </row>
    <row r="550">
      <c r="C550" s="101"/>
      <c r="D550" s="102"/>
    </row>
    <row r="551">
      <c r="C551" s="101"/>
      <c r="D551" s="102"/>
    </row>
    <row r="552">
      <c r="C552" s="101"/>
      <c r="D552" s="102"/>
    </row>
    <row r="553">
      <c r="C553" s="101"/>
      <c r="D553" s="102"/>
    </row>
    <row r="554">
      <c r="C554" s="101"/>
      <c r="D554" s="102"/>
    </row>
    <row r="555">
      <c r="C555" s="101"/>
      <c r="D555" s="102"/>
    </row>
    <row r="556">
      <c r="C556" s="101"/>
      <c r="D556" s="102"/>
    </row>
    <row r="557">
      <c r="C557" s="101"/>
      <c r="D557" s="102"/>
    </row>
    <row r="558">
      <c r="C558" s="101"/>
      <c r="D558" s="102"/>
    </row>
    <row r="559">
      <c r="C559" s="101"/>
      <c r="D559" s="102"/>
    </row>
    <row r="560">
      <c r="C560" s="101"/>
      <c r="D560" s="102"/>
    </row>
    <row r="561">
      <c r="C561" s="101"/>
      <c r="D561" s="102"/>
    </row>
    <row r="562">
      <c r="C562" s="101"/>
      <c r="D562" s="102"/>
    </row>
    <row r="563">
      <c r="C563" s="101"/>
      <c r="D563" s="102"/>
    </row>
    <row r="564">
      <c r="C564" s="101"/>
      <c r="D564" s="102"/>
    </row>
    <row r="565">
      <c r="C565" s="101"/>
      <c r="D565" s="102"/>
    </row>
    <row r="566">
      <c r="C566" s="101"/>
      <c r="D566" s="102"/>
    </row>
    <row r="567">
      <c r="C567" s="101"/>
      <c r="D567" s="102"/>
    </row>
    <row r="568">
      <c r="C568" s="101"/>
      <c r="D568" s="102"/>
    </row>
    <row r="569">
      <c r="C569" s="101"/>
      <c r="D569" s="102"/>
    </row>
    <row r="570">
      <c r="C570" s="101"/>
      <c r="D570" s="102"/>
    </row>
    <row r="571">
      <c r="C571" s="101"/>
      <c r="D571" s="102"/>
    </row>
    <row r="572">
      <c r="C572" s="101"/>
      <c r="D572" s="102"/>
    </row>
    <row r="573">
      <c r="C573" s="101"/>
      <c r="D573" s="102"/>
    </row>
    <row r="574">
      <c r="C574" s="101"/>
      <c r="D574" s="102"/>
    </row>
    <row r="575">
      <c r="C575" s="101"/>
      <c r="D575" s="102"/>
    </row>
    <row r="576">
      <c r="C576" s="101"/>
      <c r="D576" s="102"/>
    </row>
    <row r="577">
      <c r="C577" s="101"/>
      <c r="D577" s="102"/>
    </row>
    <row r="578">
      <c r="C578" s="101"/>
      <c r="D578" s="102"/>
    </row>
    <row r="579">
      <c r="C579" s="101"/>
      <c r="D579" s="102"/>
    </row>
    <row r="580">
      <c r="C580" s="101"/>
      <c r="D580" s="102"/>
    </row>
    <row r="581">
      <c r="C581" s="101"/>
      <c r="D581" s="102"/>
    </row>
    <row r="582">
      <c r="C582" s="101"/>
      <c r="D582" s="102"/>
    </row>
    <row r="583">
      <c r="C583" s="101"/>
      <c r="D583" s="102"/>
    </row>
    <row r="584">
      <c r="C584" s="101"/>
      <c r="D584" s="102"/>
    </row>
    <row r="585">
      <c r="C585" s="101"/>
      <c r="D585" s="102"/>
    </row>
    <row r="586">
      <c r="C586" s="101"/>
      <c r="D586" s="102"/>
    </row>
    <row r="587">
      <c r="C587" s="101"/>
      <c r="D587" s="102"/>
    </row>
    <row r="588">
      <c r="C588" s="101"/>
      <c r="D588" s="102"/>
    </row>
    <row r="589">
      <c r="C589" s="101"/>
      <c r="D589" s="102"/>
    </row>
    <row r="590">
      <c r="C590" s="101"/>
      <c r="D590" s="102"/>
    </row>
    <row r="591">
      <c r="C591" s="101"/>
      <c r="D591" s="102"/>
    </row>
    <row r="592">
      <c r="C592" s="101"/>
      <c r="D592" s="102"/>
    </row>
    <row r="593">
      <c r="C593" s="101"/>
      <c r="D593" s="102"/>
    </row>
    <row r="594">
      <c r="C594" s="101"/>
      <c r="D594" s="102"/>
    </row>
    <row r="595">
      <c r="C595" s="101"/>
      <c r="D595" s="102"/>
    </row>
    <row r="596">
      <c r="C596" s="101"/>
      <c r="D596" s="102"/>
    </row>
    <row r="597">
      <c r="C597" s="101"/>
      <c r="D597" s="102"/>
    </row>
    <row r="598">
      <c r="C598" s="101"/>
      <c r="D598" s="102"/>
    </row>
    <row r="599">
      <c r="C599" s="101"/>
      <c r="D599" s="102"/>
    </row>
    <row r="600">
      <c r="C600" s="101"/>
      <c r="D600" s="102"/>
    </row>
    <row r="601">
      <c r="C601" s="101"/>
      <c r="D601" s="102"/>
    </row>
    <row r="602">
      <c r="C602" s="101"/>
      <c r="D602" s="102"/>
    </row>
    <row r="603">
      <c r="C603" s="101"/>
      <c r="D603" s="102"/>
    </row>
    <row r="604">
      <c r="C604" s="101"/>
      <c r="D604" s="102"/>
    </row>
    <row r="605">
      <c r="C605" s="101"/>
      <c r="D605" s="102"/>
    </row>
    <row r="606">
      <c r="C606" s="101"/>
      <c r="D606" s="102"/>
    </row>
    <row r="607">
      <c r="C607" s="101"/>
      <c r="D607" s="102"/>
    </row>
    <row r="608">
      <c r="C608" s="101"/>
      <c r="D608" s="102"/>
    </row>
    <row r="609">
      <c r="C609" s="101"/>
      <c r="D609" s="102"/>
    </row>
    <row r="610">
      <c r="C610" s="101"/>
      <c r="D610" s="102"/>
    </row>
    <row r="611">
      <c r="C611" s="101"/>
      <c r="D611" s="102"/>
    </row>
    <row r="612">
      <c r="C612" s="101"/>
      <c r="D612" s="102"/>
    </row>
    <row r="613">
      <c r="C613" s="101"/>
      <c r="D613" s="102"/>
    </row>
    <row r="614">
      <c r="C614" s="101"/>
      <c r="D614" s="102"/>
    </row>
    <row r="615">
      <c r="C615" s="101"/>
      <c r="D615" s="102"/>
    </row>
    <row r="616">
      <c r="C616" s="101"/>
      <c r="D616" s="102"/>
    </row>
    <row r="617">
      <c r="C617" s="101"/>
      <c r="D617" s="102"/>
    </row>
    <row r="618">
      <c r="C618" s="101"/>
      <c r="D618" s="102"/>
    </row>
    <row r="619">
      <c r="C619" s="101"/>
      <c r="D619" s="102"/>
    </row>
    <row r="620">
      <c r="C620" s="101"/>
      <c r="D620" s="102"/>
    </row>
    <row r="621">
      <c r="C621" s="101"/>
      <c r="D621" s="102"/>
    </row>
    <row r="622">
      <c r="C622" s="101"/>
      <c r="D622" s="102"/>
    </row>
    <row r="623">
      <c r="C623" s="101"/>
      <c r="D623" s="102"/>
    </row>
    <row r="624">
      <c r="C624" s="101"/>
      <c r="D624" s="102"/>
    </row>
    <row r="625">
      <c r="C625" s="101"/>
      <c r="D625" s="102"/>
    </row>
    <row r="626">
      <c r="C626" s="101"/>
      <c r="D626" s="102"/>
    </row>
    <row r="627">
      <c r="C627" s="101"/>
      <c r="D627" s="102"/>
    </row>
    <row r="628">
      <c r="C628" s="101"/>
      <c r="D628" s="102"/>
    </row>
    <row r="629">
      <c r="C629" s="101"/>
      <c r="D629" s="102"/>
    </row>
    <row r="630">
      <c r="C630" s="101"/>
      <c r="D630" s="102"/>
    </row>
    <row r="631">
      <c r="C631" s="101"/>
      <c r="D631" s="102"/>
    </row>
    <row r="632">
      <c r="C632" s="101"/>
      <c r="D632" s="102"/>
    </row>
    <row r="633">
      <c r="C633" s="101"/>
      <c r="D633" s="102"/>
    </row>
    <row r="634">
      <c r="C634" s="101"/>
      <c r="D634" s="102"/>
    </row>
    <row r="635">
      <c r="C635" s="101"/>
      <c r="D635" s="102"/>
    </row>
    <row r="636">
      <c r="C636" s="101"/>
      <c r="D636" s="102"/>
    </row>
    <row r="637">
      <c r="C637" s="101"/>
      <c r="D637" s="102"/>
    </row>
    <row r="638">
      <c r="C638" s="101"/>
      <c r="D638" s="102"/>
    </row>
    <row r="639">
      <c r="C639" s="101"/>
      <c r="D639" s="102"/>
    </row>
    <row r="640">
      <c r="C640" s="101"/>
      <c r="D640" s="102"/>
    </row>
    <row r="641">
      <c r="C641" s="101"/>
      <c r="D641" s="102"/>
    </row>
    <row r="642">
      <c r="C642" s="101"/>
      <c r="D642" s="102"/>
    </row>
    <row r="643">
      <c r="C643" s="101"/>
      <c r="D643" s="102"/>
    </row>
    <row r="644">
      <c r="C644" s="101"/>
      <c r="D644" s="102"/>
    </row>
    <row r="645">
      <c r="C645" s="101"/>
      <c r="D645" s="102"/>
    </row>
    <row r="646">
      <c r="C646" s="101"/>
      <c r="D646" s="102"/>
    </row>
    <row r="647">
      <c r="C647" s="101"/>
      <c r="D647" s="102"/>
    </row>
    <row r="648">
      <c r="C648" s="101"/>
      <c r="D648" s="102"/>
    </row>
    <row r="649">
      <c r="C649" s="101"/>
      <c r="D649" s="102"/>
    </row>
    <row r="650">
      <c r="C650" s="101"/>
      <c r="D650" s="102"/>
    </row>
    <row r="651">
      <c r="C651" s="101"/>
      <c r="D651" s="102"/>
    </row>
    <row r="652">
      <c r="C652" s="101"/>
      <c r="D652" s="102"/>
    </row>
    <row r="653">
      <c r="C653" s="101"/>
      <c r="D653" s="102"/>
    </row>
    <row r="654">
      <c r="C654" s="101"/>
      <c r="D654" s="102"/>
    </row>
    <row r="655">
      <c r="C655" s="101"/>
      <c r="D655" s="102"/>
    </row>
    <row r="656">
      <c r="C656" s="101"/>
      <c r="D656" s="102"/>
    </row>
    <row r="657">
      <c r="C657" s="101"/>
      <c r="D657" s="102"/>
    </row>
    <row r="658">
      <c r="C658" s="101"/>
      <c r="D658" s="102"/>
    </row>
    <row r="659">
      <c r="C659" s="101"/>
      <c r="D659" s="102"/>
    </row>
    <row r="660">
      <c r="C660" s="101"/>
      <c r="D660" s="102"/>
    </row>
    <row r="661">
      <c r="C661" s="101"/>
      <c r="D661" s="102"/>
    </row>
    <row r="662">
      <c r="C662" s="101"/>
      <c r="D662" s="102"/>
    </row>
    <row r="663">
      <c r="C663" s="101"/>
      <c r="D663" s="102"/>
    </row>
    <row r="664">
      <c r="C664" s="101"/>
      <c r="D664" s="102"/>
    </row>
    <row r="665">
      <c r="C665" s="101"/>
      <c r="D665" s="102"/>
    </row>
    <row r="666">
      <c r="C666" s="101"/>
      <c r="D666" s="102"/>
    </row>
    <row r="667">
      <c r="C667" s="101"/>
      <c r="D667" s="102"/>
    </row>
    <row r="668">
      <c r="C668" s="101"/>
      <c r="D668" s="102"/>
    </row>
    <row r="669">
      <c r="C669" s="101"/>
      <c r="D669" s="102"/>
    </row>
    <row r="670">
      <c r="C670" s="101"/>
      <c r="D670" s="102"/>
    </row>
    <row r="671">
      <c r="C671" s="101"/>
      <c r="D671" s="102"/>
    </row>
    <row r="672">
      <c r="C672" s="101"/>
      <c r="D672" s="102"/>
    </row>
    <row r="673">
      <c r="C673" s="101"/>
      <c r="D673" s="102"/>
    </row>
    <row r="674">
      <c r="C674" s="101"/>
      <c r="D674" s="102"/>
    </row>
    <row r="675">
      <c r="C675" s="101"/>
      <c r="D675" s="102"/>
    </row>
    <row r="676">
      <c r="C676" s="101"/>
      <c r="D676" s="102"/>
    </row>
    <row r="677">
      <c r="C677" s="101"/>
      <c r="D677" s="102"/>
    </row>
    <row r="678">
      <c r="C678" s="101"/>
      <c r="D678" s="102"/>
    </row>
    <row r="679">
      <c r="C679" s="101"/>
      <c r="D679" s="102"/>
    </row>
    <row r="680">
      <c r="C680" s="101"/>
      <c r="D680" s="102"/>
    </row>
    <row r="681">
      <c r="C681" s="101"/>
      <c r="D681" s="102"/>
    </row>
    <row r="682">
      <c r="C682" s="101"/>
      <c r="D682" s="102"/>
    </row>
    <row r="683">
      <c r="C683" s="101"/>
      <c r="D683" s="102"/>
    </row>
    <row r="684">
      <c r="C684" s="101"/>
      <c r="D684" s="102"/>
    </row>
    <row r="685">
      <c r="C685" s="101"/>
      <c r="D685" s="102"/>
    </row>
    <row r="686">
      <c r="C686" s="101"/>
      <c r="D686" s="102"/>
    </row>
    <row r="687">
      <c r="C687" s="101"/>
      <c r="D687" s="102"/>
    </row>
    <row r="688">
      <c r="C688" s="101"/>
      <c r="D688" s="102"/>
    </row>
    <row r="689">
      <c r="C689" s="101"/>
      <c r="D689" s="102"/>
    </row>
    <row r="690">
      <c r="C690" s="101"/>
      <c r="D690" s="102"/>
    </row>
    <row r="691">
      <c r="C691" s="101"/>
      <c r="D691" s="102"/>
    </row>
    <row r="692">
      <c r="C692" s="101"/>
      <c r="D692" s="102"/>
    </row>
    <row r="693">
      <c r="C693" s="101"/>
      <c r="D693" s="102"/>
    </row>
    <row r="694">
      <c r="C694" s="101"/>
      <c r="D694" s="102"/>
    </row>
    <row r="695">
      <c r="C695" s="101"/>
      <c r="D695" s="102"/>
    </row>
    <row r="696">
      <c r="C696" s="101"/>
      <c r="D696" s="102"/>
    </row>
    <row r="697">
      <c r="C697" s="101"/>
      <c r="D697" s="102"/>
    </row>
    <row r="698">
      <c r="C698" s="101"/>
      <c r="D698" s="102"/>
    </row>
    <row r="699">
      <c r="C699" s="101"/>
      <c r="D699" s="102"/>
    </row>
    <row r="700">
      <c r="C700" s="101"/>
      <c r="D700" s="102"/>
    </row>
    <row r="701">
      <c r="C701" s="101"/>
      <c r="D701" s="102"/>
    </row>
    <row r="702">
      <c r="C702" s="101"/>
      <c r="D702" s="102"/>
    </row>
    <row r="703">
      <c r="C703" s="101"/>
      <c r="D703" s="102"/>
    </row>
    <row r="704">
      <c r="C704" s="101"/>
      <c r="D704" s="102"/>
    </row>
    <row r="705">
      <c r="C705" s="101"/>
      <c r="D705" s="102"/>
    </row>
    <row r="706">
      <c r="C706" s="101"/>
      <c r="D706" s="102"/>
    </row>
    <row r="707">
      <c r="C707" s="101"/>
      <c r="D707" s="102"/>
    </row>
    <row r="708">
      <c r="C708" s="101"/>
      <c r="D708" s="102"/>
    </row>
    <row r="709">
      <c r="C709" s="101"/>
      <c r="D709" s="102"/>
    </row>
    <row r="710">
      <c r="C710" s="101"/>
      <c r="D710" s="102"/>
    </row>
    <row r="711">
      <c r="C711" s="101"/>
      <c r="D711" s="102"/>
    </row>
    <row r="712">
      <c r="C712" s="101"/>
      <c r="D712" s="102"/>
    </row>
    <row r="713">
      <c r="C713" s="101"/>
      <c r="D713" s="102"/>
    </row>
    <row r="714">
      <c r="C714" s="101"/>
      <c r="D714" s="102"/>
    </row>
    <row r="715">
      <c r="C715" s="101"/>
      <c r="D715" s="102"/>
    </row>
    <row r="716">
      <c r="C716" s="101"/>
      <c r="D716" s="102"/>
    </row>
    <row r="717">
      <c r="C717" s="101"/>
      <c r="D717" s="102"/>
    </row>
    <row r="718">
      <c r="C718" s="101"/>
      <c r="D718" s="102"/>
    </row>
    <row r="719">
      <c r="C719" s="101"/>
      <c r="D719" s="102"/>
    </row>
    <row r="720">
      <c r="C720" s="101"/>
      <c r="D720" s="102"/>
    </row>
    <row r="721">
      <c r="C721" s="101"/>
      <c r="D721" s="102"/>
    </row>
    <row r="722">
      <c r="C722" s="101"/>
      <c r="D722" s="102"/>
    </row>
    <row r="723">
      <c r="C723" s="101"/>
      <c r="D723" s="102"/>
    </row>
    <row r="724">
      <c r="C724" s="101"/>
      <c r="D724" s="102"/>
    </row>
    <row r="725">
      <c r="C725" s="101"/>
      <c r="D725" s="102"/>
    </row>
    <row r="726">
      <c r="C726" s="101"/>
      <c r="D726" s="102"/>
    </row>
    <row r="727">
      <c r="C727" s="101"/>
      <c r="D727" s="102"/>
    </row>
    <row r="728">
      <c r="C728" s="101"/>
      <c r="D728" s="102"/>
    </row>
    <row r="729">
      <c r="C729" s="101"/>
      <c r="D729" s="102"/>
    </row>
    <row r="730">
      <c r="C730" s="101"/>
      <c r="D730" s="102"/>
    </row>
    <row r="731">
      <c r="C731" s="101"/>
      <c r="D731" s="102"/>
    </row>
    <row r="732">
      <c r="C732" s="101"/>
      <c r="D732" s="102"/>
    </row>
    <row r="733">
      <c r="C733" s="101"/>
      <c r="D733" s="102"/>
    </row>
    <row r="734">
      <c r="C734" s="101"/>
      <c r="D734" s="102"/>
    </row>
    <row r="735">
      <c r="C735" s="101"/>
      <c r="D735" s="102"/>
    </row>
    <row r="736">
      <c r="C736" s="101"/>
      <c r="D736" s="102"/>
    </row>
    <row r="737">
      <c r="C737" s="101"/>
      <c r="D737" s="102"/>
    </row>
    <row r="738">
      <c r="C738" s="101"/>
      <c r="D738" s="102"/>
    </row>
    <row r="739">
      <c r="C739" s="101"/>
      <c r="D739" s="102"/>
    </row>
    <row r="740">
      <c r="C740" s="101"/>
      <c r="D740" s="102"/>
    </row>
    <row r="741">
      <c r="C741" s="101"/>
      <c r="D741" s="102"/>
    </row>
    <row r="742">
      <c r="C742" s="101"/>
      <c r="D742" s="102"/>
    </row>
    <row r="743">
      <c r="C743" s="101"/>
      <c r="D743" s="102"/>
    </row>
    <row r="744">
      <c r="C744" s="101"/>
      <c r="D744" s="102"/>
    </row>
    <row r="745">
      <c r="C745" s="101"/>
      <c r="D745" s="102"/>
    </row>
    <row r="746">
      <c r="C746" s="101"/>
      <c r="D746" s="102"/>
    </row>
    <row r="747">
      <c r="C747" s="101"/>
      <c r="D747" s="102"/>
    </row>
    <row r="748">
      <c r="C748" s="101"/>
      <c r="D748" s="102"/>
    </row>
    <row r="749">
      <c r="C749" s="101"/>
      <c r="D749" s="102"/>
    </row>
    <row r="750">
      <c r="C750" s="101"/>
      <c r="D750" s="102"/>
    </row>
    <row r="751">
      <c r="C751" s="101"/>
      <c r="D751" s="102"/>
    </row>
    <row r="752">
      <c r="C752" s="101"/>
      <c r="D752" s="102"/>
    </row>
    <row r="753">
      <c r="C753" s="101"/>
      <c r="D753" s="102"/>
    </row>
    <row r="754">
      <c r="C754" s="101"/>
      <c r="D754" s="102"/>
    </row>
    <row r="755">
      <c r="C755" s="101"/>
      <c r="D755" s="102"/>
    </row>
    <row r="756">
      <c r="C756" s="101"/>
      <c r="D756" s="102"/>
    </row>
    <row r="757">
      <c r="C757" s="101"/>
      <c r="D757" s="102"/>
    </row>
    <row r="758">
      <c r="C758" s="101"/>
      <c r="D758" s="102"/>
    </row>
    <row r="759">
      <c r="C759" s="101"/>
      <c r="D759" s="102"/>
    </row>
    <row r="760">
      <c r="C760" s="101"/>
      <c r="D760" s="102"/>
    </row>
    <row r="761">
      <c r="C761" s="101"/>
      <c r="D761" s="102"/>
    </row>
    <row r="762">
      <c r="C762" s="101"/>
      <c r="D762" s="102"/>
    </row>
    <row r="763">
      <c r="C763" s="101"/>
      <c r="D763" s="102"/>
    </row>
    <row r="764">
      <c r="C764" s="101"/>
      <c r="D764" s="102"/>
    </row>
    <row r="765">
      <c r="C765" s="101"/>
      <c r="D765" s="102"/>
    </row>
    <row r="766">
      <c r="C766" s="101"/>
      <c r="D766" s="102"/>
    </row>
    <row r="767">
      <c r="C767" s="101"/>
      <c r="D767" s="102"/>
    </row>
    <row r="768">
      <c r="C768" s="101"/>
      <c r="D768" s="102"/>
    </row>
    <row r="769">
      <c r="C769" s="101"/>
      <c r="D769" s="102"/>
    </row>
    <row r="770">
      <c r="C770" s="101"/>
      <c r="D770" s="102"/>
    </row>
    <row r="771">
      <c r="C771" s="101"/>
      <c r="D771" s="102"/>
    </row>
    <row r="772">
      <c r="C772" s="101"/>
      <c r="D772" s="102"/>
    </row>
    <row r="773">
      <c r="C773" s="101"/>
      <c r="D773" s="102"/>
    </row>
    <row r="774">
      <c r="C774" s="101"/>
      <c r="D774" s="102"/>
    </row>
    <row r="775">
      <c r="C775" s="101"/>
      <c r="D775" s="102"/>
    </row>
    <row r="776">
      <c r="C776" s="101"/>
      <c r="D776" s="102"/>
    </row>
    <row r="777">
      <c r="C777" s="101"/>
      <c r="D777" s="102"/>
    </row>
    <row r="778">
      <c r="C778" s="101"/>
      <c r="D778" s="102"/>
    </row>
    <row r="779">
      <c r="C779" s="101"/>
      <c r="D779" s="102"/>
    </row>
    <row r="780">
      <c r="C780" s="101"/>
      <c r="D780" s="102"/>
    </row>
    <row r="781">
      <c r="C781" s="101"/>
      <c r="D781" s="102"/>
    </row>
    <row r="782">
      <c r="C782" s="101"/>
      <c r="D782" s="102"/>
    </row>
    <row r="783">
      <c r="C783" s="101"/>
      <c r="D783" s="102"/>
    </row>
    <row r="784">
      <c r="C784" s="101"/>
      <c r="D784" s="102"/>
    </row>
    <row r="785">
      <c r="C785" s="101"/>
      <c r="D785" s="102"/>
    </row>
    <row r="786">
      <c r="C786" s="101"/>
      <c r="D786" s="102"/>
    </row>
    <row r="787">
      <c r="C787" s="101"/>
      <c r="D787" s="102"/>
    </row>
    <row r="788">
      <c r="C788" s="101"/>
      <c r="D788" s="102"/>
    </row>
    <row r="789">
      <c r="C789" s="101"/>
      <c r="D789" s="102"/>
    </row>
    <row r="790">
      <c r="C790" s="101"/>
      <c r="D790" s="102"/>
    </row>
    <row r="791">
      <c r="C791" s="101"/>
      <c r="D791" s="102"/>
    </row>
    <row r="792">
      <c r="C792" s="101"/>
      <c r="D792" s="102"/>
    </row>
    <row r="793">
      <c r="C793" s="101"/>
      <c r="D793" s="102"/>
    </row>
    <row r="794">
      <c r="C794" s="101"/>
      <c r="D794" s="102"/>
    </row>
    <row r="795">
      <c r="C795" s="101"/>
      <c r="D795" s="102"/>
    </row>
    <row r="796">
      <c r="C796" s="101"/>
      <c r="D796" s="102"/>
    </row>
    <row r="797">
      <c r="C797" s="101"/>
      <c r="D797" s="102"/>
    </row>
    <row r="798">
      <c r="C798" s="101"/>
      <c r="D798" s="102"/>
    </row>
    <row r="799">
      <c r="C799" s="101"/>
      <c r="D799" s="102"/>
    </row>
    <row r="800">
      <c r="C800" s="101"/>
      <c r="D800" s="102"/>
    </row>
    <row r="801">
      <c r="C801" s="101"/>
      <c r="D801" s="102"/>
    </row>
    <row r="802">
      <c r="C802" s="101"/>
      <c r="D802" s="102"/>
    </row>
    <row r="803">
      <c r="C803" s="101"/>
      <c r="D803" s="102"/>
    </row>
    <row r="804">
      <c r="C804" s="101"/>
      <c r="D804" s="102"/>
    </row>
    <row r="805">
      <c r="C805" s="101"/>
      <c r="D805" s="102"/>
    </row>
    <row r="806">
      <c r="C806" s="101"/>
      <c r="D806" s="102"/>
    </row>
    <row r="807">
      <c r="C807" s="101"/>
      <c r="D807" s="102"/>
    </row>
    <row r="808">
      <c r="C808" s="101"/>
      <c r="D808" s="102"/>
    </row>
    <row r="809">
      <c r="C809" s="101"/>
      <c r="D809" s="102"/>
    </row>
    <row r="810">
      <c r="C810" s="101"/>
      <c r="D810" s="102"/>
    </row>
    <row r="811">
      <c r="C811" s="101"/>
      <c r="D811" s="102"/>
    </row>
    <row r="812">
      <c r="C812" s="101"/>
      <c r="D812" s="102"/>
    </row>
    <row r="813">
      <c r="C813" s="101"/>
      <c r="D813" s="102"/>
    </row>
    <row r="814">
      <c r="C814" s="101"/>
      <c r="D814" s="102"/>
    </row>
    <row r="815">
      <c r="C815" s="101"/>
      <c r="D815" s="102"/>
    </row>
    <row r="816">
      <c r="C816" s="101"/>
      <c r="D816" s="102"/>
    </row>
    <row r="817">
      <c r="C817" s="101"/>
      <c r="D817" s="102"/>
    </row>
    <row r="818">
      <c r="C818" s="101"/>
      <c r="D818" s="102"/>
    </row>
    <row r="819">
      <c r="C819" s="101"/>
      <c r="D819" s="102"/>
    </row>
    <row r="820">
      <c r="C820" s="101"/>
      <c r="D820" s="102"/>
    </row>
    <row r="821">
      <c r="C821" s="101"/>
      <c r="D821" s="102"/>
    </row>
    <row r="822">
      <c r="C822" s="101"/>
      <c r="D822" s="102"/>
    </row>
    <row r="823">
      <c r="C823" s="101"/>
      <c r="D823" s="102"/>
    </row>
    <row r="824">
      <c r="C824" s="101"/>
      <c r="D824" s="102"/>
    </row>
    <row r="825">
      <c r="C825" s="101"/>
      <c r="D825" s="102"/>
    </row>
    <row r="826">
      <c r="C826" s="101"/>
      <c r="D826" s="102"/>
    </row>
    <row r="827">
      <c r="C827" s="101"/>
      <c r="D827" s="102"/>
    </row>
    <row r="828">
      <c r="C828" s="101"/>
      <c r="D828" s="102"/>
    </row>
    <row r="829">
      <c r="C829" s="101"/>
      <c r="D829" s="102"/>
    </row>
    <row r="830">
      <c r="C830" s="101"/>
      <c r="D830" s="102"/>
    </row>
    <row r="831">
      <c r="C831" s="101"/>
      <c r="D831" s="102"/>
    </row>
    <row r="832">
      <c r="C832" s="101"/>
      <c r="D832" s="102"/>
    </row>
    <row r="833">
      <c r="C833" s="101"/>
      <c r="D833" s="102"/>
    </row>
    <row r="834">
      <c r="C834" s="101"/>
      <c r="D834" s="102"/>
    </row>
    <row r="835">
      <c r="C835" s="101"/>
      <c r="D835" s="102"/>
    </row>
    <row r="836">
      <c r="C836" s="101"/>
      <c r="D836" s="102"/>
    </row>
    <row r="837">
      <c r="C837" s="101"/>
      <c r="D837" s="102"/>
    </row>
    <row r="838">
      <c r="C838" s="101"/>
      <c r="D838" s="102"/>
    </row>
    <row r="839">
      <c r="C839" s="101"/>
      <c r="D839" s="102"/>
    </row>
    <row r="840">
      <c r="C840" s="101"/>
      <c r="D840" s="102"/>
    </row>
    <row r="841">
      <c r="C841" s="101"/>
      <c r="D841" s="102"/>
    </row>
    <row r="842">
      <c r="C842" s="101"/>
      <c r="D842" s="102"/>
    </row>
    <row r="843">
      <c r="C843" s="101"/>
      <c r="D843" s="102"/>
    </row>
    <row r="844">
      <c r="C844" s="101"/>
      <c r="D844" s="102"/>
    </row>
    <row r="845">
      <c r="C845" s="101"/>
      <c r="D845" s="102"/>
    </row>
    <row r="846">
      <c r="C846" s="101"/>
      <c r="D846" s="102"/>
    </row>
    <row r="847">
      <c r="C847" s="101"/>
      <c r="D847" s="102"/>
    </row>
    <row r="848">
      <c r="C848" s="101"/>
      <c r="D848" s="102"/>
    </row>
    <row r="849">
      <c r="C849" s="101"/>
      <c r="D849" s="102"/>
    </row>
    <row r="850">
      <c r="C850" s="101"/>
      <c r="D850" s="102"/>
    </row>
    <row r="851">
      <c r="C851" s="101"/>
      <c r="D851" s="102"/>
    </row>
    <row r="852">
      <c r="C852" s="101"/>
      <c r="D852" s="102"/>
    </row>
    <row r="853">
      <c r="C853" s="101"/>
      <c r="D853" s="102"/>
    </row>
    <row r="854">
      <c r="C854" s="101"/>
      <c r="D854" s="102"/>
    </row>
    <row r="855">
      <c r="C855" s="101"/>
      <c r="D855" s="102"/>
    </row>
    <row r="856">
      <c r="C856" s="101"/>
      <c r="D856" s="102"/>
    </row>
    <row r="857">
      <c r="C857" s="101"/>
      <c r="D857" s="102"/>
    </row>
    <row r="858">
      <c r="C858" s="101"/>
      <c r="D858" s="102"/>
    </row>
    <row r="859">
      <c r="C859" s="101"/>
      <c r="D859" s="102"/>
    </row>
    <row r="860">
      <c r="C860" s="101"/>
      <c r="D860" s="102"/>
    </row>
    <row r="861">
      <c r="C861" s="101"/>
      <c r="D861" s="102"/>
    </row>
    <row r="862">
      <c r="C862" s="101"/>
      <c r="D862" s="102"/>
    </row>
    <row r="863">
      <c r="C863" s="101"/>
      <c r="D863" s="102"/>
    </row>
    <row r="864">
      <c r="C864" s="101"/>
      <c r="D864" s="102"/>
    </row>
    <row r="865">
      <c r="C865" s="101"/>
      <c r="D865" s="102"/>
    </row>
    <row r="866">
      <c r="C866" s="101"/>
      <c r="D866" s="102"/>
    </row>
    <row r="867">
      <c r="C867" s="101"/>
      <c r="D867" s="102"/>
    </row>
    <row r="868">
      <c r="C868" s="101"/>
      <c r="D868" s="102"/>
    </row>
    <row r="869">
      <c r="C869" s="101"/>
      <c r="D869" s="102"/>
    </row>
    <row r="870">
      <c r="C870" s="101"/>
      <c r="D870" s="102"/>
    </row>
    <row r="871">
      <c r="C871" s="101"/>
      <c r="D871" s="102"/>
    </row>
    <row r="872">
      <c r="C872" s="101"/>
      <c r="D872" s="102"/>
    </row>
    <row r="873">
      <c r="C873" s="101"/>
      <c r="D873" s="102"/>
    </row>
    <row r="874">
      <c r="C874" s="101"/>
      <c r="D874" s="102"/>
    </row>
    <row r="875">
      <c r="C875" s="101"/>
      <c r="D875" s="102"/>
    </row>
    <row r="876">
      <c r="C876" s="101"/>
      <c r="D876" s="102"/>
    </row>
    <row r="877">
      <c r="C877" s="101"/>
      <c r="D877" s="102"/>
    </row>
    <row r="878">
      <c r="C878" s="101"/>
      <c r="D878" s="102"/>
    </row>
    <row r="879">
      <c r="C879" s="101"/>
      <c r="D879" s="102"/>
    </row>
    <row r="880">
      <c r="C880" s="101"/>
      <c r="D880" s="102"/>
    </row>
    <row r="881">
      <c r="C881" s="101"/>
      <c r="D881" s="102"/>
    </row>
    <row r="882">
      <c r="C882" s="101"/>
      <c r="D882" s="102"/>
    </row>
    <row r="883">
      <c r="C883" s="101"/>
      <c r="D883" s="102"/>
    </row>
    <row r="884">
      <c r="C884" s="101"/>
      <c r="D884" s="102"/>
    </row>
    <row r="885">
      <c r="C885" s="101"/>
      <c r="D885" s="102"/>
    </row>
    <row r="886">
      <c r="C886" s="101"/>
      <c r="D886" s="102"/>
    </row>
    <row r="887">
      <c r="C887" s="101"/>
      <c r="D887" s="102"/>
    </row>
    <row r="888">
      <c r="C888" s="101"/>
      <c r="D888" s="102"/>
    </row>
    <row r="889">
      <c r="C889" s="101"/>
      <c r="D889" s="102"/>
    </row>
    <row r="890">
      <c r="C890" s="101"/>
      <c r="D890" s="102"/>
    </row>
    <row r="891">
      <c r="C891" s="101"/>
      <c r="D891" s="102"/>
    </row>
    <row r="892">
      <c r="C892" s="101"/>
      <c r="D892" s="102"/>
    </row>
    <row r="893">
      <c r="C893" s="101"/>
      <c r="D893" s="102"/>
    </row>
    <row r="894">
      <c r="C894" s="101"/>
      <c r="D894" s="102"/>
    </row>
    <row r="895">
      <c r="C895" s="101"/>
      <c r="D895" s="102"/>
    </row>
    <row r="896">
      <c r="C896" s="101"/>
      <c r="D896" s="102"/>
    </row>
    <row r="897">
      <c r="C897" s="101"/>
      <c r="D897" s="102"/>
    </row>
    <row r="898">
      <c r="C898" s="101"/>
      <c r="D898" s="102"/>
    </row>
    <row r="899">
      <c r="C899" s="101"/>
      <c r="D899" s="102"/>
    </row>
    <row r="900">
      <c r="C900" s="101"/>
      <c r="D900" s="102"/>
    </row>
    <row r="901">
      <c r="C901" s="101"/>
      <c r="D901" s="102"/>
    </row>
    <row r="902">
      <c r="C902" s="101"/>
      <c r="D902" s="102"/>
    </row>
    <row r="903">
      <c r="C903" s="101"/>
      <c r="D903" s="102"/>
    </row>
    <row r="904">
      <c r="C904" s="101"/>
      <c r="D904" s="102"/>
    </row>
    <row r="905">
      <c r="C905" s="101"/>
      <c r="D905" s="102"/>
    </row>
    <row r="906">
      <c r="C906" s="101"/>
      <c r="D906" s="102"/>
    </row>
    <row r="907">
      <c r="C907" s="101"/>
      <c r="D907" s="102"/>
    </row>
    <row r="908">
      <c r="C908" s="101"/>
      <c r="D908" s="102"/>
    </row>
    <row r="909">
      <c r="C909" s="101"/>
      <c r="D909" s="102"/>
    </row>
    <row r="910">
      <c r="C910" s="101"/>
      <c r="D910" s="102"/>
    </row>
    <row r="911">
      <c r="C911" s="101"/>
      <c r="D911" s="102"/>
    </row>
    <row r="912">
      <c r="C912" s="101"/>
      <c r="D912" s="102"/>
    </row>
    <row r="913">
      <c r="C913" s="101"/>
      <c r="D913" s="102"/>
    </row>
    <row r="914">
      <c r="C914" s="101"/>
      <c r="D914" s="102"/>
    </row>
    <row r="915">
      <c r="C915" s="101"/>
      <c r="D915" s="102"/>
    </row>
    <row r="916">
      <c r="C916" s="101"/>
      <c r="D916" s="102"/>
    </row>
    <row r="917">
      <c r="C917" s="101"/>
      <c r="D917" s="102"/>
    </row>
    <row r="918">
      <c r="C918" s="101"/>
      <c r="D918" s="102"/>
    </row>
    <row r="919">
      <c r="C919" s="101"/>
      <c r="D919" s="102"/>
    </row>
    <row r="920">
      <c r="C920" s="101"/>
      <c r="D920" s="102"/>
    </row>
    <row r="921">
      <c r="C921" s="101"/>
      <c r="D921" s="102"/>
    </row>
    <row r="922">
      <c r="C922" s="101"/>
      <c r="D922" s="102"/>
    </row>
    <row r="923">
      <c r="C923" s="101"/>
      <c r="D923" s="102"/>
    </row>
    <row r="924">
      <c r="C924" s="101"/>
      <c r="D924" s="102"/>
    </row>
    <row r="925">
      <c r="C925" s="101"/>
      <c r="D925" s="102"/>
    </row>
    <row r="926">
      <c r="C926" s="101"/>
      <c r="D926" s="102"/>
    </row>
    <row r="927">
      <c r="C927" s="101"/>
      <c r="D927" s="102"/>
    </row>
    <row r="928">
      <c r="C928" s="101"/>
      <c r="D928" s="102"/>
    </row>
    <row r="929">
      <c r="C929" s="101"/>
      <c r="D929" s="102"/>
    </row>
    <row r="930">
      <c r="C930" s="101"/>
      <c r="D930" s="102"/>
    </row>
    <row r="931">
      <c r="C931" s="101"/>
      <c r="D931" s="102"/>
    </row>
    <row r="932">
      <c r="C932" s="101"/>
      <c r="D932" s="102"/>
    </row>
    <row r="933">
      <c r="C933" s="101"/>
      <c r="D933" s="102"/>
    </row>
    <row r="934">
      <c r="C934" s="101"/>
      <c r="D934" s="102"/>
    </row>
    <row r="935">
      <c r="C935" s="101"/>
      <c r="D935" s="102"/>
    </row>
    <row r="936">
      <c r="C936" s="101"/>
      <c r="D936" s="102"/>
    </row>
    <row r="937">
      <c r="C937" s="101"/>
      <c r="D937" s="102"/>
    </row>
    <row r="938">
      <c r="C938" s="101"/>
      <c r="D938" s="102"/>
    </row>
    <row r="939">
      <c r="C939" s="101"/>
      <c r="D939" s="102"/>
    </row>
    <row r="940">
      <c r="C940" s="101"/>
      <c r="D940" s="102"/>
    </row>
    <row r="941">
      <c r="C941" s="101"/>
      <c r="D941" s="102"/>
    </row>
    <row r="942">
      <c r="C942" s="101"/>
      <c r="D942" s="102"/>
    </row>
    <row r="943">
      <c r="C943" s="101"/>
      <c r="D943" s="102"/>
    </row>
    <row r="944">
      <c r="C944" s="101"/>
      <c r="D944" s="102"/>
    </row>
    <row r="945">
      <c r="C945" s="101"/>
      <c r="D945" s="102"/>
    </row>
    <row r="946">
      <c r="C946" s="101"/>
      <c r="D946" s="102"/>
    </row>
    <row r="947">
      <c r="C947" s="101"/>
      <c r="D947" s="102"/>
    </row>
    <row r="948">
      <c r="C948" s="101"/>
      <c r="D948" s="102"/>
    </row>
    <row r="949">
      <c r="C949" s="101"/>
      <c r="D949" s="102"/>
    </row>
    <row r="950">
      <c r="C950" s="101"/>
      <c r="D950" s="102"/>
    </row>
    <row r="951">
      <c r="C951" s="101"/>
      <c r="D951" s="102"/>
    </row>
    <row r="952">
      <c r="C952" s="101"/>
      <c r="D952" s="102"/>
    </row>
    <row r="953">
      <c r="C953" s="101"/>
      <c r="D953" s="102"/>
    </row>
    <row r="954">
      <c r="C954" s="101"/>
      <c r="D954" s="102"/>
    </row>
    <row r="955">
      <c r="C955" s="101"/>
      <c r="D955" s="102"/>
    </row>
    <row r="956">
      <c r="C956" s="101"/>
      <c r="D956" s="102"/>
    </row>
    <row r="957">
      <c r="C957" s="101"/>
      <c r="D957" s="102"/>
    </row>
    <row r="958">
      <c r="C958" s="101"/>
      <c r="D958" s="102"/>
    </row>
    <row r="959">
      <c r="C959" s="101"/>
      <c r="D959" s="102"/>
    </row>
    <row r="960">
      <c r="C960" s="101"/>
      <c r="D960" s="102"/>
    </row>
    <row r="961">
      <c r="C961" s="101"/>
      <c r="D961" s="102"/>
    </row>
    <row r="962">
      <c r="C962" s="101"/>
      <c r="D962" s="102"/>
    </row>
    <row r="963">
      <c r="C963" s="101"/>
      <c r="D963" s="102"/>
    </row>
    <row r="964">
      <c r="C964" s="101"/>
      <c r="D964" s="102"/>
    </row>
    <row r="965">
      <c r="C965" s="101"/>
      <c r="D965" s="102"/>
    </row>
    <row r="966">
      <c r="C966" s="101"/>
      <c r="D966" s="102"/>
    </row>
    <row r="967">
      <c r="C967" s="101"/>
      <c r="D967" s="102"/>
    </row>
    <row r="968">
      <c r="C968" s="101"/>
      <c r="D968" s="102"/>
    </row>
    <row r="969">
      <c r="C969" s="101"/>
      <c r="D969" s="102"/>
    </row>
    <row r="970">
      <c r="C970" s="101"/>
      <c r="D970" s="102"/>
    </row>
    <row r="971">
      <c r="C971" s="101"/>
      <c r="D971" s="102"/>
    </row>
    <row r="972">
      <c r="C972" s="101"/>
      <c r="D972" s="102"/>
    </row>
    <row r="973">
      <c r="C973" s="101"/>
      <c r="D973" s="102"/>
    </row>
    <row r="974">
      <c r="C974" s="101"/>
      <c r="D974" s="102"/>
    </row>
    <row r="975">
      <c r="C975" s="101"/>
      <c r="D975" s="102"/>
    </row>
    <row r="976">
      <c r="C976" s="101"/>
      <c r="D976" s="102"/>
    </row>
    <row r="977">
      <c r="C977" s="101"/>
      <c r="D977" s="102"/>
    </row>
    <row r="978">
      <c r="C978" s="101"/>
      <c r="D978" s="102"/>
    </row>
    <row r="979">
      <c r="C979" s="101"/>
      <c r="D979" s="102"/>
    </row>
    <row r="980">
      <c r="C980" s="101"/>
      <c r="D980" s="102"/>
    </row>
    <row r="981">
      <c r="C981" s="101"/>
      <c r="D981" s="102"/>
    </row>
    <row r="982">
      <c r="C982" s="101"/>
      <c r="D982" s="102"/>
    </row>
    <row r="983">
      <c r="C983" s="101"/>
      <c r="D983" s="102"/>
    </row>
    <row r="984">
      <c r="C984" s="101"/>
      <c r="D984" s="102"/>
    </row>
    <row r="985">
      <c r="C985" s="101"/>
      <c r="D985" s="102"/>
    </row>
    <row r="986">
      <c r="C986" s="101"/>
      <c r="D986" s="102"/>
    </row>
    <row r="987">
      <c r="C987" s="101"/>
      <c r="D987" s="102"/>
    </row>
    <row r="988">
      <c r="C988" s="101"/>
      <c r="D988" s="102"/>
    </row>
    <row r="989">
      <c r="C989" s="101"/>
      <c r="D989" s="102"/>
    </row>
    <row r="990">
      <c r="C990" s="101"/>
      <c r="D990" s="102"/>
    </row>
    <row r="991">
      <c r="C991" s="101"/>
      <c r="D991" s="102"/>
    </row>
    <row r="992">
      <c r="C992" s="101"/>
      <c r="D992" s="102"/>
    </row>
    <row r="993">
      <c r="C993" s="101"/>
      <c r="D993" s="102"/>
    </row>
    <row r="994">
      <c r="C994" s="101"/>
      <c r="D994" s="102"/>
    </row>
    <row r="995">
      <c r="C995" s="101"/>
      <c r="D995" s="102"/>
    </row>
    <row r="996">
      <c r="C996" s="101"/>
      <c r="D996" s="102"/>
    </row>
    <row r="997">
      <c r="C997" s="101"/>
      <c r="D997" s="102"/>
    </row>
    <row r="998">
      <c r="C998" s="101"/>
      <c r="D998" s="102"/>
    </row>
    <row r="999">
      <c r="C999" s="101"/>
      <c r="D999" s="102"/>
    </row>
    <row r="1000">
      <c r="C1000" s="101"/>
      <c r="D1000" s="102"/>
    </row>
    <row r="1001">
      <c r="C1001" s="101"/>
      <c r="D1001" s="102"/>
    </row>
    <row r="1002">
      <c r="C1002" s="101"/>
      <c r="D1002" s="102"/>
    </row>
    <row r="1003">
      <c r="C1003" s="101"/>
      <c r="D1003" s="102"/>
    </row>
    <row r="1004">
      <c r="C1004" s="101"/>
      <c r="D1004" s="102"/>
    </row>
  </sheetData>
  <autoFilter ref="$A$1:$G$1004">
    <sortState ref="A1:G1004">
      <sortCondition descending="1" ref="C1:C1004"/>
      <sortCondition descending="1" ref="B1:B1004"/>
    </sortState>
  </autoFil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0"/>
    <col customWidth="1" min="2" max="2" width="11.13"/>
    <col customWidth="1" min="3" max="3" width="25.13"/>
    <col customWidth="1" min="4" max="4" width="14.38"/>
    <col customWidth="1" min="5" max="5" width="21.13"/>
    <col customWidth="1" min="6" max="6" width="26.38"/>
  </cols>
  <sheetData>
    <row r="1">
      <c r="A1" s="16" t="s">
        <v>236</v>
      </c>
      <c r="B1" s="16" t="s">
        <v>237</v>
      </c>
      <c r="C1" s="16" t="s">
        <v>98</v>
      </c>
      <c r="D1" s="16" t="s">
        <v>238</v>
      </c>
      <c r="E1" s="16" t="s">
        <v>239</v>
      </c>
      <c r="F1" s="16" t="s">
        <v>240</v>
      </c>
      <c r="G1" s="16" t="s">
        <v>241</v>
      </c>
      <c r="H1" s="22"/>
      <c r="I1" s="22"/>
      <c r="J1" s="22"/>
      <c r="K1" s="22"/>
      <c r="L1" s="22"/>
      <c r="M1" s="22"/>
      <c r="N1" s="22"/>
      <c r="O1" s="22"/>
      <c r="P1" s="22"/>
      <c r="Q1" s="22"/>
      <c r="R1" s="22"/>
      <c r="S1" s="22"/>
      <c r="T1" s="22"/>
      <c r="U1" s="22"/>
      <c r="V1" s="22"/>
      <c r="W1" s="22"/>
      <c r="X1" s="22"/>
      <c r="Y1" s="22"/>
      <c r="Z1" s="22"/>
      <c r="AA1" s="22"/>
    </row>
    <row r="2">
      <c r="A2" s="103">
        <v>46023.0</v>
      </c>
      <c r="B2" s="18" t="str">
        <f t="shared" ref="B2:B455" si="1">text(A2,"MMM")</f>
        <v>Jan</v>
      </c>
      <c r="C2" s="104" t="s">
        <v>242</v>
      </c>
      <c r="D2" s="105">
        <v>3354.0</v>
      </c>
      <c r="E2" s="106">
        <v>46024.0</v>
      </c>
      <c r="F2" s="106">
        <v>46028.0</v>
      </c>
      <c r="G2" s="27">
        <f t="shared" ref="G2:G361" si="2">F2-E2</f>
        <v>4</v>
      </c>
    </row>
    <row r="3">
      <c r="A3" s="103">
        <v>46023.0</v>
      </c>
      <c r="B3" s="18" t="str">
        <f t="shared" si="1"/>
        <v>Jan</v>
      </c>
      <c r="C3" s="104" t="s">
        <v>243</v>
      </c>
      <c r="D3" s="105">
        <v>3355.0</v>
      </c>
      <c r="E3" s="106">
        <v>46024.0</v>
      </c>
      <c r="F3" s="106">
        <v>46028.0</v>
      </c>
      <c r="G3" s="27">
        <f t="shared" si="2"/>
        <v>4</v>
      </c>
    </row>
    <row r="4">
      <c r="A4" s="103">
        <v>46023.0</v>
      </c>
      <c r="B4" s="18" t="str">
        <f t="shared" si="1"/>
        <v>Jan</v>
      </c>
      <c r="C4" s="104" t="s">
        <v>244</v>
      </c>
      <c r="D4" s="107">
        <v>3356.0</v>
      </c>
      <c r="E4" s="108">
        <v>46029.0</v>
      </c>
      <c r="F4" s="108">
        <v>46029.0</v>
      </c>
      <c r="G4" s="27">
        <f t="shared" si="2"/>
        <v>0</v>
      </c>
    </row>
    <row r="5">
      <c r="A5" s="103">
        <v>46023.0</v>
      </c>
      <c r="B5" s="18" t="str">
        <f t="shared" si="1"/>
        <v>Jan</v>
      </c>
      <c r="C5" s="104" t="s">
        <v>244</v>
      </c>
      <c r="D5" s="105">
        <v>3357.0</v>
      </c>
      <c r="E5" s="109">
        <v>46028.0</v>
      </c>
      <c r="F5" s="106">
        <v>46031.0</v>
      </c>
      <c r="G5" s="27">
        <f t="shared" si="2"/>
        <v>3</v>
      </c>
    </row>
    <row r="6">
      <c r="A6" s="103">
        <v>46023.0</v>
      </c>
      <c r="B6" s="18" t="str">
        <f t="shared" si="1"/>
        <v>Jan</v>
      </c>
      <c r="C6" s="104" t="s">
        <v>244</v>
      </c>
      <c r="D6" s="105">
        <v>3358.0</v>
      </c>
      <c r="E6" s="109">
        <v>46028.0</v>
      </c>
      <c r="F6" s="106">
        <v>46031.0</v>
      </c>
      <c r="G6" s="27">
        <f t="shared" si="2"/>
        <v>3</v>
      </c>
    </row>
    <row r="7">
      <c r="A7" s="103">
        <v>46023.0</v>
      </c>
      <c r="B7" s="18" t="str">
        <f t="shared" si="1"/>
        <v>Jan</v>
      </c>
      <c r="C7" s="104" t="s">
        <v>244</v>
      </c>
      <c r="D7" s="105">
        <v>3359.0</v>
      </c>
      <c r="E7" s="109">
        <v>46028.0</v>
      </c>
      <c r="F7" s="106">
        <v>46031.0</v>
      </c>
      <c r="G7" s="27">
        <f t="shared" si="2"/>
        <v>3</v>
      </c>
    </row>
    <row r="8">
      <c r="A8" s="103">
        <v>46023.0</v>
      </c>
      <c r="B8" s="18" t="str">
        <f t="shared" si="1"/>
        <v>Jan</v>
      </c>
      <c r="C8" s="104" t="s">
        <v>244</v>
      </c>
      <c r="D8" s="105">
        <v>3360.0</v>
      </c>
      <c r="E8" s="109">
        <v>46028.0</v>
      </c>
      <c r="F8" s="106">
        <v>46031.0</v>
      </c>
      <c r="G8" s="27">
        <f t="shared" si="2"/>
        <v>3</v>
      </c>
    </row>
    <row r="9">
      <c r="A9" s="103">
        <v>46024.0</v>
      </c>
      <c r="B9" s="18" t="str">
        <f t="shared" si="1"/>
        <v>Jan</v>
      </c>
      <c r="C9" s="104" t="s">
        <v>243</v>
      </c>
      <c r="D9" s="105">
        <v>3361.0</v>
      </c>
      <c r="E9" s="106">
        <v>46024.0</v>
      </c>
      <c r="F9" s="106">
        <v>46028.0</v>
      </c>
      <c r="G9" s="27">
        <f t="shared" si="2"/>
        <v>4</v>
      </c>
    </row>
    <row r="10">
      <c r="A10" s="103">
        <v>46024.0</v>
      </c>
      <c r="B10" s="18" t="str">
        <f t="shared" si="1"/>
        <v>Jan</v>
      </c>
      <c r="C10" s="104" t="s">
        <v>245</v>
      </c>
      <c r="D10" s="105">
        <v>3362.0</v>
      </c>
      <c r="E10" s="106">
        <v>46024.0</v>
      </c>
      <c r="F10" s="106">
        <v>46028.0</v>
      </c>
      <c r="G10" s="27">
        <f t="shared" si="2"/>
        <v>4</v>
      </c>
    </row>
    <row r="11">
      <c r="A11" s="103">
        <v>46024.0</v>
      </c>
      <c r="B11" s="18" t="str">
        <f t="shared" si="1"/>
        <v>Jan</v>
      </c>
      <c r="C11" s="104" t="s">
        <v>245</v>
      </c>
      <c r="D11" s="105">
        <v>3363.0</v>
      </c>
      <c r="E11" s="106">
        <v>46024.0</v>
      </c>
      <c r="F11" s="106">
        <v>46028.0</v>
      </c>
      <c r="G11" s="27">
        <f t="shared" si="2"/>
        <v>4</v>
      </c>
    </row>
    <row r="12">
      <c r="A12" s="103">
        <v>46024.0</v>
      </c>
      <c r="B12" s="18" t="str">
        <f t="shared" si="1"/>
        <v>Jan</v>
      </c>
      <c r="C12" s="104" t="s">
        <v>245</v>
      </c>
      <c r="D12" s="105">
        <v>3364.0</v>
      </c>
      <c r="E12" s="106">
        <v>46024.0</v>
      </c>
      <c r="F12" s="106">
        <v>46028.0</v>
      </c>
      <c r="G12" s="27">
        <f t="shared" si="2"/>
        <v>4</v>
      </c>
    </row>
    <row r="13">
      <c r="A13" s="103">
        <v>46024.0</v>
      </c>
      <c r="B13" s="18" t="str">
        <f t="shared" si="1"/>
        <v>Jan</v>
      </c>
      <c r="C13" s="104" t="s">
        <v>244</v>
      </c>
      <c r="D13" s="105">
        <v>3365.0</v>
      </c>
      <c r="E13" s="106">
        <v>46024.0</v>
      </c>
      <c r="F13" s="106">
        <v>46028.0</v>
      </c>
      <c r="G13" s="27">
        <f t="shared" si="2"/>
        <v>4</v>
      </c>
    </row>
    <row r="14">
      <c r="A14" s="103">
        <v>46024.0</v>
      </c>
      <c r="B14" s="18" t="str">
        <f t="shared" si="1"/>
        <v>Jan</v>
      </c>
      <c r="C14" s="104" t="s">
        <v>246</v>
      </c>
      <c r="D14" s="105">
        <v>3366.0</v>
      </c>
      <c r="E14" s="106">
        <v>46024.0</v>
      </c>
      <c r="F14" s="106">
        <v>46028.0</v>
      </c>
      <c r="G14" s="27">
        <f t="shared" si="2"/>
        <v>4</v>
      </c>
    </row>
    <row r="15">
      <c r="A15" s="103">
        <v>46025.0</v>
      </c>
      <c r="B15" s="18" t="str">
        <f t="shared" si="1"/>
        <v>Jan</v>
      </c>
      <c r="C15" s="104" t="s">
        <v>245</v>
      </c>
      <c r="D15" s="105">
        <v>3367.0</v>
      </c>
      <c r="E15" s="106">
        <v>46027.0</v>
      </c>
      <c r="F15" s="106">
        <v>46028.0</v>
      </c>
      <c r="G15" s="27">
        <f t="shared" si="2"/>
        <v>1</v>
      </c>
    </row>
    <row r="16">
      <c r="A16" s="103">
        <v>46025.0</v>
      </c>
      <c r="B16" s="18" t="str">
        <f t="shared" si="1"/>
        <v>Jan</v>
      </c>
      <c r="C16" s="104" t="s">
        <v>245</v>
      </c>
      <c r="D16" s="105">
        <v>3368.0</v>
      </c>
      <c r="E16" s="106">
        <v>46027.0</v>
      </c>
      <c r="F16" s="106">
        <v>46028.0</v>
      </c>
      <c r="G16" s="27">
        <f t="shared" si="2"/>
        <v>1</v>
      </c>
    </row>
    <row r="17">
      <c r="A17" s="103">
        <v>46025.0</v>
      </c>
      <c r="B17" s="18" t="str">
        <f t="shared" si="1"/>
        <v>Jan</v>
      </c>
      <c r="C17" s="104" t="s">
        <v>247</v>
      </c>
      <c r="D17" s="105">
        <v>3369.0</v>
      </c>
      <c r="E17" s="106">
        <v>46027.0</v>
      </c>
      <c r="F17" s="106">
        <v>46028.0</v>
      </c>
      <c r="G17" s="27">
        <f t="shared" si="2"/>
        <v>1</v>
      </c>
    </row>
    <row r="18">
      <c r="A18" s="103">
        <v>46025.0</v>
      </c>
      <c r="B18" s="18" t="str">
        <f t="shared" si="1"/>
        <v>Jan</v>
      </c>
      <c r="C18" s="104" t="s">
        <v>246</v>
      </c>
      <c r="D18" s="105">
        <v>3370.0</v>
      </c>
      <c r="E18" s="106">
        <v>46027.0</v>
      </c>
      <c r="F18" s="110">
        <v>46034.0</v>
      </c>
      <c r="G18" s="27">
        <f t="shared" si="2"/>
        <v>7</v>
      </c>
    </row>
    <row r="19">
      <c r="A19" s="103">
        <v>46025.0</v>
      </c>
      <c r="B19" s="18" t="str">
        <f t="shared" si="1"/>
        <v>Jan</v>
      </c>
      <c r="C19" s="104" t="s">
        <v>248</v>
      </c>
      <c r="D19" s="105">
        <v>3371.0</v>
      </c>
      <c r="E19" s="106">
        <v>46030.0</v>
      </c>
      <c r="F19" s="110">
        <v>46037.0</v>
      </c>
      <c r="G19" s="27">
        <f t="shared" si="2"/>
        <v>7</v>
      </c>
    </row>
    <row r="20">
      <c r="A20" s="103">
        <v>46025.0</v>
      </c>
      <c r="B20" s="18" t="str">
        <f t="shared" si="1"/>
        <v>Jan</v>
      </c>
      <c r="C20" s="104" t="s">
        <v>243</v>
      </c>
      <c r="D20" s="105">
        <v>3372.0</v>
      </c>
      <c r="E20" s="106">
        <v>46027.0</v>
      </c>
      <c r="F20" s="110">
        <v>46034.0</v>
      </c>
      <c r="G20" s="27">
        <f t="shared" si="2"/>
        <v>7</v>
      </c>
    </row>
    <row r="21">
      <c r="A21" s="103">
        <v>46026.0</v>
      </c>
      <c r="B21" s="18" t="str">
        <f t="shared" si="1"/>
        <v>Jan</v>
      </c>
      <c r="C21" s="104" t="s">
        <v>249</v>
      </c>
      <c r="D21" s="105">
        <v>3373.0</v>
      </c>
      <c r="E21" s="106">
        <v>46027.0</v>
      </c>
      <c r="F21" s="110">
        <v>46034.0</v>
      </c>
      <c r="G21" s="27">
        <f t="shared" si="2"/>
        <v>7</v>
      </c>
    </row>
    <row r="22">
      <c r="A22" s="103">
        <v>46026.0</v>
      </c>
      <c r="B22" s="18" t="str">
        <f t="shared" si="1"/>
        <v>Jan</v>
      </c>
      <c r="C22" s="104" t="s">
        <v>242</v>
      </c>
      <c r="D22" s="105">
        <v>3374.0</v>
      </c>
      <c r="E22" s="106">
        <v>46027.0</v>
      </c>
      <c r="F22" s="106">
        <v>46028.0</v>
      </c>
      <c r="G22" s="27">
        <f t="shared" si="2"/>
        <v>1</v>
      </c>
    </row>
    <row r="23">
      <c r="A23" s="103">
        <v>46026.0</v>
      </c>
      <c r="B23" s="18" t="str">
        <f t="shared" si="1"/>
        <v>Jan</v>
      </c>
      <c r="C23" s="104" t="s">
        <v>242</v>
      </c>
      <c r="D23" s="105">
        <v>3375.0</v>
      </c>
      <c r="E23" s="106">
        <v>46027.0</v>
      </c>
      <c r="F23" s="106">
        <v>46028.0</v>
      </c>
      <c r="G23" s="27">
        <f t="shared" si="2"/>
        <v>1</v>
      </c>
    </row>
    <row r="24">
      <c r="A24" s="103">
        <v>46026.0</v>
      </c>
      <c r="B24" s="18" t="str">
        <f t="shared" si="1"/>
        <v>Jan</v>
      </c>
      <c r="C24" s="104" t="s">
        <v>250</v>
      </c>
      <c r="D24" s="105">
        <v>3376.0</v>
      </c>
      <c r="E24" s="106">
        <v>46027.0</v>
      </c>
      <c r="F24" s="106">
        <v>46028.0</v>
      </c>
      <c r="G24" s="27">
        <f t="shared" si="2"/>
        <v>1</v>
      </c>
    </row>
    <row r="25">
      <c r="A25" s="103">
        <v>46026.0</v>
      </c>
      <c r="B25" s="18" t="str">
        <f t="shared" si="1"/>
        <v>Jan</v>
      </c>
      <c r="C25" s="104" t="s">
        <v>251</v>
      </c>
      <c r="D25" s="105">
        <v>3377.0</v>
      </c>
      <c r="E25" s="106">
        <v>46027.0</v>
      </c>
      <c r="F25" s="110">
        <v>46034.0</v>
      </c>
      <c r="G25" s="27">
        <f t="shared" si="2"/>
        <v>7</v>
      </c>
    </row>
    <row r="26">
      <c r="A26" s="103">
        <v>46027.0</v>
      </c>
      <c r="B26" s="18" t="str">
        <f t="shared" si="1"/>
        <v>Jan</v>
      </c>
      <c r="C26" s="104" t="s">
        <v>252</v>
      </c>
      <c r="D26" s="105">
        <v>3378.0</v>
      </c>
      <c r="E26" s="106">
        <v>46027.0</v>
      </c>
      <c r="F26" s="110">
        <v>46034.0</v>
      </c>
      <c r="G26" s="27">
        <f t="shared" si="2"/>
        <v>7</v>
      </c>
    </row>
    <row r="27">
      <c r="A27" s="103">
        <v>46027.0</v>
      </c>
      <c r="B27" s="18" t="str">
        <f t="shared" si="1"/>
        <v>Jan</v>
      </c>
      <c r="C27" s="104" t="s">
        <v>253</v>
      </c>
      <c r="D27" s="105">
        <v>3379.0</v>
      </c>
      <c r="E27" s="106">
        <v>46027.0</v>
      </c>
      <c r="F27" s="110">
        <v>46034.0</v>
      </c>
      <c r="G27" s="27">
        <f t="shared" si="2"/>
        <v>7</v>
      </c>
    </row>
    <row r="28">
      <c r="A28" s="103">
        <v>46027.0</v>
      </c>
      <c r="B28" s="18" t="str">
        <f t="shared" si="1"/>
        <v>Jan</v>
      </c>
      <c r="C28" s="104" t="s">
        <v>254</v>
      </c>
      <c r="D28" s="105">
        <v>3380.0</v>
      </c>
      <c r="E28" s="106">
        <v>46027.0</v>
      </c>
      <c r="F28" s="106">
        <v>46031.0</v>
      </c>
      <c r="G28" s="27">
        <f t="shared" si="2"/>
        <v>4</v>
      </c>
    </row>
    <row r="29">
      <c r="A29" s="103">
        <v>46027.0</v>
      </c>
      <c r="B29" s="18" t="str">
        <f t="shared" si="1"/>
        <v>Jan</v>
      </c>
      <c r="C29" s="104" t="s">
        <v>255</v>
      </c>
      <c r="D29" s="105">
        <v>3381.0</v>
      </c>
      <c r="E29" s="106">
        <v>46027.0</v>
      </c>
      <c r="F29" s="106">
        <v>46031.0</v>
      </c>
      <c r="G29" s="27">
        <f t="shared" si="2"/>
        <v>4</v>
      </c>
    </row>
    <row r="30">
      <c r="A30" s="103">
        <v>46027.0</v>
      </c>
      <c r="B30" s="18" t="str">
        <f t="shared" si="1"/>
        <v>Jan</v>
      </c>
      <c r="C30" s="104" t="s">
        <v>255</v>
      </c>
      <c r="D30" s="105">
        <v>3382.0</v>
      </c>
      <c r="E30" s="106">
        <v>46027.0</v>
      </c>
      <c r="F30" s="106">
        <v>46031.0</v>
      </c>
      <c r="G30" s="27">
        <f t="shared" si="2"/>
        <v>4</v>
      </c>
    </row>
    <row r="31">
      <c r="A31" s="103">
        <v>46027.0</v>
      </c>
      <c r="B31" s="18" t="str">
        <f t="shared" si="1"/>
        <v>Jan</v>
      </c>
      <c r="C31" s="104" t="s">
        <v>246</v>
      </c>
      <c r="D31" s="105">
        <v>3383.0</v>
      </c>
      <c r="E31" s="106">
        <v>46027.0</v>
      </c>
      <c r="F31" s="106">
        <v>46031.0</v>
      </c>
      <c r="G31" s="27">
        <f t="shared" si="2"/>
        <v>4</v>
      </c>
    </row>
    <row r="32">
      <c r="A32" s="103">
        <v>46027.0</v>
      </c>
      <c r="B32" s="18" t="str">
        <f t="shared" si="1"/>
        <v>Jan</v>
      </c>
      <c r="C32" s="104" t="s">
        <v>246</v>
      </c>
      <c r="D32" s="105">
        <v>3384.0</v>
      </c>
      <c r="E32" s="106">
        <v>46027.0</v>
      </c>
      <c r="F32" s="106">
        <v>46031.0</v>
      </c>
      <c r="G32" s="27">
        <f t="shared" si="2"/>
        <v>4</v>
      </c>
    </row>
    <row r="33">
      <c r="A33" s="103">
        <v>46027.0</v>
      </c>
      <c r="B33" s="18" t="str">
        <f t="shared" si="1"/>
        <v>Jan</v>
      </c>
      <c r="C33" s="104" t="s">
        <v>246</v>
      </c>
      <c r="D33" s="105">
        <v>3385.0</v>
      </c>
      <c r="E33" s="106">
        <v>46027.0</v>
      </c>
      <c r="F33" s="106">
        <v>46031.0</v>
      </c>
      <c r="G33" s="27">
        <f t="shared" si="2"/>
        <v>4</v>
      </c>
    </row>
    <row r="34">
      <c r="A34" s="103">
        <v>46027.0</v>
      </c>
      <c r="B34" s="18" t="str">
        <f t="shared" si="1"/>
        <v>Jan</v>
      </c>
      <c r="C34" s="111" t="s">
        <v>256</v>
      </c>
      <c r="D34" s="105">
        <v>3386.0</v>
      </c>
      <c r="E34" s="106">
        <v>46027.0</v>
      </c>
      <c r="F34" s="110">
        <v>46034.0</v>
      </c>
      <c r="G34" s="27">
        <f t="shared" si="2"/>
        <v>7</v>
      </c>
    </row>
    <row r="35">
      <c r="A35" s="103">
        <v>46028.0</v>
      </c>
      <c r="B35" s="18" t="str">
        <f t="shared" si="1"/>
        <v>Jan</v>
      </c>
      <c r="C35" s="104" t="s">
        <v>257</v>
      </c>
      <c r="D35" s="105">
        <v>3387.0</v>
      </c>
      <c r="E35" s="106">
        <v>46028.0</v>
      </c>
      <c r="F35" s="106">
        <v>46031.0</v>
      </c>
      <c r="G35" s="27">
        <f t="shared" si="2"/>
        <v>3</v>
      </c>
    </row>
    <row r="36">
      <c r="A36" s="103">
        <v>46028.0</v>
      </c>
      <c r="B36" s="18" t="str">
        <f t="shared" si="1"/>
        <v>Jan</v>
      </c>
      <c r="C36" s="104" t="s">
        <v>258</v>
      </c>
      <c r="D36" s="105">
        <v>3388.0</v>
      </c>
      <c r="E36" s="106">
        <v>46028.0</v>
      </c>
      <c r="F36" s="106">
        <v>46031.0</v>
      </c>
      <c r="G36" s="27">
        <f t="shared" si="2"/>
        <v>3</v>
      </c>
    </row>
    <row r="37">
      <c r="A37" s="103">
        <v>46028.0</v>
      </c>
      <c r="B37" s="18" t="str">
        <f t="shared" si="1"/>
        <v>Jan</v>
      </c>
      <c r="C37" s="104" t="s">
        <v>259</v>
      </c>
      <c r="D37" s="105">
        <v>3389.0</v>
      </c>
      <c r="E37" s="106">
        <v>46029.0</v>
      </c>
      <c r="F37" s="106">
        <v>46031.0</v>
      </c>
      <c r="G37" s="27">
        <f t="shared" si="2"/>
        <v>2</v>
      </c>
    </row>
    <row r="38">
      <c r="A38" s="103">
        <v>46029.0</v>
      </c>
      <c r="B38" s="18" t="str">
        <f t="shared" si="1"/>
        <v>Jan</v>
      </c>
      <c r="C38" s="104" t="s">
        <v>245</v>
      </c>
      <c r="D38" s="105">
        <v>3390.0</v>
      </c>
      <c r="E38" s="106">
        <v>46029.0</v>
      </c>
      <c r="F38" s="106">
        <v>46031.0</v>
      </c>
      <c r="G38" s="27">
        <f t="shared" si="2"/>
        <v>2</v>
      </c>
    </row>
    <row r="39">
      <c r="A39" s="103">
        <v>46029.0</v>
      </c>
      <c r="B39" s="18" t="str">
        <f t="shared" si="1"/>
        <v>Jan</v>
      </c>
      <c r="C39" s="104" t="s">
        <v>260</v>
      </c>
      <c r="D39" s="105">
        <v>3391.0</v>
      </c>
      <c r="E39" s="106">
        <v>46031.0</v>
      </c>
      <c r="F39" s="106">
        <v>46031.0</v>
      </c>
      <c r="G39" s="27">
        <f t="shared" si="2"/>
        <v>0</v>
      </c>
    </row>
    <row r="40">
      <c r="A40" s="103">
        <v>46030.0</v>
      </c>
      <c r="B40" s="18" t="str">
        <f t="shared" si="1"/>
        <v>Jan</v>
      </c>
      <c r="C40" s="104" t="s">
        <v>245</v>
      </c>
      <c r="D40" s="105">
        <v>3392.0</v>
      </c>
      <c r="E40" s="106">
        <v>46030.0</v>
      </c>
      <c r="F40" s="106">
        <v>46036.0</v>
      </c>
      <c r="G40" s="27">
        <f t="shared" si="2"/>
        <v>6</v>
      </c>
    </row>
    <row r="41">
      <c r="A41" s="103">
        <v>46030.0</v>
      </c>
      <c r="B41" s="18" t="str">
        <f t="shared" si="1"/>
        <v>Jan</v>
      </c>
      <c r="C41" s="104" t="s">
        <v>245</v>
      </c>
      <c r="D41" s="105">
        <v>3393.0</v>
      </c>
      <c r="E41" s="106">
        <v>46034.0</v>
      </c>
      <c r="F41" s="106">
        <v>46037.0</v>
      </c>
      <c r="G41" s="27">
        <f t="shared" si="2"/>
        <v>3</v>
      </c>
    </row>
    <row r="42">
      <c r="A42" s="103">
        <v>46030.0</v>
      </c>
      <c r="B42" s="18" t="str">
        <f t="shared" si="1"/>
        <v>Jan</v>
      </c>
      <c r="C42" s="104" t="s">
        <v>252</v>
      </c>
      <c r="D42" s="105">
        <v>3394.0</v>
      </c>
      <c r="E42" s="106">
        <v>46034.0</v>
      </c>
      <c r="F42" s="106">
        <v>46037.0</v>
      </c>
      <c r="G42" s="27">
        <f t="shared" si="2"/>
        <v>3</v>
      </c>
    </row>
    <row r="43">
      <c r="A43" s="103">
        <v>46031.0</v>
      </c>
      <c r="B43" s="18" t="str">
        <f t="shared" si="1"/>
        <v>Jan</v>
      </c>
      <c r="C43" s="104" t="s">
        <v>251</v>
      </c>
      <c r="D43" s="105">
        <v>3395.0</v>
      </c>
      <c r="E43" s="106">
        <v>46031.0</v>
      </c>
      <c r="F43" s="106">
        <v>46036.0</v>
      </c>
      <c r="G43" s="27">
        <f t="shared" si="2"/>
        <v>5</v>
      </c>
    </row>
    <row r="44">
      <c r="A44" s="103">
        <v>46032.0</v>
      </c>
      <c r="B44" s="18" t="str">
        <f t="shared" si="1"/>
        <v>Jan</v>
      </c>
      <c r="C44" s="104" t="s">
        <v>261</v>
      </c>
      <c r="D44" s="105">
        <v>3396.0</v>
      </c>
      <c r="E44" s="106">
        <v>46034.0</v>
      </c>
      <c r="F44" s="106">
        <v>46037.0</v>
      </c>
      <c r="G44" s="27">
        <f t="shared" si="2"/>
        <v>3</v>
      </c>
    </row>
    <row r="45">
      <c r="A45" s="103">
        <v>46032.0</v>
      </c>
      <c r="B45" s="18" t="str">
        <f t="shared" si="1"/>
        <v>Jan</v>
      </c>
      <c r="C45" s="104" t="s">
        <v>261</v>
      </c>
      <c r="D45" s="105">
        <v>3397.0</v>
      </c>
      <c r="E45" s="106">
        <v>46034.0</v>
      </c>
      <c r="F45" s="106">
        <v>46037.0</v>
      </c>
      <c r="G45" s="27">
        <f t="shared" si="2"/>
        <v>3</v>
      </c>
    </row>
    <row r="46">
      <c r="A46" s="103">
        <v>46032.0</v>
      </c>
      <c r="B46" s="18" t="str">
        <f t="shared" si="1"/>
        <v>Jan</v>
      </c>
      <c r="C46" s="104" t="s">
        <v>261</v>
      </c>
      <c r="D46" s="105">
        <v>3398.0</v>
      </c>
      <c r="E46" s="106">
        <v>46034.0</v>
      </c>
      <c r="F46" s="106">
        <v>46037.0</v>
      </c>
      <c r="G46" s="27">
        <f t="shared" si="2"/>
        <v>3</v>
      </c>
    </row>
    <row r="47">
      <c r="A47" s="103">
        <v>46032.0</v>
      </c>
      <c r="B47" s="18" t="str">
        <f t="shared" si="1"/>
        <v>Jan</v>
      </c>
      <c r="C47" s="104" t="s">
        <v>261</v>
      </c>
      <c r="D47" s="105">
        <v>3399.0</v>
      </c>
      <c r="E47" s="106">
        <v>46034.0</v>
      </c>
      <c r="F47" s="106">
        <v>46037.0</v>
      </c>
      <c r="G47" s="27">
        <f t="shared" si="2"/>
        <v>3</v>
      </c>
    </row>
    <row r="48">
      <c r="A48" s="103">
        <v>46032.0</v>
      </c>
      <c r="B48" s="18" t="str">
        <f t="shared" si="1"/>
        <v>Jan</v>
      </c>
      <c r="C48" s="104" t="s">
        <v>246</v>
      </c>
      <c r="D48" s="105">
        <v>3400.0</v>
      </c>
      <c r="E48" s="106">
        <v>46034.0</v>
      </c>
      <c r="F48" s="106">
        <v>46037.0</v>
      </c>
      <c r="G48" s="27">
        <f t="shared" si="2"/>
        <v>3</v>
      </c>
    </row>
    <row r="49">
      <c r="A49" s="103">
        <v>46033.0</v>
      </c>
      <c r="B49" s="18" t="str">
        <f t="shared" si="1"/>
        <v>Jan</v>
      </c>
      <c r="C49" s="104" t="s">
        <v>261</v>
      </c>
      <c r="D49" s="105">
        <v>3401.0</v>
      </c>
      <c r="E49" s="106">
        <v>46034.0</v>
      </c>
      <c r="F49" s="106">
        <v>46037.0</v>
      </c>
      <c r="G49" s="27">
        <f t="shared" si="2"/>
        <v>3</v>
      </c>
    </row>
    <row r="50">
      <c r="A50" s="103">
        <v>46033.0</v>
      </c>
      <c r="B50" s="18" t="str">
        <f t="shared" si="1"/>
        <v>Jan</v>
      </c>
      <c r="C50" s="104" t="s">
        <v>261</v>
      </c>
      <c r="D50" s="105">
        <v>3402.0</v>
      </c>
      <c r="E50" s="106">
        <v>46034.0</v>
      </c>
      <c r="F50" s="106">
        <v>46037.0</v>
      </c>
      <c r="G50" s="27">
        <f t="shared" si="2"/>
        <v>3</v>
      </c>
    </row>
    <row r="51">
      <c r="A51" s="103">
        <v>46033.0</v>
      </c>
      <c r="B51" s="18" t="str">
        <f t="shared" si="1"/>
        <v>Jan</v>
      </c>
      <c r="C51" s="104" t="s">
        <v>259</v>
      </c>
      <c r="D51" s="105">
        <v>3403.0</v>
      </c>
      <c r="E51" s="106">
        <v>46034.0</v>
      </c>
      <c r="F51" s="106">
        <v>46037.0</v>
      </c>
      <c r="G51" s="27">
        <f t="shared" si="2"/>
        <v>3</v>
      </c>
    </row>
    <row r="52">
      <c r="A52" s="103">
        <v>46033.0</v>
      </c>
      <c r="B52" s="18" t="str">
        <f t="shared" si="1"/>
        <v>Jan</v>
      </c>
      <c r="C52" s="104" t="s">
        <v>262</v>
      </c>
      <c r="D52" s="105">
        <v>3404.0</v>
      </c>
      <c r="E52" s="106">
        <v>46034.0</v>
      </c>
      <c r="F52" s="106">
        <v>46037.0</v>
      </c>
      <c r="G52" s="27">
        <f t="shared" si="2"/>
        <v>3</v>
      </c>
    </row>
    <row r="53">
      <c r="A53" s="103">
        <v>46033.0</v>
      </c>
      <c r="B53" s="18" t="str">
        <f t="shared" si="1"/>
        <v>Jan</v>
      </c>
      <c r="C53" s="104" t="s">
        <v>262</v>
      </c>
      <c r="D53" s="105">
        <v>3405.0</v>
      </c>
      <c r="E53" s="106">
        <v>46034.0</v>
      </c>
      <c r="F53" s="106">
        <v>46037.0</v>
      </c>
      <c r="G53" s="27">
        <f t="shared" si="2"/>
        <v>3</v>
      </c>
    </row>
    <row r="54">
      <c r="A54" s="103">
        <v>46033.0</v>
      </c>
      <c r="B54" s="18" t="str">
        <f t="shared" si="1"/>
        <v>Jan</v>
      </c>
      <c r="C54" s="104" t="s">
        <v>249</v>
      </c>
      <c r="D54" s="105">
        <v>3406.0</v>
      </c>
      <c r="E54" s="106">
        <v>46034.0</v>
      </c>
      <c r="F54" s="106">
        <v>46038.0</v>
      </c>
      <c r="G54" s="27">
        <f t="shared" si="2"/>
        <v>4</v>
      </c>
    </row>
    <row r="55">
      <c r="A55" s="103">
        <v>46033.0</v>
      </c>
      <c r="B55" s="18" t="str">
        <f t="shared" si="1"/>
        <v>Jan</v>
      </c>
      <c r="C55" s="104" t="s">
        <v>263</v>
      </c>
      <c r="D55" s="105">
        <v>3407.0</v>
      </c>
      <c r="E55" s="106">
        <v>46034.0</v>
      </c>
      <c r="F55" s="106">
        <v>46038.0</v>
      </c>
      <c r="G55" s="27">
        <f t="shared" si="2"/>
        <v>4</v>
      </c>
    </row>
    <row r="56">
      <c r="A56" s="103">
        <v>46033.0</v>
      </c>
      <c r="B56" s="18" t="str">
        <f t="shared" si="1"/>
        <v>Jan</v>
      </c>
      <c r="C56" s="104" t="s">
        <v>264</v>
      </c>
      <c r="D56" s="105">
        <v>3408.0</v>
      </c>
      <c r="E56" s="106">
        <v>46034.0</v>
      </c>
      <c r="F56" s="106">
        <v>46038.0</v>
      </c>
      <c r="G56" s="27">
        <f t="shared" si="2"/>
        <v>4</v>
      </c>
    </row>
    <row r="57">
      <c r="A57" s="103">
        <v>46034.0</v>
      </c>
      <c r="B57" s="18" t="str">
        <f t="shared" si="1"/>
        <v>Jan</v>
      </c>
      <c r="C57" s="104" t="s">
        <v>254</v>
      </c>
      <c r="D57" s="105">
        <v>3409.0</v>
      </c>
      <c r="E57" s="106">
        <v>46035.0</v>
      </c>
      <c r="F57" s="106">
        <v>46038.0</v>
      </c>
      <c r="G57" s="27">
        <f t="shared" si="2"/>
        <v>3</v>
      </c>
    </row>
    <row r="58">
      <c r="A58" s="103">
        <v>46034.0</v>
      </c>
      <c r="B58" s="18" t="str">
        <f t="shared" si="1"/>
        <v>Jan</v>
      </c>
      <c r="C58" s="104" t="s">
        <v>254</v>
      </c>
      <c r="D58" s="105">
        <v>3410.0</v>
      </c>
      <c r="E58" s="106">
        <v>46035.0</v>
      </c>
      <c r="F58" s="106">
        <v>46038.0</v>
      </c>
      <c r="G58" s="27">
        <f t="shared" si="2"/>
        <v>3</v>
      </c>
    </row>
    <row r="59">
      <c r="A59" s="103">
        <v>46034.0</v>
      </c>
      <c r="B59" s="18" t="str">
        <f t="shared" si="1"/>
        <v>Jan</v>
      </c>
      <c r="C59" s="104" t="s">
        <v>254</v>
      </c>
      <c r="D59" s="105">
        <v>3411.0</v>
      </c>
      <c r="E59" s="106">
        <v>46035.0</v>
      </c>
      <c r="F59" s="106">
        <v>46038.0</v>
      </c>
      <c r="G59" s="27">
        <f t="shared" si="2"/>
        <v>3</v>
      </c>
    </row>
    <row r="60">
      <c r="A60" s="103">
        <v>46034.0</v>
      </c>
      <c r="B60" s="18" t="str">
        <f t="shared" si="1"/>
        <v>Jan</v>
      </c>
      <c r="C60" s="104" t="s">
        <v>265</v>
      </c>
      <c r="D60" s="105">
        <v>3412.0</v>
      </c>
      <c r="E60" s="106">
        <v>46035.0</v>
      </c>
      <c r="F60" s="106">
        <v>46038.0</v>
      </c>
      <c r="G60" s="27">
        <f t="shared" si="2"/>
        <v>3</v>
      </c>
    </row>
    <row r="61">
      <c r="A61" s="103">
        <v>46034.0</v>
      </c>
      <c r="B61" s="18" t="str">
        <f t="shared" si="1"/>
        <v>Jan</v>
      </c>
      <c r="C61" s="104" t="s">
        <v>257</v>
      </c>
      <c r="D61" s="105">
        <v>3413.0</v>
      </c>
      <c r="E61" s="106">
        <v>46036.0</v>
      </c>
      <c r="F61" s="106">
        <v>46041.0</v>
      </c>
      <c r="G61" s="27">
        <f t="shared" si="2"/>
        <v>5</v>
      </c>
    </row>
    <row r="62">
      <c r="A62" s="103">
        <v>46035.0</v>
      </c>
      <c r="B62" s="18" t="str">
        <f t="shared" si="1"/>
        <v>Jan</v>
      </c>
      <c r="C62" s="104" t="s">
        <v>253</v>
      </c>
      <c r="D62" s="105">
        <v>3414.0</v>
      </c>
      <c r="E62" s="106">
        <v>46036.0</v>
      </c>
      <c r="F62" s="106">
        <v>46041.0</v>
      </c>
      <c r="G62" s="27">
        <f t="shared" si="2"/>
        <v>5</v>
      </c>
    </row>
    <row r="63">
      <c r="A63" s="103">
        <v>46035.0</v>
      </c>
      <c r="B63" s="18" t="str">
        <f t="shared" si="1"/>
        <v>Jan</v>
      </c>
      <c r="C63" s="104" t="s">
        <v>258</v>
      </c>
      <c r="D63" s="105">
        <v>3415.0</v>
      </c>
      <c r="E63" s="106">
        <v>46036.0</v>
      </c>
      <c r="F63" s="106">
        <v>46041.0</v>
      </c>
      <c r="G63" s="27">
        <f t="shared" si="2"/>
        <v>5</v>
      </c>
    </row>
    <row r="64">
      <c r="A64" s="103">
        <v>46035.0</v>
      </c>
      <c r="B64" s="18" t="str">
        <f t="shared" si="1"/>
        <v>Jan</v>
      </c>
      <c r="C64" s="104" t="s">
        <v>262</v>
      </c>
      <c r="D64" s="105">
        <v>3416.0</v>
      </c>
      <c r="E64" s="106">
        <v>46036.0</v>
      </c>
      <c r="F64" s="106">
        <v>46041.0</v>
      </c>
      <c r="G64" s="27">
        <f t="shared" si="2"/>
        <v>5</v>
      </c>
    </row>
    <row r="65">
      <c r="A65" s="103">
        <v>46036.0</v>
      </c>
      <c r="B65" s="18" t="str">
        <f t="shared" si="1"/>
        <v>Jan</v>
      </c>
      <c r="C65" s="104" t="s">
        <v>260</v>
      </c>
      <c r="D65" s="105">
        <v>3417.0</v>
      </c>
      <c r="E65" s="106">
        <v>46037.0</v>
      </c>
      <c r="F65" s="106">
        <v>46041.0</v>
      </c>
      <c r="G65" s="27">
        <f t="shared" si="2"/>
        <v>4</v>
      </c>
    </row>
    <row r="66">
      <c r="A66" s="103">
        <v>46036.0</v>
      </c>
      <c r="B66" s="18" t="str">
        <f t="shared" si="1"/>
        <v>Jan</v>
      </c>
      <c r="C66" s="104" t="s">
        <v>245</v>
      </c>
      <c r="D66" s="105">
        <v>3418.0</v>
      </c>
      <c r="E66" s="106">
        <v>46037.0</v>
      </c>
      <c r="F66" s="106">
        <v>46041.0</v>
      </c>
      <c r="G66" s="27">
        <f t="shared" si="2"/>
        <v>4</v>
      </c>
    </row>
    <row r="67">
      <c r="A67" s="103">
        <v>46037.0</v>
      </c>
      <c r="B67" s="18" t="str">
        <f t="shared" si="1"/>
        <v>Jan</v>
      </c>
      <c r="C67" s="104" t="s">
        <v>242</v>
      </c>
      <c r="D67" s="105">
        <v>3419.0</v>
      </c>
      <c r="E67" s="106">
        <v>46037.0</v>
      </c>
      <c r="F67" s="106">
        <v>46041.0</v>
      </c>
      <c r="G67" s="27">
        <f t="shared" si="2"/>
        <v>4</v>
      </c>
    </row>
    <row r="68">
      <c r="A68" s="103">
        <v>46037.0</v>
      </c>
      <c r="B68" s="18" t="str">
        <f t="shared" si="1"/>
        <v>Jan</v>
      </c>
      <c r="C68" s="104" t="s">
        <v>242</v>
      </c>
      <c r="D68" s="105">
        <v>3420.0</v>
      </c>
      <c r="E68" s="106">
        <v>46037.0</v>
      </c>
      <c r="F68" s="106">
        <v>46041.0</v>
      </c>
      <c r="G68" s="27">
        <f t="shared" si="2"/>
        <v>4</v>
      </c>
    </row>
    <row r="69">
      <c r="A69" s="103">
        <v>46037.0</v>
      </c>
      <c r="B69" s="18" t="str">
        <f t="shared" si="1"/>
        <v>Jan</v>
      </c>
      <c r="C69" s="104" t="s">
        <v>242</v>
      </c>
      <c r="D69" s="105">
        <v>3421.0</v>
      </c>
      <c r="E69" s="106">
        <v>46037.0</v>
      </c>
      <c r="F69" s="106">
        <v>46041.0</v>
      </c>
      <c r="G69" s="27">
        <f t="shared" si="2"/>
        <v>4</v>
      </c>
    </row>
    <row r="70">
      <c r="A70" s="103">
        <v>46037.0</v>
      </c>
      <c r="B70" s="18" t="str">
        <f t="shared" si="1"/>
        <v>Jan</v>
      </c>
      <c r="C70" s="104" t="s">
        <v>260</v>
      </c>
      <c r="D70" s="105">
        <v>3422.0</v>
      </c>
      <c r="E70" s="106">
        <v>46037.0</v>
      </c>
      <c r="F70" s="106">
        <v>46041.0</v>
      </c>
      <c r="G70" s="27">
        <f t="shared" si="2"/>
        <v>4</v>
      </c>
    </row>
    <row r="71">
      <c r="A71" s="103">
        <v>46037.0</v>
      </c>
      <c r="B71" s="18" t="str">
        <f t="shared" si="1"/>
        <v>Jan</v>
      </c>
      <c r="C71" s="104" t="s">
        <v>252</v>
      </c>
      <c r="D71" s="105">
        <v>3423.0</v>
      </c>
      <c r="E71" s="106">
        <v>46041.0</v>
      </c>
      <c r="F71" s="106">
        <v>46045.0</v>
      </c>
      <c r="G71" s="27">
        <f t="shared" si="2"/>
        <v>4</v>
      </c>
    </row>
    <row r="72">
      <c r="A72" s="103">
        <v>46038.0</v>
      </c>
      <c r="B72" s="18" t="str">
        <f t="shared" si="1"/>
        <v>Jan</v>
      </c>
      <c r="C72" s="104" t="s">
        <v>245</v>
      </c>
      <c r="D72" s="105">
        <v>3424.0</v>
      </c>
      <c r="E72" s="106">
        <v>46041.0</v>
      </c>
      <c r="F72" s="106">
        <v>46045.0</v>
      </c>
      <c r="G72" s="27">
        <f t="shared" si="2"/>
        <v>4</v>
      </c>
    </row>
    <row r="73">
      <c r="A73" s="103">
        <v>46038.0</v>
      </c>
      <c r="B73" s="18" t="str">
        <f t="shared" si="1"/>
        <v>Jan</v>
      </c>
      <c r="C73" s="104" t="s">
        <v>245</v>
      </c>
      <c r="D73" s="105">
        <v>3425.0</v>
      </c>
      <c r="E73" s="106">
        <v>46041.0</v>
      </c>
      <c r="F73" s="106">
        <v>46045.0</v>
      </c>
      <c r="G73" s="27">
        <f t="shared" si="2"/>
        <v>4</v>
      </c>
    </row>
    <row r="74">
      <c r="A74" s="103">
        <v>46038.0</v>
      </c>
      <c r="B74" s="18" t="str">
        <f t="shared" si="1"/>
        <v>Jan</v>
      </c>
      <c r="C74" s="104" t="s">
        <v>246</v>
      </c>
      <c r="D74" s="105">
        <v>3426.0</v>
      </c>
      <c r="E74" s="106">
        <v>46041.0</v>
      </c>
      <c r="F74" s="106">
        <v>46045.0</v>
      </c>
      <c r="G74" s="27">
        <f t="shared" si="2"/>
        <v>4</v>
      </c>
    </row>
    <row r="75">
      <c r="A75" s="103">
        <v>46039.0</v>
      </c>
      <c r="B75" s="18" t="str">
        <f t="shared" si="1"/>
        <v>Jan</v>
      </c>
      <c r="C75" s="104" t="s">
        <v>264</v>
      </c>
      <c r="D75" s="105">
        <v>3427.0</v>
      </c>
      <c r="E75" s="106">
        <v>46042.0</v>
      </c>
      <c r="F75" s="106">
        <v>46045.0</v>
      </c>
      <c r="G75" s="27">
        <f t="shared" si="2"/>
        <v>3</v>
      </c>
    </row>
    <row r="76">
      <c r="A76" s="103">
        <v>46039.0</v>
      </c>
      <c r="B76" s="18" t="str">
        <f t="shared" si="1"/>
        <v>Jan</v>
      </c>
      <c r="C76" s="104" t="s">
        <v>264</v>
      </c>
      <c r="D76" s="105">
        <v>3428.0</v>
      </c>
      <c r="E76" s="106">
        <v>46042.0</v>
      </c>
      <c r="F76" s="106">
        <v>46045.0</v>
      </c>
      <c r="G76" s="27">
        <f t="shared" si="2"/>
        <v>3</v>
      </c>
    </row>
    <row r="77">
      <c r="A77" s="103">
        <v>46039.0</v>
      </c>
      <c r="B77" s="18" t="str">
        <f t="shared" si="1"/>
        <v>Jan</v>
      </c>
      <c r="C77" s="104" t="s">
        <v>261</v>
      </c>
      <c r="D77" s="105">
        <v>3429.0</v>
      </c>
      <c r="E77" s="106">
        <v>46041.0</v>
      </c>
      <c r="F77" s="106">
        <v>46045.0</v>
      </c>
      <c r="G77" s="27">
        <f t="shared" si="2"/>
        <v>4</v>
      </c>
    </row>
    <row r="78">
      <c r="A78" s="103">
        <v>46040.0</v>
      </c>
      <c r="B78" s="18" t="str">
        <f t="shared" si="1"/>
        <v>Jan</v>
      </c>
      <c r="C78" s="104" t="s">
        <v>262</v>
      </c>
      <c r="D78" s="105">
        <v>3430.0</v>
      </c>
      <c r="E78" s="106">
        <v>46042.0</v>
      </c>
      <c r="F78" s="106">
        <v>46045.0</v>
      </c>
      <c r="G78" s="27">
        <f t="shared" si="2"/>
        <v>3</v>
      </c>
    </row>
    <row r="79">
      <c r="A79" s="103">
        <v>46040.0</v>
      </c>
      <c r="B79" s="18" t="str">
        <f t="shared" si="1"/>
        <v>Jan</v>
      </c>
      <c r="C79" s="104" t="s">
        <v>242</v>
      </c>
      <c r="D79" s="105">
        <v>3431.0</v>
      </c>
      <c r="E79" s="106">
        <v>46041.0</v>
      </c>
      <c r="F79" s="106">
        <v>46045.0</v>
      </c>
      <c r="G79" s="27">
        <f t="shared" si="2"/>
        <v>4</v>
      </c>
    </row>
    <row r="80">
      <c r="A80" s="103">
        <v>46040.0</v>
      </c>
      <c r="B80" s="18" t="str">
        <f t="shared" si="1"/>
        <v>Jan</v>
      </c>
      <c r="C80" s="104" t="s">
        <v>245</v>
      </c>
      <c r="D80" s="105">
        <v>3432.0</v>
      </c>
      <c r="E80" s="106">
        <v>46041.0</v>
      </c>
      <c r="F80" s="106">
        <v>46045.0</v>
      </c>
      <c r="G80" s="27">
        <f t="shared" si="2"/>
        <v>4</v>
      </c>
    </row>
    <row r="81">
      <c r="A81" s="103">
        <v>46040.0</v>
      </c>
      <c r="B81" s="18" t="str">
        <f t="shared" si="1"/>
        <v>Jan</v>
      </c>
      <c r="C81" s="104" t="s">
        <v>252</v>
      </c>
      <c r="D81" s="105">
        <v>3433.0</v>
      </c>
      <c r="E81" s="106">
        <v>46041.0</v>
      </c>
      <c r="F81" s="106">
        <v>46045.0</v>
      </c>
      <c r="G81" s="27">
        <f t="shared" si="2"/>
        <v>4</v>
      </c>
    </row>
    <row r="82">
      <c r="A82" s="103">
        <v>46040.0</v>
      </c>
      <c r="B82" s="18" t="str">
        <f t="shared" si="1"/>
        <v>Jan</v>
      </c>
      <c r="C82" s="104" t="s">
        <v>252</v>
      </c>
      <c r="D82" s="105">
        <v>3434.0</v>
      </c>
      <c r="E82" s="106">
        <v>46041.0</v>
      </c>
      <c r="F82" s="106">
        <v>46045.0</v>
      </c>
      <c r="G82" s="27">
        <f t="shared" si="2"/>
        <v>4</v>
      </c>
    </row>
    <row r="83">
      <c r="A83" s="103">
        <v>46040.0</v>
      </c>
      <c r="B83" s="18" t="str">
        <f t="shared" si="1"/>
        <v>Jan</v>
      </c>
      <c r="C83" s="104" t="s">
        <v>243</v>
      </c>
      <c r="D83" s="105">
        <v>3435.0</v>
      </c>
      <c r="E83" s="106">
        <v>46041.0</v>
      </c>
      <c r="F83" s="106">
        <v>46045.0</v>
      </c>
      <c r="G83" s="27">
        <f t="shared" si="2"/>
        <v>4</v>
      </c>
    </row>
    <row r="84">
      <c r="A84" s="103">
        <v>46041.0</v>
      </c>
      <c r="B84" s="18" t="str">
        <f t="shared" si="1"/>
        <v>Jan</v>
      </c>
      <c r="C84" s="104" t="s">
        <v>246</v>
      </c>
      <c r="D84" s="105">
        <v>3436.0</v>
      </c>
      <c r="E84" s="106">
        <v>46041.0</v>
      </c>
      <c r="F84" s="106">
        <v>46045.0</v>
      </c>
      <c r="G84" s="27">
        <f t="shared" si="2"/>
        <v>4</v>
      </c>
    </row>
    <row r="85">
      <c r="A85" s="103">
        <v>46041.0</v>
      </c>
      <c r="B85" s="18" t="str">
        <f t="shared" si="1"/>
        <v>Jan</v>
      </c>
      <c r="C85" s="104" t="s">
        <v>256</v>
      </c>
      <c r="D85" s="105">
        <v>3437.0</v>
      </c>
      <c r="E85" s="106">
        <v>46041.0</v>
      </c>
      <c r="F85" s="106">
        <v>46045.0</v>
      </c>
      <c r="G85" s="27">
        <f t="shared" si="2"/>
        <v>4</v>
      </c>
    </row>
    <row r="86">
      <c r="A86" s="103">
        <v>46041.0</v>
      </c>
      <c r="B86" s="18" t="str">
        <f t="shared" si="1"/>
        <v>Jan</v>
      </c>
      <c r="C86" s="104" t="s">
        <v>242</v>
      </c>
      <c r="D86" s="105">
        <v>3438.0</v>
      </c>
      <c r="E86" s="106">
        <v>46041.0</v>
      </c>
      <c r="F86" s="106">
        <v>46045.0</v>
      </c>
      <c r="G86" s="27">
        <f t="shared" si="2"/>
        <v>4</v>
      </c>
    </row>
    <row r="87">
      <c r="A87" s="103">
        <v>46041.0</v>
      </c>
      <c r="B87" s="18" t="str">
        <f t="shared" si="1"/>
        <v>Jan</v>
      </c>
      <c r="C87" s="104" t="s">
        <v>257</v>
      </c>
      <c r="D87" s="105">
        <v>3439.0</v>
      </c>
      <c r="E87" s="106">
        <v>46041.0</v>
      </c>
      <c r="F87" s="106">
        <v>46045.0</v>
      </c>
      <c r="G87" s="27">
        <f t="shared" si="2"/>
        <v>4</v>
      </c>
    </row>
    <row r="88">
      <c r="A88" s="103">
        <v>46043.0</v>
      </c>
      <c r="B88" s="18" t="str">
        <f t="shared" si="1"/>
        <v>Jan</v>
      </c>
      <c r="C88" s="104" t="s">
        <v>264</v>
      </c>
      <c r="D88" s="105">
        <v>3440.0</v>
      </c>
      <c r="E88" s="106">
        <v>46043.0</v>
      </c>
      <c r="F88" s="106">
        <v>46045.0</v>
      </c>
      <c r="G88" s="27">
        <f t="shared" si="2"/>
        <v>2</v>
      </c>
    </row>
    <row r="89">
      <c r="A89" s="103">
        <v>46043.0</v>
      </c>
      <c r="B89" s="18" t="str">
        <f t="shared" si="1"/>
        <v>Jan</v>
      </c>
      <c r="C89" s="104" t="s">
        <v>257</v>
      </c>
      <c r="D89" s="105">
        <v>3441.0</v>
      </c>
      <c r="E89" s="106">
        <v>46043.0</v>
      </c>
      <c r="F89" s="106">
        <v>46045.0</v>
      </c>
      <c r="G89" s="27">
        <f t="shared" si="2"/>
        <v>2</v>
      </c>
    </row>
    <row r="90">
      <c r="A90" s="103">
        <v>46043.0</v>
      </c>
      <c r="B90" s="18" t="str">
        <f t="shared" si="1"/>
        <v>Jan</v>
      </c>
      <c r="C90" s="104" t="s">
        <v>245</v>
      </c>
      <c r="D90" s="105">
        <v>3442.0</v>
      </c>
      <c r="E90" s="106">
        <v>46043.0</v>
      </c>
      <c r="F90" s="106">
        <v>46048.0</v>
      </c>
      <c r="G90" s="27">
        <f t="shared" si="2"/>
        <v>5</v>
      </c>
    </row>
    <row r="91">
      <c r="A91" s="103">
        <v>46043.0</v>
      </c>
      <c r="B91" s="18" t="str">
        <f t="shared" si="1"/>
        <v>Jan</v>
      </c>
      <c r="C91" s="104" t="s">
        <v>245</v>
      </c>
      <c r="D91" s="105">
        <v>3443.0</v>
      </c>
      <c r="E91" s="106">
        <v>46043.0</v>
      </c>
      <c r="F91" s="106">
        <v>46048.0</v>
      </c>
      <c r="G91" s="27">
        <f t="shared" si="2"/>
        <v>5</v>
      </c>
    </row>
    <row r="92">
      <c r="A92" s="103">
        <v>46044.0</v>
      </c>
      <c r="B92" s="18" t="str">
        <f t="shared" si="1"/>
        <v>Jan</v>
      </c>
      <c r="C92" s="104" t="s">
        <v>256</v>
      </c>
      <c r="D92" s="105">
        <v>3444.0</v>
      </c>
      <c r="E92" s="106">
        <v>46043.0</v>
      </c>
      <c r="F92" s="106">
        <v>46048.0</v>
      </c>
      <c r="G92" s="27">
        <f t="shared" si="2"/>
        <v>5</v>
      </c>
    </row>
    <row r="93">
      <c r="A93" s="103">
        <v>46044.0</v>
      </c>
      <c r="B93" s="18" t="str">
        <f t="shared" si="1"/>
        <v>Jan</v>
      </c>
      <c r="C93" s="104" t="s">
        <v>252</v>
      </c>
      <c r="D93" s="105">
        <v>3445.0</v>
      </c>
      <c r="E93" s="106">
        <v>46044.0</v>
      </c>
      <c r="F93" s="106">
        <v>46048.0</v>
      </c>
      <c r="G93" s="27">
        <f t="shared" si="2"/>
        <v>4</v>
      </c>
    </row>
    <row r="94">
      <c r="A94" s="103">
        <v>46044.0</v>
      </c>
      <c r="B94" s="18" t="str">
        <f t="shared" si="1"/>
        <v>Jan</v>
      </c>
      <c r="C94" s="104" t="s">
        <v>254</v>
      </c>
      <c r="D94" s="105">
        <v>3446.0</v>
      </c>
      <c r="E94" s="106">
        <v>46050.0</v>
      </c>
      <c r="F94" s="110">
        <v>46052.0</v>
      </c>
      <c r="G94" s="27">
        <f t="shared" si="2"/>
        <v>2</v>
      </c>
    </row>
    <row r="95">
      <c r="A95" s="103">
        <v>46045.0</v>
      </c>
      <c r="B95" s="18" t="str">
        <f t="shared" si="1"/>
        <v>Jan</v>
      </c>
      <c r="C95" s="104" t="s">
        <v>262</v>
      </c>
      <c r="D95" s="105">
        <v>3447.0</v>
      </c>
      <c r="E95" s="106">
        <v>46045.0</v>
      </c>
      <c r="F95" s="106">
        <v>46048.0</v>
      </c>
      <c r="G95" s="27">
        <f t="shared" si="2"/>
        <v>3</v>
      </c>
    </row>
    <row r="96">
      <c r="A96" s="103">
        <v>46045.0</v>
      </c>
      <c r="B96" s="18" t="str">
        <f t="shared" si="1"/>
        <v>Jan</v>
      </c>
      <c r="C96" s="104" t="s">
        <v>249</v>
      </c>
      <c r="D96" s="105">
        <v>3448.0</v>
      </c>
      <c r="E96" s="106">
        <v>46045.0</v>
      </c>
      <c r="F96" s="110">
        <v>46051.0</v>
      </c>
      <c r="G96" s="27">
        <f t="shared" si="2"/>
        <v>6</v>
      </c>
    </row>
    <row r="97">
      <c r="A97" s="103">
        <v>46045.0</v>
      </c>
      <c r="B97" s="18" t="str">
        <f t="shared" si="1"/>
        <v>Jan</v>
      </c>
      <c r="C97" s="104" t="s">
        <v>247</v>
      </c>
      <c r="D97" s="105">
        <v>3449.0</v>
      </c>
      <c r="E97" s="106">
        <v>46048.0</v>
      </c>
      <c r="F97" s="106">
        <v>46052.0</v>
      </c>
      <c r="G97" s="27">
        <f t="shared" si="2"/>
        <v>4</v>
      </c>
    </row>
    <row r="98">
      <c r="A98" s="103">
        <v>46046.0</v>
      </c>
      <c r="B98" s="18" t="str">
        <f t="shared" si="1"/>
        <v>Jan</v>
      </c>
      <c r="C98" s="104" t="s">
        <v>260</v>
      </c>
      <c r="D98" s="105">
        <v>3450.0</v>
      </c>
      <c r="E98" s="106">
        <v>46048.0</v>
      </c>
      <c r="F98" s="106">
        <v>46052.0</v>
      </c>
      <c r="G98" s="27">
        <f t="shared" si="2"/>
        <v>4</v>
      </c>
    </row>
    <row r="99">
      <c r="A99" s="103">
        <v>46047.0</v>
      </c>
      <c r="B99" s="18" t="str">
        <f t="shared" si="1"/>
        <v>Jan</v>
      </c>
      <c r="C99" s="104" t="s">
        <v>254</v>
      </c>
      <c r="D99" s="105">
        <v>3451.0</v>
      </c>
      <c r="E99" s="106">
        <v>46048.0</v>
      </c>
      <c r="F99" s="106">
        <v>46052.0</v>
      </c>
      <c r="G99" s="27">
        <f t="shared" si="2"/>
        <v>4</v>
      </c>
    </row>
    <row r="100">
      <c r="A100" s="103">
        <v>46047.0</v>
      </c>
      <c r="B100" s="18" t="str">
        <f t="shared" si="1"/>
        <v>Jan</v>
      </c>
      <c r="C100" s="104" t="s">
        <v>266</v>
      </c>
      <c r="D100" s="105">
        <v>3452.0</v>
      </c>
      <c r="E100" s="106">
        <v>46048.0</v>
      </c>
      <c r="F100" s="106">
        <v>46052.0</v>
      </c>
      <c r="G100" s="27">
        <f t="shared" si="2"/>
        <v>4</v>
      </c>
    </row>
    <row r="101">
      <c r="A101" s="103">
        <v>46047.0</v>
      </c>
      <c r="B101" s="18" t="str">
        <f t="shared" si="1"/>
        <v>Jan</v>
      </c>
      <c r="C101" s="104" t="s">
        <v>266</v>
      </c>
      <c r="D101" s="105">
        <v>3453.0</v>
      </c>
      <c r="E101" s="106">
        <v>46048.0</v>
      </c>
      <c r="F101" s="106">
        <v>46052.0</v>
      </c>
      <c r="G101" s="27">
        <f t="shared" si="2"/>
        <v>4</v>
      </c>
    </row>
    <row r="102">
      <c r="A102" s="103">
        <v>46047.0</v>
      </c>
      <c r="B102" s="18" t="str">
        <f t="shared" si="1"/>
        <v>Jan</v>
      </c>
      <c r="C102" s="104" t="s">
        <v>266</v>
      </c>
      <c r="D102" s="105">
        <v>3454.0</v>
      </c>
      <c r="E102" s="106">
        <v>46048.0</v>
      </c>
      <c r="F102" s="106">
        <v>46052.0</v>
      </c>
      <c r="G102" s="27">
        <f t="shared" si="2"/>
        <v>4</v>
      </c>
    </row>
    <row r="103">
      <c r="A103" s="103">
        <v>46047.0</v>
      </c>
      <c r="B103" s="18" t="str">
        <f t="shared" si="1"/>
        <v>Jan</v>
      </c>
      <c r="C103" s="104" t="s">
        <v>267</v>
      </c>
      <c r="D103" s="105">
        <v>3455.0</v>
      </c>
      <c r="E103" s="106">
        <v>46048.0</v>
      </c>
      <c r="F103" s="106">
        <v>46052.0</v>
      </c>
      <c r="G103" s="27">
        <f t="shared" si="2"/>
        <v>4</v>
      </c>
    </row>
    <row r="104">
      <c r="A104" s="103">
        <v>46047.0</v>
      </c>
      <c r="B104" s="18" t="str">
        <f t="shared" si="1"/>
        <v>Jan</v>
      </c>
      <c r="C104" s="104" t="s">
        <v>245</v>
      </c>
      <c r="D104" s="105">
        <v>3456.0</v>
      </c>
      <c r="E104" s="106">
        <v>46048.0</v>
      </c>
      <c r="F104" s="106">
        <v>46052.0</v>
      </c>
      <c r="G104" s="27">
        <f t="shared" si="2"/>
        <v>4</v>
      </c>
    </row>
    <row r="105">
      <c r="A105" s="103">
        <v>46047.0</v>
      </c>
      <c r="B105" s="18" t="str">
        <f t="shared" si="1"/>
        <v>Jan</v>
      </c>
      <c r="C105" s="104" t="s">
        <v>256</v>
      </c>
      <c r="D105" s="105">
        <v>3457.0</v>
      </c>
      <c r="E105" s="106">
        <v>46048.0</v>
      </c>
      <c r="F105" s="106">
        <v>46052.0</v>
      </c>
      <c r="G105" s="27">
        <f t="shared" si="2"/>
        <v>4</v>
      </c>
    </row>
    <row r="106">
      <c r="A106" s="103">
        <v>46047.0</v>
      </c>
      <c r="B106" s="18" t="str">
        <f t="shared" si="1"/>
        <v>Jan</v>
      </c>
      <c r="C106" s="104" t="s">
        <v>263</v>
      </c>
      <c r="D106" s="105">
        <v>3458.0</v>
      </c>
      <c r="E106" s="106">
        <v>46048.0</v>
      </c>
      <c r="F106" s="106">
        <v>46052.0</v>
      </c>
      <c r="G106" s="27">
        <f t="shared" si="2"/>
        <v>4</v>
      </c>
    </row>
    <row r="107">
      <c r="A107" s="103">
        <v>46047.0</v>
      </c>
      <c r="B107" s="18" t="str">
        <f t="shared" si="1"/>
        <v>Jan</v>
      </c>
      <c r="C107" s="104" t="s">
        <v>268</v>
      </c>
      <c r="D107" s="105">
        <v>3459.0</v>
      </c>
      <c r="E107" s="106">
        <v>46048.0</v>
      </c>
      <c r="F107" s="106">
        <v>46052.0</v>
      </c>
      <c r="G107" s="27">
        <f t="shared" si="2"/>
        <v>4</v>
      </c>
    </row>
    <row r="108">
      <c r="A108" s="103">
        <v>46048.0</v>
      </c>
      <c r="B108" s="18" t="str">
        <f t="shared" si="1"/>
        <v>Jan</v>
      </c>
      <c r="C108" s="104" t="s">
        <v>249</v>
      </c>
      <c r="D108" s="105">
        <v>3460.0</v>
      </c>
      <c r="E108" s="106">
        <v>46049.0</v>
      </c>
      <c r="F108" s="106">
        <v>46052.0</v>
      </c>
      <c r="G108" s="27">
        <f t="shared" si="2"/>
        <v>3</v>
      </c>
    </row>
    <row r="109">
      <c r="A109" s="103">
        <v>46048.0</v>
      </c>
      <c r="B109" s="18" t="str">
        <f t="shared" si="1"/>
        <v>Jan</v>
      </c>
      <c r="C109" s="104" t="s">
        <v>264</v>
      </c>
      <c r="D109" s="105">
        <v>3461.0</v>
      </c>
      <c r="E109" s="106">
        <v>46049.0</v>
      </c>
      <c r="F109" s="106">
        <v>46052.0</v>
      </c>
      <c r="G109" s="27">
        <f t="shared" si="2"/>
        <v>3</v>
      </c>
    </row>
    <row r="110">
      <c r="A110" s="103">
        <v>46048.0</v>
      </c>
      <c r="B110" s="18" t="str">
        <f t="shared" si="1"/>
        <v>Jan</v>
      </c>
      <c r="C110" s="104" t="s">
        <v>269</v>
      </c>
      <c r="D110" s="105">
        <v>3462.0</v>
      </c>
      <c r="E110" s="106">
        <v>46049.0</v>
      </c>
      <c r="F110" s="106">
        <v>46052.0</v>
      </c>
      <c r="G110" s="27">
        <f t="shared" si="2"/>
        <v>3</v>
      </c>
    </row>
    <row r="111">
      <c r="A111" s="103">
        <v>46049.0</v>
      </c>
      <c r="B111" s="18" t="str">
        <f t="shared" si="1"/>
        <v>Jan</v>
      </c>
      <c r="C111" s="104" t="s">
        <v>269</v>
      </c>
      <c r="D111" s="105">
        <v>3463.0</v>
      </c>
      <c r="E111" s="106">
        <v>46050.0</v>
      </c>
      <c r="F111" s="106">
        <v>46050.0</v>
      </c>
      <c r="G111" s="27">
        <f t="shared" si="2"/>
        <v>0</v>
      </c>
    </row>
    <row r="112">
      <c r="A112" s="103">
        <v>46050.0</v>
      </c>
      <c r="B112" s="18" t="str">
        <f t="shared" si="1"/>
        <v>Jan</v>
      </c>
      <c r="C112" s="104" t="s">
        <v>246</v>
      </c>
      <c r="D112" s="105">
        <v>3464.0</v>
      </c>
      <c r="E112" s="106">
        <v>46052.0</v>
      </c>
      <c r="F112" s="112">
        <v>46059.0</v>
      </c>
      <c r="G112" s="27">
        <f t="shared" si="2"/>
        <v>7</v>
      </c>
    </row>
    <row r="113">
      <c r="A113" s="103">
        <v>46050.0</v>
      </c>
      <c r="B113" s="18" t="str">
        <f t="shared" si="1"/>
        <v>Jan</v>
      </c>
      <c r="C113" s="104" t="s">
        <v>261</v>
      </c>
      <c r="D113" s="105">
        <v>3465.0</v>
      </c>
      <c r="E113" s="106">
        <v>46050.0</v>
      </c>
      <c r="F113" s="106">
        <v>46053.0</v>
      </c>
      <c r="G113" s="27">
        <f t="shared" si="2"/>
        <v>3</v>
      </c>
    </row>
    <row r="114">
      <c r="A114" s="113">
        <v>46050.0</v>
      </c>
      <c r="B114" s="18" t="str">
        <f t="shared" si="1"/>
        <v>Jan</v>
      </c>
      <c r="C114" s="104" t="s">
        <v>270</v>
      </c>
      <c r="D114" s="105">
        <v>3466.0</v>
      </c>
      <c r="E114" s="106">
        <v>46051.0</v>
      </c>
      <c r="F114" s="106">
        <v>46055.0</v>
      </c>
      <c r="G114" s="27">
        <f t="shared" si="2"/>
        <v>4</v>
      </c>
    </row>
    <row r="115">
      <c r="A115" s="113">
        <v>46051.0</v>
      </c>
      <c r="B115" s="18" t="str">
        <f t="shared" si="1"/>
        <v>Jan</v>
      </c>
      <c r="C115" s="104" t="s">
        <v>247</v>
      </c>
      <c r="D115" s="105">
        <v>3467.0</v>
      </c>
      <c r="E115" s="106">
        <v>46051.0</v>
      </c>
      <c r="F115" s="106">
        <v>46055.0</v>
      </c>
      <c r="G115" s="27">
        <f t="shared" si="2"/>
        <v>4</v>
      </c>
    </row>
    <row r="116">
      <c r="A116" s="113">
        <v>46051.0</v>
      </c>
      <c r="B116" s="18" t="str">
        <f t="shared" si="1"/>
        <v>Jan</v>
      </c>
      <c r="C116" s="104" t="s">
        <v>247</v>
      </c>
      <c r="D116" s="105">
        <v>3468.0</v>
      </c>
      <c r="E116" s="106">
        <v>46051.0</v>
      </c>
      <c r="F116" s="106">
        <v>46055.0</v>
      </c>
      <c r="G116" s="27">
        <f t="shared" si="2"/>
        <v>4</v>
      </c>
    </row>
    <row r="117">
      <c r="A117" s="113">
        <v>46051.0</v>
      </c>
      <c r="B117" s="18" t="str">
        <f t="shared" si="1"/>
        <v>Jan</v>
      </c>
      <c r="C117" s="104" t="s">
        <v>247</v>
      </c>
      <c r="D117" s="105">
        <v>3469.0</v>
      </c>
      <c r="E117" s="106">
        <v>46051.0</v>
      </c>
      <c r="F117" s="106">
        <v>46055.0</v>
      </c>
      <c r="G117" s="27">
        <f t="shared" si="2"/>
        <v>4</v>
      </c>
    </row>
    <row r="118">
      <c r="A118" s="113">
        <v>46051.0</v>
      </c>
      <c r="B118" s="18" t="str">
        <f t="shared" si="1"/>
        <v>Jan</v>
      </c>
      <c r="C118" s="104" t="s">
        <v>247</v>
      </c>
      <c r="D118" s="105">
        <v>3470.0</v>
      </c>
      <c r="E118" s="106">
        <v>46051.0</v>
      </c>
      <c r="F118" s="106">
        <v>46055.0</v>
      </c>
      <c r="G118" s="27">
        <f t="shared" si="2"/>
        <v>4</v>
      </c>
    </row>
    <row r="119">
      <c r="A119" s="113">
        <v>46051.0</v>
      </c>
      <c r="B119" s="18" t="str">
        <f t="shared" si="1"/>
        <v>Jan</v>
      </c>
      <c r="C119" s="104" t="s">
        <v>247</v>
      </c>
      <c r="D119" s="105">
        <v>3471.0</v>
      </c>
      <c r="E119" s="106">
        <v>46051.0</v>
      </c>
      <c r="F119" s="106">
        <v>46055.0</v>
      </c>
      <c r="G119" s="27">
        <f t="shared" si="2"/>
        <v>4</v>
      </c>
    </row>
    <row r="120">
      <c r="A120" s="113">
        <v>46051.0</v>
      </c>
      <c r="B120" s="18" t="str">
        <f t="shared" si="1"/>
        <v>Jan</v>
      </c>
      <c r="C120" s="104" t="s">
        <v>254</v>
      </c>
      <c r="D120" s="105">
        <v>3472.0</v>
      </c>
      <c r="E120" s="106">
        <v>46051.0</v>
      </c>
      <c r="F120" s="106">
        <v>46055.0</v>
      </c>
      <c r="G120" s="27">
        <f t="shared" si="2"/>
        <v>4</v>
      </c>
    </row>
    <row r="121">
      <c r="A121" s="113">
        <v>46051.0</v>
      </c>
      <c r="B121" s="18" t="str">
        <f t="shared" si="1"/>
        <v>Jan</v>
      </c>
      <c r="C121" s="104" t="s">
        <v>246</v>
      </c>
      <c r="D121" s="105">
        <v>3473.0</v>
      </c>
      <c r="E121" s="106">
        <v>46051.0</v>
      </c>
      <c r="F121" s="106">
        <v>46055.0</v>
      </c>
      <c r="G121" s="27">
        <f t="shared" si="2"/>
        <v>4</v>
      </c>
    </row>
    <row r="122">
      <c r="A122" s="113">
        <v>46051.0</v>
      </c>
      <c r="B122" s="18" t="str">
        <f t="shared" si="1"/>
        <v>Jan</v>
      </c>
      <c r="C122" s="104" t="s">
        <v>257</v>
      </c>
      <c r="D122" s="105">
        <v>3474.0</v>
      </c>
      <c r="E122" s="106">
        <v>46051.0</v>
      </c>
      <c r="F122" s="106">
        <v>46055.0</v>
      </c>
      <c r="G122" s="27">
        <f t="shared" si="2"/>
        <v>4</v>
      </c>
    </row>
    <row r="123">
      <c r="A123" s="113">
        <v>46051.0</v>
      </c>
      <c r="B123" s="18" t="str">
        <f t="shared" si="1"/>
        <v>Jan</v>
      </c>
      <c r="C123" s="104" t="s">
        <v>255</v>
      </c>
      <c r="D123" s="105">
        <v>3475.0</v>
      </c>
      <c r="E123" s="106">
        <v>46051.0</v>
      </c>
      <c r="F123" s="106">
        <v>46055.0</v>
      </c>
      <c r="G123" s="27">
        <f t="shared" si="2"/>
        <v>4</v>
      </c>
    </row>
    <row r="124">
      <c r="A124" s="113">
        <v>46052.0</v>
      </c>
      <c r="B124" s="18" t="str">
        <f t="shared" si="1"/>
        <v>Jan</v>
      </c>
      <c r="C124" s="104" t="s">
        <v>249</v>
      </c>
      <c r="D124" s="105">
        <v>3476.0</v>
      </c>
      <c r="E124" s="106">
        <v>46052.0</v>
      </c>
      <c r="F124" s="106">
        <v>46055.0</v>
      </c>
      <c r="G124" s="27">
        <f t="shared" si="2"/>
        <v>3</v>
      </c>
    </row>
    <row r="125">
      <c r="A125" s="113">
        <v>6686161.0</v>
      </c>
      <c r="B125" s="18" t="str">
        <f t="shared" si="1"/>
        <v>Jan</v>
      </c>
      <c r="C125" s="104" t="s">
        <v>267</v>
      </c>
      <c r="D125" s="105">
        <v>3477.0</v>
      </c>
      <c r="E125" s="106">
        <v>46052.0</v>
      </c>
      <c r="F125" s="106">
        <v>46055.0</v>
      </c>
      <c r="G125" s="27">
        <f t="shared" si="2"/>
        <v>3</v>
      </c>
    </row>
    <row r="126">
      <c r="A126" s="113">
        <v>6686161.0</v>
      </c>
      <c r="B126" s="18" t="str">
        <f t="shared" si="1"/>
        <v>Jan</v>
      </c>
      <c r="C126" s="104" t="s">
        <v>268</v>
      </c>
      <c r="D126" s="105">
        <v>3478.0</v>
      </c>
      <c r="E126" s="106">
        <v>46055.0</v>
      </c>
      <c r="F126" s="106">
        <v>46058.0</v>
      </c>
      <c r="G126" s="27">
        <f t="shared" si="2"/>
        <v>3</v>
      </c>
    </row>
    <row r="127">
      <c r="A127" s="113">
        <v>6686161.0</v>
      </c>
      <c r="B127" s="18" t="str">
        <f t="shared" si="1"/>
        <v>Jan</v>
      </c>
      <c r="C127" s="104" t="s">
        <v>265</v>
      </c>
      <c r="D127" s="105">
        <v>3479.0</v>
      </c>
      <c r="E127" s="112">
        <v>46055.0</v>
      </c>
      <c r="F127" s="106">
        <v>46058.0</v>
      </c>
      <c r="G127" s="27">
        <f t="shared" si="2"/>
        <v>3</v>
      </c>
    </row>
    <row r="128">
      <c r="A128" s="113">
        <v>6686161.0</v>
      </c>
      <c r="B128" s="18" t="str">
        <f t="shared" si="1"/>
        <v>Jan</v>
      </c>
      <c r="C128" s="104" t="s">
        <v>247</v>
      </c>
      <c r="D128" s="105">
        <v>3480.0</v>
      </c>
      <c r="E128" s="112">
        <v>46055.0</v>
      </c>
      <c r="F128" s="106">
        <v>46058.0</v>
      </c>
      <c r="G128" s="27">
        <f t="shared" si="2"/>
        <v>3</v>
      </c>
    </row>
    <row r="129">
      <c r="A129" s="113">
        <v>6686161.0</v>
      </c>
      <c r="B129" s="18" t="str">
        <f t="shared" si="1"/>
        <v>Jan</v>
      </c>
      <c r="C129" s="104" t="s">
        <v>251</v>
      </c>
      <c r="D129" s="105">
        <v>3481.0</v>
      </c>
      <c r="E129" s="112">
        <v>46055.0</v>
      </c>
      <c r="F129" s="106">
        <v>46058.0</v>
      </c>
      <c r="G129" s="27">
        <f t="shared" si="2"/>
        <v>3</v>
      </c>
    </row>
    <row r="130">
      <c r="A130" s="113">
        <v>6686161.0</v>
      </c>
      <c r="B130" s="18" t="str">
        <f t="shared" si="1"/>
        <v>Jan</v>
      </c>
      <c r="C130" s="104" t="s">
        <v>251</v>
      </c>
      <c r="D130" s="105">
        <v>3482.0</v>
      </c>
      <c r="E130" s="112">
        <v>46055.0</v>
      </c>
      <c r="F130" s="106">
        <v>46058.0</v>
      </c>
      <c r="G130" s="27">
        <f t="shared" si="2"/>
        <v>3</v>
      </c>
    </row>
    <row r="131">
      <c r="A131" s="113">
        <v>6686161.0</v>
      </c>
      <c r="B131" s="18" t="str">
        <f t="shared" si="1"/>
        <v>Jan</v>
      </c>
      <c r="C131" s="104" t="s">
        <v>259</v>
      </c>
      <c r="D131" s="105">
        <v>3483.0</v>
      </c>
      <c r="E131" s="112">
        <v>46055.0</v>
      </c>
      <c r="F131" s="106">
        <v>46058.0</v>
      </c>
      <c r="G131" s="27">
        <f t="shared" si="2"/>
        <v>3</v>
      </c>
    </row>
    <row r="132">
      <c r="A132" s="113">
        <v>6686161.0</v>
      </c>
      <c r="B132" s="18" t="str">
        <f t="shared" si="1"/>
        <v>Jan</v>
      </c>
      <c r="C132" s="104" t="s">
        <v>264</v>
      </c>
      <c r="D132" s="105">
        <v>3485.0</v>
      </c>
      <c r="E132" s="112">
        <v>46055.0</v>
      </c>
      <c r="F132" s="106">
        <v>46058.0</v>
      </c>
      <c r="G132" s="27">
        <f t="shared" si="2"/>
        <v>3</v>
      </c>
    </row>
    <row r="133">
      <c r="A133" s="113">
        <v>6686161.0</v>
      </c>
      <c r="B133" s="18" t="str">
        <f t="shared" si="1"/>
        <v>Jan</v>
      </c>
      <c r="C133" s="114" t="s">
        <v>130</v>
      </c>
      <c r="D133" s="105">
        <v>3486.0</v>
      </c>
      <c r="E133" s="112">
        <v>46055.0</v>
      </c>
      <c r="F133" s="106">
        <v>46058.0</v>
      </c>
      <c r="G133" s="27">
        <f t="shared" si="2"/>
        <v>3</v>
      </c>
    </row>
    <row r="134">
      <c r="A134" s="113">
        <v>6686161.0</v>
      </c>
      <c r="B134" s="18" t="str">
        <f t="shared" si="1"/>
        <v>Jan</v>
      </c>
      <c r="C134" s="114" t="s">
        <v>109</v>
      </c>
      <c r="D134" s="105">
        <v>3486.0</v>
      </c>
      <c r="E134" s="106">
        <v>46057.0</v>
      </c>
      <c r="F134" s="106">
        <v>46058.0</v>
      </c>
      <c r="G134" s="27">
        <f t="shared" si="2"/>
        <v>1</v>
      </c>
    </row>
    <row r="135">
      <c r="A135" s="115">
        <v>46054.0</v>
      </c>
      <c r="B135" s="18" t="str">
        <f t="shared" si="1"/>
        <v>Feb</v>
      </c>
      <c r="C135" s="104" t="s">
        <v>271</v>
      </c>
      <c r="D135" s="105">
        <v>3488.0</v>
      </c>
      <c r="E135" s="112">
        <v>46055.0</v>
      </c>
      <c r="F135" s="106">
        <v>46058.0</v>
      </c>
      <c r="G135" s="27">
        <f t="shared" si="2"/>
        <v>3</v>
      </c>
    </row>
    <row r="136">
      <c r="A136" s="115">
        <v>46054.0</v>
      </c>
      <c r="B136" s="18" t="str">
        <f t="shared" si="1"/>
        <v>Feb</v>
      </c>
      <c r="C136" s="104" t="s">
        <v>272</v>
      </c>
      <c r="D136" s="105">
        <v>3489.0</v>
      </c>
      <c r="E136" s="112">
        <v>46055.0</v>
      </c>
      <c r="F136" s="106">
        <v>46058.0</v>
      </c>
      <c r="G136" s="27">
        <f t="shared" si="2"/>
        <v>3</v>
      </c>
    </row>
    <row r="137">
      <c r="A137" s="115">
        <v>46054.0</v>
      </c>
      <c r="B137" s="18" t="str">
        <f t="shared" si="1"/>
        <v>Feb</v>
      </c>
      <c r="C137" s="104" t="s">
        <v>272</v>
      </c>
      <c r="D137" s="105">
        <v>3490.0</v>
      </c>
      <c r="E137" s="112">
        <v>46055.0</v>
      </c>
      <c r="F137" s="106">
        <v>46058.0</v>
      </c>
      <c r="G137" s="27">
        <f t="shared" si="2"/>
        <v>3</v>
      </c>
    </row>
    <row r="138">
      <c r="A138" s="115">
        <v>46054.0</v>
      </c>
      <c r="B138" s="18" t="str">
        <f t="shared" si="1"/>
        <v>Feb</v>
      </c>
      <c r="C138" s="104" t="s">
        <v>273</v>
      </c>
      <c r="D138" s="105">
        <v>3491.0</v>
      </c>
      <c r="E138" s="112">
        <v>46055.0</v>
      </c>
      <c r="F138" s="106">
        <v>46058.0</v>
      </c>
      <c r="G138" s="27">
        <f t="shared" si="2"/>
        <v>3</v>
      </c>
    </row>
    <row r="139">
      <c r="A139" s="115">
        <v>46054.0</v>
      </c>
      <c r="B139" s="18" t="str">
        <f t="shared" si="1"/>
        <v>Feb</v>
      </c>
      <c r="C139" s="104" t="s">
        <v>274</v>
      </c>
      <c r="D139" s="105">
        <v>3492.0</v>
      </c>
      <c r="E139" s="112">
        <v>46055.0</v>
      </c>
      <c r="F139" s="106">
        <v>46058.0</v>
      </c>
      <c r="G139" s="27">
        <f t="shared" si="2"/>
        <v>3</v>
      </c>
    </row>
    <row r="140">
      <c r="A140" s="115">
        <v>46054.0</v>
      </c>
      <c r="B140" s="18" t="str">
        <f t="shared" si="1"/>
        <v>Feb</v>
      </c>
      <c r="C140" s="104" t="s">
        <v>275</v>
      </c>
      <c r="D140" s="105">
        <v>3493.0</v>
      </c>
      <c r="E140" s="112">
        <v>46055.0</v>
      </c>
      <c r="F140" s="106">
        <v>46058.0</v>
      </c>
      <c r="G140" s="27">
        <f t="shared" si="2"/>
        <v>3</v>
      </c>
    </row>
    <row r="141">
      <c r="A141" s="115">
        <v>46054.0</v>
      </c>
      <c r="B141" s="18" t="str">
        <f t="shared" si="1"/>
        <v>Feb</v>
      </c>
      <c r="C141" s="104" t="s">
        <v>275</v>
      </c>
      <c r="D141" s="105">
        <v>3494.0</v>
      </c>
      <c r="E141" s="112">
        <v>46055.0</v>
      </c>
      <c r="F141" s="106">
        <v>46058.0</v>
      </c>
      <c r="G141" s="27">
        <f t="shared" si="2"/>
        <v>3</v>
      </c>
    </row>
    <row r="142">
      <c r="A142" s="115">
        <v>46054.0</v>
      </c>
      <c r="B142" s="18" t="str">
        <f t="shared" si="1"/>
        <v>Feb</v>
      </c>
      <c r="C142" s="104" t="s">
        <v>276</v>
      </c>
      <c r="D142" s="105">
        <v>3495.0</v>
      </c>
      <c r="E142" s="112">
        <v>46055.0</v>
      </c>
      <c r="F142" s="106">
        <v>46058.0</v>
      </c>
      <c r="G142" s="27">
        <f t="shared" si="2"/>
        <v>3</v>
      </c>
    </row>
    <row r="143">
      <c r="A143" s="115">
        <v>46054.0</v>
      </c>
      <c r="B143" s="18" t="str">
        <f t="shared" si="1"/>
        <v>Feb</v>
      </c>
      <c r="C143" s="104" t="s">
        <v>276</v>
      </c>
      <c r="D143" s="105">
        <v>3496.0</v>
      </c>
      <c r="E143" s="112">
        <v>46055.0</v>
      </c>
      <c r="F143" s="106">
        <v>46058.0</v>
      </c>
      <c r="G143" s="27">
        <f t="shared" si="2"/>
        <v>3</v>
      </c>
    </row>
    <row r="144">
      <c r="A144" s="115">
        <v>46054.0</v>
      </c>
      <c r="B144" s="18" t="str">
        <f t="shared" si="1"/>
        <v>Feb</v>
      </c>
      <c r="C144" s="104" t="s">
        <v>276</v>
      </c>
      <c r="D144" s="105">
        <v>3497.0</v>
      </c>
      <c r="E144" s="112">
        <v>46055.0</v>
      </c>
      <c r="F144" s="106">
        <v>46058.0</v>
      </c>
      <c r="G144" s="27">
        <f t="shared" si="2"/>
        <v>3</v>
      </c>
    </row>
    <row r="145">
      <c r="A145" s="115">
        <v>46054.0</v>
      </c>
      <c r="B145" s="18" t="str">
        <f t="shared" si="1"/>
        <v>Feb</v>
      </c>
      <c r="C145" s="104" t="s">
        <v>276</v>
      </c>
      <c r="D145" s="105">
        <v>3498.0</v>
      </c>
      <c r="E145" s="112">
        <v>46055.0</v>
      </c>
      <c r="F145" s="106">
        <v>46058.0</v>
      </c>
      <c r="G145" s="27">
        <f t="shared" si="2"/>
        <v>3</v>
      </c>
    </row>
    <row r="146">
      <c r="A146" s="115">
        <v>46054.0</v>
      </c>
      <c r="B146" s="18" t="str">
        <f t="shared" si="1"/>
        <v>Feb</v>
      </c>
      <c r="C146" s="104" t="s">
        <v>276</v>
      </c>
      <c r="D146" s="105">
        <v>3499.0</v>
      </c>
      <c r="E146" s="112">
        <v>46055.0</v>
      </c>
      <c r="F146" s="106">
        <v>46058.0</v>
      </c>
      <c r="G146" s="27">
        <f t="shared" si="2"/>
        <v>3</v>
      </c>
    </row>
    <row r="147">
      <c r="A147" s="115">
        <v>46054.0</v>
      </c>
      <c r="B147" s="18" t="str">
        <f t="shared" si="1"/>
        <v>Feb</v>
      </c>
      <c r="C147" s="104" t="s">
        <v>276</v>
      </c>
      <c r="D147" s="105">
        <v>3500.0</v>
      </c>
      <c r="E147" s="112">
        <v>46055.0</v>
      </c>
      <c r="F147" s="106">
        <v>46058.0</v>
      </c>
      <c r="G147" s="27">
        <f t="shared" si="2"/>
        <v>3</v>
      </c>
    </row>
    <row r="148">
      <c r="A148" s="115">
        <v>46054.0</v>
      </c>
      <c r="B148" s="18" t="str">
        <f t="shared" si="1"/>
        <v>Feb</v>
      </c>
      <c r="C148" s="104" t="s">
        <v>276</v>
      </c>
      <c r="D148" s="105">
        <v>3501.0</v>
      </c>
      <c r="E148" s="112">
        <v>46055.0</v>
      </c>
      <c r="F148" s="106">
        <v>46058.0</v>
      </c>
      <c r="G148" s="27">
        <f t="shared" si="2"/>
        <v>3</v>
      </c>
    </row>
    <row r="149">
      <c r="A149" s="115">
        <v>46054.0</v>
      </c>
      <c r="B149" s="18" t="str">
        <f t="shared" si="1"/>
        <v>Feb</v>
      </c>
      <c r="C149" s="104" t="s">
        <v>277</v>
      </c>
      <c r="D149" s="105">
        <v>3502.0</v>
      </c>
      <c r="E149" s="112">
        <v>46055.0</v>
      </c>
      <c r="F149" s="106">
        <v>46058.0</v>
      </c>
      <c r="G149" s="27">
        <f t="shared" si="2"/>
        <v>3</v>
      </c>
    </row>
    <row r="150">
      <c r="A150" s="115">
        <v>46054.0</v>
      </c>
      <c r="B150" s="18" t="str">
        <f t="shared" si="1"/>
        <v>Feb</v>
      </c>
      <c r="C150" s="104" t="s">
        <v>278</v>
      </c>
      <c r="D150" s="105">
        <v>3503.0</v>
      </c>
      <c r="E150" s="112">
        <v>46055.0</v>
      </c>
      <c r="F150" s="106">
        <v>46058.0</v>
      </c>
      <c r="G150" s="27">
        <f t="shared" si="2"/>
        <v>3</v>
      </c>
    </row>
    <row r="151">
      <c r="A151" s="115">
        <v>46054.0</v>
      </c>
      <c r="B151" s="18" t="str">
        <f t="shared" si="1"/>
        <v>Feb</v>
      </c>
      <c r="C151" s="104" t="s">
        <v>279</v>
      </c>
      <c r="D151" s="105">
        <v>3504.0</v>
      </c>
      <c r="E151" s="112">
        <v>46055.0</v>
      </c>
      <c r="F151" s="106">
        <v>46058.0</v>
      </c>
      <c r="G151" s="27">
        <f t="shared" si="2"/>
        <v>3</v>
      </c>
    </row>
    <row r="152">
      <c r="A152" s="115">
        <v>46054.0</v>
      </c>
      <c r="B152" s="18" t="str">
        <f t="shared" si="1"/>
        <v>Feb</v>
      </c>
      <c r="C152" s="104" t="s">
        <v>280</v>
      </c>
      <c r="D152" s="105">
        <v>3505.0</v>
      </c>
      <c r="E152" s="112">
        <v>46055.0</v>
      </c>
      <c r="F152" s="106">
        <v>46060.0</v>
      </c>
      <c r="G152" s="27">
        <f t="shared" si="2"/>
        <v>5</v>
      </c>
    </row>
    <row r="153">
      <c r="A153" s="115">
        <v>46054.0</v>
      </c>
      <c r="B153" s="18" t="str">
        <f t="shared" si="1"/>
        <v>Feb</v>
      </c>
      <c r="C153" s="104" t="s">
        <v>281</v>
      </c>
      <c r="D153" s="105">
        <v>3506.0</v>
      </c>
      <c r="E153" s="112">
        <v>46055.0</v>
      </c>
      <c r="F153" s="106">
        <v>46058.0</v>
      </c>
      <c r="G153" s="27">
        <f t="shared" si="2"/>
        <v>3</v>
      </c>
    </row>
    <row r="154">
      <c r="A154" s="115">
        <v>46055.0</v>
      </c>
      <c r="B154" s="18" t="str">
        <f t="shared" si="1"/>
        <v>Feb</v>
      </c>
      <c r="C154" s="104" t="s">
        <v>277</v>
      </c>
      <c r="D154" s="105">
        <v>3507.0</v>
      </c>
      <c r="E154" s="112">
        <v>46055.0</v>
      </c>
      <c r="F154" s="106">
        <v>46058.0</v>
      </c>
      <c r="G154" s="27">
        <f t="shared" si="2"/>
        <v>3</v>
      </c>
    </row>
    <row r="155">
      <c r="A155" s="115">
        <v>46055.0</v>
      </c>
      <c r="B155" s="18" t="str">
        <f t="shared" si="1"/>
        <v>Feb</v>
      </c>
      <c r="C155" s="104" t="s">
        <v>282</v>
      </c>
      <c r="D155" s="105">
        <v>3508.0</v>
      </c>
      <c r="E155" s="112">
        <v>46055.0</v>
      </c>
      <c r="F155" s="106">
        <v>46058.0</v>
      </c>
      <c r="G155" s="27">
        <f t="shared" si="2"/>
        <v>3</v>
      </c>
    </row>
    <row r="156">
      <c r="A156" s="115">
        <v>46055.0</v>
      </c>
      <c r="B156" s="18" t="str">
        <f t="shared" si="1"/>
        <v>Feb</v>
      </c>
      <c r="C156" s="104" t="s">
        <v>282</v>
      </c>
      <c r="D156" s="105">
        <v>3509.0</v>
      </c>
      <c r="E156" s="106">
        <v>46056.0</v>
      </c>
      <c r="F156" s="106">
        <v>46059.0</v>
      </c>
      <c r="G156" s="27">
        <f t="shared" si="2"/>
        <v>3</v>
      </c>
    </row>
    <row r="157">
      <c r="A157" s="115">
        <v>46055.0</v>
      </c>
      <c r="B157" s="18" t="str">
        <f t="shared" si="1"/>
        <v>Feb</v>
      </c>
      <c r="C157" s="104" t="s">
        <v>283</v>
      </c>
      <c r="D157" s="105">
        <v>3510.0</v>
      </c>
      <c r="E157" s="106">
        <v>46056.0</v>
      </c>
      <c r="F157" s="106">
        <v>46059.0</v>
      </c>
      <c r="G157" s="27">
        <f t="shared" si="2"/>
        <v>3</v>
      </c>
    </row>
    <row r="158">
      <c r="A158" s="115">
        <v>46056.0</v>
      </c>
      <c r="B158" s="18" t="str">
        <f t="shared" si="1"/>
        <v>Feb</v>
      </c>
      <c r="C158" s="104" t="s">
        <v>274</v>
      </c>
      <c r="D158" s="105">
        <v>3511.0</v>
      </c>
      <c r="E158" s="106">
        <v>46056.0</v>
      </c>
      <c r="F158" s="106">
        <v>46062.0</v>
      </c>
      <c r="G158" s="27">
        <f t="shared" si="2"/>
        <v>6</v>
      </c>
    </row>
    <row r="159">
      <c r="A159" s="115">
        <v>46056.0</v>
      </c>
      <c r="B159" s="18" t="str">
        <f t="shared" si="1"/>
        <v>Feb</v>
      </c>
      <c r="C159" s="104" t="s">
        <v>284</v>
      </c>
      <c r="D159" s="105">
        <v>3512.0</v>
      </c>
      <c r="E159" s="106">
        <v>46059.0</v>
      </c>
      <c r="F159" s="110">
        <v>46065.0</v>
      </c>
      <c r="G159" s="27">
        <f t="shared" si="2"/>
        <v>6</v>
      </c>
    </row>
    <row r="160">
      <c r="A160" s="115">
        <v>46057.0</v>
      </c>
      <c r="B160" s="18" t="str">
        <f t="shared" si="1"/>
        <v>Feb</v>
      </c>
      <c r="C160" s="104" t="s">
        <v>285</v>
      </c>
      <c r="D160" s="105">
        <v>3513.0</v>
      </c>
      <c r="E160" s="106">
        <v>46061.0</v>
      </c>
      <c r="F160" s="110">
        <v>46065.0</v>
      </c>
      <c r="G160" s="27">
        <f t="shared" si="2"/>
        <v>4</v>
      </c>
    </row>
    <row r="161">
      <c r="A161" s="115">
        <v>46057.0</v>
      </c>
      <c r="B161" s="18" t="str">
        <f t="shared" si="1"/>
        <v>Feb</v>
      </c>
      <c r="C161" s="104" t="s">
        <v>285</v>
      </c>
      <c r="D161" s="105">
        <v>3514.0</v>
      </c>
      <c r="E161" s="106">
        <v>46061.0</v>
      </c>
      <c r="F161" s="106">
        <v>46061.0</v>
      </c>
      <c r="G161" s="27">
        <f t="shared" si="2"/>
        <v>0</v>
      </c>
    </row>
    <row r="162">
      <c r="A162" s="115">
        <v>46057.0</v>
      </c>
      <c r="B162" s="18" t="str">
        <f t="shared" si="1"/>
        <v>Feb</v>
      </c>
      <c r="C162" s="104" t="s">
        <v>286</v>
      </c>
      <c r="D162" s="105">
        <v>3515.0</v>
      </c>
      <c r="E162" s="106">
        <v>46058.0</v>
      </c>
      <c r="F162" s="106">
        <v>46061.0</v>
      </c>
      <c r="G162" s="27">
        <f t="shared" si="2"/>
        <v>3</v>
      </c>
    </row>
    <row r="163">
      <c r="A163" s="115">
        <v>46057.0</v>
      </c>
      <c r="B163" s="18" t="str">
        <f t="shared" si="1"/>
        <v>Feb</v>
      </c>
      <c r="C163" s="104" t="s">
        <v>286</v>
      </c>
      <c r="D163" s="105">
        <v>3516.0</v>
      </c>
      <c r="E163" s="106">
        <v>46058.0</v>
      </c>
      <c r="F163" s="106">
        <v>46061.0</v>
      </c>
      <c r="G163" s="27">
        <f t="shared" si="2"/>
        <v>3</v>
      </c>
    </row>
    <row r="164">
      <c r="A164" s="115">
        <v>46057.0</v>
      </c>
      <c r="B164" s="18" t="str">
        <f t="shared" si="1"/>
        <v>Feb</v>
      </c>
      <c r="C164" s="104" t="s">
        <v>287</v>
      </c>
      <c r="D164" s="105">
        <v>3517.0</v>
      </c>
      <c r="E164" s="106">
        <v>46058.0</v>
      </c>
      <c r="F164" s="110">
        <v>46065.0</v>
      </c>
      <c r="G164" s="27">
        <f t="shared" si="2"/>
        <v>7</v>
      </c>
    </row>
    <row r="165">
      <c r="A165" s="115">
        <v>46057.0</v>
      </c>
      <c r="B165" s="18" t="str">
        <f t="shared" si="1"/>
        <v>Feb</v>
      </c>
      <c r="C165" s="104" t="s">
        <v>288</v>
      </c>
      <c r="D165" s="105">
        <v>3518.0</v>
      </c>
      <c r="E165" s="106">
        <v>46061.0</v>
      </c>
      <c r="F165" s="106">
        <v>46062.0</v>
      </c>
      <c r="G165" s="27">
        <f t="shared" si="2"/>
        <v>1</v>
      </c>
    </row>
    <row r="166">
      <c r="A166" s="115">
        <v>46058.0</v>
      </c>
      <c r="B166" s="18" t="str">
        <f t="shared" si="1"/>
        <v>Feb</v>
      </c>
      <c r="C166" s="104" t="s">
        <v>289</v>
      </c>
      <c r="D166" s="105">
        <v>3519.0</v>
      </c>
      <c r="E166" s="106">
        <v>46059.0</v>
      </c>
      <c r="F166" s="106">
        <v>46062.0</v>
      </c>
      <c r="G166" s="27">
        <f t="shared" si="2"/>
        <v>3</v>
      </c>
    </row>
    <row r="167">
      <c r="A167" s="115">
        <v>46058.0</v>
      </c>
      <c r="B167" s="18" t="str">
        <f t="shared" si="1"/>
        <v>Feb</v>
      </c>
      <c r="C167" s="104" t="s">
        <v>289</v>
      </c>
      <c r="D167" s="105">
        <v>3520.0</v>
      </c>
      <c r="E167" s="106">
        <v>46059.0</v>
      </c>
      <c r="F167" s="106">
        <v>46062.0</v>
      </c>
      <c r="G167" s="27">
        <f t="shared" si="2"/>
        <v>3</v>
      </c>
    </row>
    <row r="168">
      <c r="A168" s="115">
        <v>46058.0</v>
      </c>
      <c r="B168" s="18" t="str">
        <f t="shared" si="1"/>
        <v>Feb</v>
      </c>
      <c r="C168" s="104" t="s">
        <v>289</v>
      </c>
      <c r="D168" s="105">
        <v>3521.0</v>
      </c>
      <c r="E168" s="106">
        <v>46059.0</v>
      </c>
      <c r="F168" s="106">
        <v>46062.0</v>
      </c>
      <c r="G168" s="27">
        <f t="shared" si="2"/>
        <v>3</v>
      </c>
    </row>
    <row r="169">
      <c r="A169" s="115">
        <v>46058.0</v>
      </c>
      <c r="B169" s="18" t="str">
        <f t="shared" si="1"/>
        <v>Feb</v>
      </c>
      <c r="C169" s="104" t="s">
        <v>289</v>
      </c>
      <c r="D169" s="105">
        <v>3522.0</v>
      </c>
      <c r="E169" s="106">
        <v>46059.0</v>
      </c>
      <c r="F169" s="106">
        <v>46062.0</v>
      </c>
      <c r="G169" s="27">
        <f t="shared" si="2"/>
        <v>3</v>
      </c>
    </row>
    <row r="170">
      <c r="A170" s="115">
        <v>46059.0</v>
      </c>
      <c r="B170" s="18" t="str">
        <f t="shared" si="1"/>
        <v>Feb</v>
      </c>
      <c r="C170" s="104" t="s">
        <v>290</v>
      </c>
      <c r="D170" s="105">
        <v>3523.0</v>
      </c>
      <c r="E170" s="106">
        <v>46059.0</v>
      </c>
      <c r="F170" s="106">
        <v>46062.0</v>
      </c>
      <c r="G170" s="27">
        <f t="shared" si="2"/>
        <v>3</v>
      </c>
    </row>
    <row r="171">
      <c r="A171" s="115">
        <v>46059.0</v>
      </c>
      <c r="B171" s="18" t="str">
        <f t="shared" si="1"/>
        <v>Feb</v>
      </c>
      <c r="C171" s="104" t="s">
        <v>275</v>
      </c>
      <c r="D171" s="105">
        <v>3524.0</v>
      </c>
      <c r="E171" s="106">
        <v>46062.0</v>
      </c>
      <c r="F171" s="106">
        <v>46062.0</v>
      </c>
      <c r="G171" s="27">
        <f t="shared" si="2"/>
        <v>0</v>
      </c>
    </row>
    <row r="172">
      <c r="A172" s="115">
        <v>46059.0</v>
      </c>
      <c r="B172" s="18" t="str">
        <f t="shared" si="1"/>
        <v>Feb</v>
      </c>
      <c r="C172" s="104" t="s">
        <v>285</v>
      </c>
      <c r="D172" s="105">
        <v>3525.0</v>
      </c>
      <c r="E172" s="106">
        <v>46061.0</v>
      </c>
      <c r="F172" s="106">
        <v>46062.0</v>
      </c>
      <c r="G172" s="27">
        <f t="shared" si="2"/>
        <v>1</v>
      </c>
    </row>
    <row r="173">
      <c r="A173" s="115">
        <v>46059.0</v>
      </c>
      <c r="B173" s="18" t="str">
        <f t="shared" si="1"/>
        <v>Feb</v>
      </c>
      <c r="C173" s="104" t="s">
        <v>287</v>
      </c>
      <c r="D173" s="105">
        <v>3526.0</v>
      </c>
      <c r="E173" s="106">
        <v>46061.0</v>
      </c>
      <c r="F173" s="106">
        <v>46061.0</v>
      </c>
      <c r="G173" s="27">
        <f t="shared" si="2"/>
        <v>0</v>
      </c>
    </row>
    <row r="174">
      <c r="A174" s="115">
        <v>46059.0</v>
      </c>
      <c r="B174" s="18" t="str">
        <f t="shared" si="1"/>
        <v>Feb</v>
      </c>
      <c r="C174" s="104" t="s">
        <v>273</v>
      </c>
      <c r="D174" s="105">
        <v>3527.0</v>
      </c>
      <c r="E174" s="106">
        <v>46059.0</v>
      </c>
      <c r="F174" s="110">
        <v>46067.0</v>
      </c>
      <c r="G174" s="27">
        <f t="shared" si="2"/>
        <v>8</v>
      </c>
    </row>
    <row r="175">
      <c r="A175" s="115">
        <v>46060.0</v>
      </c>
      <c r="B175" s="18" t="str">
        <f t="shared" si="1"/>
        <v>Feb</v>
      </c>
      <c r="C175" s="104" t="s">
        <v>285</v>
      </c>
      <c r="D175" s="105">
        <v>3528.0</v>
      </c>
      <c r="E175" s="106">
        <v>46062.0</v>
      </c>
      <c r="F175" s="110">
        <v>46067.0</v>
      </c>
      <c r="G175" s="27">
        <f t="shared" si="2"/>
        <v>5</v>
      </c>
    </row>
    <row r="176">
      <c r="A176" s="115">
        <v>46060.0</v>
      </c>
      <c r="B176" s="18" t="str">
        <f t="shared" si="1"/>
        <v>Feb</v>
      </c>
      <c r="C176" s="104" t="s">
        <v>284</v>
      </c>
      <c r="D176" s="105">
        <v>3529.0</v>
      </c>
      <c r="E176" s="106">
        <v>46062.0</v>
      </c>
      <c r="F176" s="110">
        <v>46065.0</v>
      </c>
      <c r="G176" s="27">
        <f t="shared" si="2"/>
        <v>3</v>
      </c>
    </row>
    <row r="177">
      <c r="A177" s="115">
        <v>46060.0</v>
      </c>
      <c r="B177" s="18" t="str">
        <f t="shared" si="1"/>
        <v>Feb</v>
      </c>
      <c r="C177" s="104" t="s">
        <v>276</v>
      </c>
      <c r="D177" s="105">
        <v>3530.0</v>
      </c>
      <c r="E177" s="106">
        <v>46062.0</v>
      </c>
      <c r="F177" s="110">
        <v>46065.0</v>
      </c>
      <c r="G177" s="27">
        <f t="shared" si="2"/>
        <v>3</v>
      </c>
    </row>
    <row r="178">
      <c r="A178" s="115">
        <v>46060.0</v>
      </c>
      <c r="B178" s="18" t="str">
        <f t="shared" si="1"/>
        <v>Feb</v>
      </c>
      <c r="C178" s="104" t="s">
        <v>272</v>
      </c>
      <c r="D178" s="105">
        <v>3531.0</v>
      </c>
      <c r="E178" s="106">
        <v>46062.0</v>
      </c>
      <c r="F178" s="110">
        <v>46067.0</v>
      </c>
      <c r="G178" s="27">
        <f t="shared" si="2"/>
        <v>5</v>
      </c>
    </row>
    <row r="179">
      <c r="A179" s="115">
        <v>46060.0</v>
      </c>
      <c r="B179" s="18" t="str">
        <f t="shared" si="1"/>
        <v>Feb</v>
      </c>
      <c r="C179" s="104" t="s">
        <v>273</v>
      </c>
      <c r="D179" s="105">
        <v>3532.0</v>
      </c>
      <c r="E179" s="106">
        <v>46062.0</v>
      </c>
      <c r="F179" s="110">
        <v>46067.0</v>
      </c>
      <c r="G179" s="27">
        <f t="shared" si="2"/>
        <v>5</v>
      </c>
    </row>
    <row r="180">
      <c r="A180" s="115">
        <v>46060.0</v>
      </c>
      <c r="B180" s="18" t="str">
        <f t="shared" si="1"/>
        <v>Feb</v>
      </c>
      <c r="C180" s="104" t="s">
        <v>273</v>
      </c>
      <c r="D180" s="105">
        <v>3533.0</v>
      </c>
      <c r="E180" s="106">
        <v>46062.0</v>
      </c>
      <c r="F180" s="110">
        <v>46065.0</v>
      </c>
      <c r="G180" s="27">
        <f t="shared" si="2"/>
        <v>3</v>
      </c>
    </row>
    <row r="181">
      <c r="A181" s="115">
        <v>46061.0</v>
      </c>
      <c r="B181" s="18" t="str">
        <f t="shared" si="1"/>
        <v>Feb</v>
      </c>
      <c r="C181" s="104" t="s">
        <v>291</v>
      </c>
      <c r="D181" s="105">
        <v>3534.0</v>
      </c>
      <c r="E181" s="106">
        <v>46062.0</v>
      </c>
      <c r="F181" s="110">
        <v>46065.0</v>
      </c>
      <c r="G181" s="27">
        <f t="shared" si="2"/>
        <v>3</v>
      </c>
    </row>
    <row r="182">
      <c r="A182" s="115">
        <v>46061.0</v>
      </c>
      <c r="B182" s="18" t="str">
        <f t="shared" si="1"/>
        <v>Feb</v>
      </c>
      <c r="C182" s="104" t="s">
        <v>291</v>
      </c>
      <c r="D182" s="105">
        <v>3535.0</v>
      </c>
      <c r="E182" s="106">
        <v>46062.0</v>
      </c>
      <c r="F182" s="110">
        <v>46065.0</v>
      </c>
      <c r="G182" s="27">
        <f t="shared" si="2"/>
        <v>3</v>
      </c>
    </row>
    <row r="183">
      <c r="A183" s="115">
        <v>46061.0</v>
      </c>
      <c r="B183" s="18" t="str">
        <f t="shared" si="1"/>
        <v>Feb</v>
      </c>
      <c r="C183" s="104" t="s">
        <v>291</v>
      </c>
      <c r="D183" s="105">
        <v>3536.0</v>
      </c>
      <c r="E183" s="106">
        <v>46062.0</v>
      </c>
      <c r="F183" s="110">
        <v>46065.0</v>
      </c>
      <c r="G183" s="27">
        <f t="shared" si="2"/>
        <v>3</v>
      </c>
    </row>
    <row r="184">
      <c r="A184" s="115">
        <v>46061.0</v>
      </c>
      <c r="B184" s="18" t="str">
        <f t="shared" si="1"/>
        <v>Feb</v>
      </c>
      <c r="C184" s="104" t="s">
        <v>287</v>
      </c>
      <c r="D184" s="105">
        <v>3537.0</v>
      </c>
      <c r="E184" s="106">
        <v>46062.0</v>
      </c>
      <c r="F184" s="110">
        <v>46065.0</v>
      </c>
      <c r="G184" s="27">
        <f t="shared" si="2"/>
        <v>3</v>
      </c>
    </row>
    <row r="185">
      <c r="A185" s="115">
        <v>46061.0</v>
      </c>
      <c r="B185" s="18" t="str">
        <f t="shared" si="1"/>
        <v>Feb</v>
      </c>
      <c r="C185" s="104" t="s">
        <v>271</v>
      </c>
      <c r="D185" s="105">
        <v>3538.0</v>
      </c>
      <c r="E185" s="106">
        <v>46062.0</v>
      </c>
      <c r="F185" s="110">
        <v>46065.0</v>
      </c>
      <c r="G185" s="27">
        <f t="shared" si="2"/>
        <v>3</v>
      </c>
    </row>
    <row r="186">
      <c r="A186" s="115">
        <v>46061.0</v>
      </c>
      <c r="B186" s="18" t="str">
        <f t="shared" si="1"/>
        <v>Feb</v>
      </c>
      <c r="C186" s="104" t="s">
        <v>292</v>
      </c>
      <c r="D186" s="105">
        <v>3539.0</v>
      </c>
      <c r="E186" s="106">
        <v>46062.0</v>
      </c>
      <c r="F186" s="110">
        <v>46065.0</v>
      </c>
      <c r="G186" s="27">
        <f t="shared" si="2"/>
        <v>3</v>
      </c>
    </row>
    <row r="187">
      <c r="A187" s="115">
        <v>46061.0</v>
      </c>
      <c r="B187" s="18" t="str">
        <f t="shared" si="1"/>
        <v>Feb</v>
      </c>
      <c r="C187" s="104" t="s">
        <v>293</v>
      </c>
      <c r="D187" s="105">
        <v>3540.0</v>
      </c>
      <c r="E187" s="106">
        <v>46062.0</v>
      </c>
      <c r="F187" s="110">
        <v>46065.0</v>
      </c>
      <c r="G187" s="27">
        <f t="shared" si="2"/>
        <v>3</v>
      </c>
    </row>
    <row r="188">
      <c r="A188" s="115">
        <v>46061.0</v>
      </c>
      <c r="B188" s="18" t="str">
        <f t="shared" si="1"/>
        <v>Feb</v>
      </c>
      <c r="C188" s="104" t="s">
        <v>284</v>
      </c>
      <c r="D188" s="105">
        <v>3541.0</v>
      </c>
      <c r="E188" s="106">
        <v>46062.0</v>
      </c>
      <c r="F188" s="110">
        <v>46065.0</v>
      </c>
      <c r="G188" s="27">
        <f t="shared" si="2"/>
        <v>3</v>
      </c>
    </row>
    <row r="189">
      <c r="A189" s="115">
        <v>46061.0</v>
      </c>
      <c r="B189" s="18" t="str">
        <f t="shared" si="1"/>
        <v>Feb</v>
      </c>
      <c r="C189" s="104" t="s">
        <v>272</v>
      </c>
      <c r="D189" s="105">
        <v>3542.0</v>
      </c>
      <c r="E189" s="106">
        <v>46061.0</v>
      </c>
      <c r="F189" s="106">
        <v>46062.0</v>
      </c>
      <c r="G189" s="27">
        <f t="shared" si="2"/>
        <v>1</v>
      </c>
    </row>
    <row r="190">
      <c r="A190" s="115">
        <v>46061.0</v>
      </c>
      <c r="B190" s="18" t="str">
        <f t="shared" si="1"/>
        <v>Feb</v>
      </c>
      <c r="C190" s="104" t="s">
        <v>284</v>
      </c>
      <c r="D190" s="105">
        <v>3543.0</v>
      </c>
      <c r="E190" s="106">
        <v>46062.0</v>
      </c>
      <c r="F190" s="110">
        <v>46065.0</v>
      </c>
      <c r="G190" s="27">
        <f t="shared" si="2"/>
        <v>3</v>
      </c>
    </row>
    <row r="191">
      <c r="A191" s="115">
        <v>46061.0</v>
      </c>
      <c r="B191" s="18" t="str">
        <f t="shared" si="1"/>
        <v>Feb</v>
      </c>
      <c r="C191" s="104" t="s">
        <v>276</v>
      </c>
      <c r="D191" s="105">
        <v>3544.0</v>
      </c>
      <c r="E191" s="106">
        <v>46062.0</v>
      </c>
      <c r="F191" s="110">
        <v>46065.0</v>
      </c>
      <c r="G191" s="27">
        <f t="shared" si="2"/>
        <v>3</v>
      </c>
    </row>
    <row r="192">
      <c r="A192" s="115">
        <v>46062.0</v>
      </c>
      <c r="B192" s="18" t="str">
        <f t="shared" si="1"/>
        <v>Feb</v>
      </c>
      <c r="C192" s="104" t="s">
        <v>282</v>
      </c>
      <c r="D192" s="105">
        <v>3545.0</v>
      </c>
      <c r="E192" s="106">
        <v>46062.0</v>
      </c>
      <c r="F192" s="110">
        <v>46065.0</v>
      </c>
      <c r="G192" s="27">
        <f t="shared" si="2"/>
        <v>3</v>
      </c>
    </row>
    <row r="193">
      <c r="A193" s="115">
        <v>46062.0</v>
      </c>
      <c r="B193" s="18" t="str">
        <f t="shared" si="1"/>
        <v>Feb</v>
      </c>
      <c r="C193" s="104" t="s">
        <v>288</v>
      </c>
      <c r="D193" s="105">
        <v>3546.0</v>
      </c>
      <c r="E193" s="106">
        <v>46062.0</v>
      </c>
      <c r="F193" s="110">
        <v>46065.0</v>
      </c>
      <c r="G193" s="27">
        <f t="shared" si="2"/>
        <v>3</v>
      </c>
    </row>
    <row r="194">
      <c r="A194" s="115">
        <v>46062.0</v>
      </c>
      <c r="B194" s="18" t="str">
        <f t="shared" si="1"/>
        <v>Feb</v>
      </c>
      <c r="C194" s="104" t="s">
        <v>272</v>
      </c>
      <c r="D194" s="105">
        <v>3547.0</v>
      </c>
      <c r="E194" s="106">
        <v>46062.0</v>
      </c>
      <c r="F194" s="110">
        <v>46065.0</v>
      </c>
      <c r="G194" s="27">
        <f t="shared" si="2"/>
        <v>3</v>
      </c>
    </row>
    <row r="195">
      <c r="A195" s="115">
        <v>46063.0</v>
      </c>
      <c r="B195" s="18" t="str">
        <f t="shared" si="1"/>
        <v>Feb</v>
      </c>
      <c r="C195" s="104" t="s">
        <v>286</v>
      </c>
      <c r="D195" s="105">
        <v>3548.0</v>
      </c>
      <c r="E195" s="106">
        <v>46064.0</v>
      </c>
      <c r="F195" s="110">
        <v>46065.0</v>
      </c>
      <c r="G195" s="27">
        <f t="shared" si="2"/>
        <v>1</v>
      </c>
    </row>
    <row r="196">
      <c r="A196" s="115">
        <v>46063.0</v>
      </c>
      <c r="B196" s="18" t="str">
        <f t="shared" si="1"/>
        <v>Feb</v>
      </c>
      <c r="C196" s="104" t="s">
        <v>286</v>
      </c>
      <c r="D196" s="105">
        <v>3549.0</v>
      </c>
      <c r="E196" s="106">
        <v>46064.0</v>
      </c>
      <c r="F196" s="110">
        <v>46065.0</v>
      </c>
      <c r="G196" s="27">
        <f t="shared" si="2"/>
        <v>1</v>
      </c>
    </row>
    <row r="197">
      <c r="A197" s="115">
        <v>46063.0</v>
      </c>
      <c r="B197" s="18" t="str">
        <f t="shared" si="1"/>
        <v>Feb</v>
      </c>
      <c r="C197" s="104" t="s">
        <v>275</v>
      </c>
      <c r="D197" s="105">
        <v>3550.0</v>
      </c>
      <c r="E197" s="106">
        <v>46066.0</v>
      </c>
      <c r="F197" s="110">
        <v>46068.0</v>
      </c>
      <c r="G197" s="27">
        <f t="shared" si="2"/>
        <v>2</v>
      </c>
    </row>
    <row r="198">
      <c r="A198" s="115">
        <v>46063.0</v>
      </c>
      <c r="B198" s="18" t="str">
        <f t="shared" si="1"/>
        <v>Feb</v>
      </c>
      <c r="C198" s="104" t="s">
        <v>286</v>
      </c>
      <c r="D198" s="105">
        <v>3551.0</v>
      </c>
      <c r="E198" s="106">
        <v>46064.0</v>
      </c>
      <c r="F198" s="110">
        <v>46065.0</v>
      </c>
      <c r="G198" s="27">
        <f t="shared" si="2"/>
        <v>1</v>
      </c>
    </row>
    <row r="199">
      <c r="A199" s="115">
        <v>46063.0</v>
      </c>
      <c r="B199" s="18" t="str">
        <f t="shared" si="1"/>
        <v>Feb</v>
      </c>
      <c r="C199" s="104" t="s">
        <v>286</v>
      </c>
      <c r="D199" s="105">
        <v>3552.0</v>
      </c>
      <c r="E199" s="106">
        <v>46064.0</v>
      </c>
      <c r="F199" s="110">
        <v>46065.0</v>
      </c>
      <c r="G199" s="27">
        <f t="shared" si="2"/>
        <v>1</v>
      </c>
    </row>
    <row r="200">
      <c r="A200" s="115">
        <v>46063.0</v>
      </c>
      <c r="B200" s="18" t="str">
        <f t="shared" si="1"/>
        <v>Feb</v>
      </c>
      <c r="C200" s="104" t="s">
        <v>286</v>
      </c>
      <c r="D200" s="105">
        <v>3553.0</v>
      </c>
      <c r="E200" s="106">
        <v>46064.0</v>
      </c>
      <c r="F200" s="106">
        <v>46069.0</v>
      </c>
      <c r="G200" s="27">
        <f t="shared" si="2"/>
        <v>5</v>
      </c>
    </row>
    <row r="201">
      <c r="A201" s="103">
        <v>46064.0</v>
      </c>
      <c r="B201" s="18" t="str">
        <f t="shared" si="1"/>
        <v>Feb</v>
      </c>
      <c r="C201" s="104" t="s">
        <v>294</v>
      </c>
      <c r="D201" s="105">
        <v>3554.0</v>
      </c>
      <c r="E201" s="110">
        <v>46065.0</v>
      </c>
      <c r="F201" s="106">
        <v>46069.0</v>
      </c>
      <c r="G201" s="27">
        <f t="shared" si="2"/>
        <v>4</v>
      </c>
    </row>
    <row r="202">
      <c r="A202" s="103">
        <v>46064.0</v>
      </c>
      <c r="B202" s="18" t="str">
        <f t="shared" si="1"/>
        <v>Feb</v>
      </c>
      <c r="C202" s="104" t="s">
        <v>294</v>
      </c>
      <c r="D202" s="105">
        <v>3555.0</v>
      </c>
      <c r="E202" s="110">
        <v>46065.0</v>
      </c>
      <c r="F202" s="106">
        <v>46069.0</v>
      </c>
      <c r="G202" s="27">
        <f t="shared" si="2"/>
        <v>4</v>
      </c>
    </row>
    <row r="203">
      <c r="A203" s="103">
        <v>46064.0</v>
      </c>
      <c r="B203" s="18" t="str">
        <f t="shared" si="1"/>
        <v>Feb</v>
      </c>
      <c r="C203" s="104" t="s">
        <v>294</v>
      </c>
      <c r="D203" s="105">
        <v>3556.0</v>
      </c>
      <c r="E203" s="110">
        <v>46065.0</v>
      </c>
      <c r="F203" s="106">
        <v>46069.0</v>
      </c>
      <c r="G203" s="27">
        <f t="shared" si="2"/>
        <v>4</v>
      </c>
    </row>
    <row r="204">
      <c r="A204" s="103">
        <v>46064.0</v>
      </c>
      <c r="B204" s="18" t="str">
        <f t="shared" si="1"/>
        <v>Feb</v>
      </c>
      <c r="C204" s="104" t="s">
        <v>288</v>
      </c>
      <c r="D204" s="105">
        <v>3557.0</v>
      </c>
      <c r="E204" s="110">
        <v>46065.0</v>
      </c>
      <c r="F204" s="106">
        <v>46069.0</v>
      </c>
      <c r="G204" s="27">
        <f t="shared" si="2"/>
        <v>4</v>
      </c>
    </row>
    <row r="205">
      <c r="A205" s="103">
        <v>46064.0</v>
      </c>
      <c r="B205" s="18" t="str">
        <f t="shared" si="1"/>
        <v>Feb</v>
      </c>
      <c r="C205" s="104" t="s">
        <v>272</v>
      </c>
      <c r="D205" s="105">
        <v>3558.0</v>
      </c>
      <c r="E205" s="106">
        <v>46064.0</v>
      </c>
      <c r="F205" s="106">
        <v>46069.0</v>
      </c>
      <c r="G205" s="27">
        <f t="shared" si="2"/>
        <v>5</v>
      </c>
    </row>
    <row r="206">
      <c r="A206" s="103">
        <v>46064.0</v>
      </c>
      <c r="B206" s="18" t="str">
        <f t="shared" si="1"/>
        <v>Feb</v>
      </c>
      <c r="C206" s="104" t="s">
        <v>295</v>
      </c>
      <c r="D206" s="105">
        <v>3559.0</v>
      </c>
      <c r="E206" s="110">
        <v>46065.0</v>
      </c>
      <c r="F206" s="106">
        <v>46069.0</v>
      </c>
      <c r="G206" s="27">
        <f t="shared" si="2"/>
        <v>4</v>
      </c>
    </row>
    <row r="207">
      <c r="A207" s="103">
        <v>46064.0</v>
      </c>
      <c r="B207" s="18" t="str">
        <f t="shared" si="1"/>
        <v>Feb</v>
      </c>
      <c r="C207" s="104" t="s">
        <v>292</v>
      </c>
      <c r="D207" s="105">
        <v>3560.0</v>
      </c>
      <c r="E207" s="110">
        <v>46065.0</v>
      </c>
      <c r="F207" s="106">
        <v>46069.0</v>
      </c>
      <c r="G207" s="27">
        <f t="shared" si="2"/>
        <v>4</v>
      </c>
    </row>
    <row r="208">
      <c r="A208" s="103">
        <v>46065.0</v>
      </c>
      <c r="B208" s="18" t="str">
        <f t="shared" si="1"/>
        <v>Feb</v>
      </c>
      <c r="C208" s="104" t="s">
        <v>288</v>
      </c>
      <c r="D208" s="105">
        <v>3561.0</v>
      </c>
      <c r="E208" s="110">
        <v>46065.0</v>
      </c>
      <c r="F208" s="106">
        <v>46070.0</v>
      </c>
      <c r="G208" s="27">
        <f t="shared" si="2"/>
        <v>5</v>
      </c>
    </row>
    <row r="209">
      <c r="A209" s="103">
        <v>46065.0</v>
      </c>
      <c r="B209" s="18" t="str">
        <f t="shared" si="1"/>
        <v>Feb</v>
      </c>
      <c r="C209" s="104" t="s">
        <v>284</v>
      </c>
      <c r="D209" s="105">
        <v>3562.0</v>
      </c>
      <c r="E209" s="106">
        <v>46066.0</v>
      </c>
      <c r="F209" s="106">
        <v>46069.0</v>
      </c>
      <c r="G209" s="27">
        <f t="shared" si="2"/>
        <v>3</v>
      </c>
    </row>
    <row r="210">
      <c r="A210" s="103">
        <v>46065.0</v>
      </c>
      <c r="B210" s="18" t="str">
        <f t="shared" si="1"/>
        <v>Feb</v>
      </c>
      <c r="C210" s="104" t="s">
        <v>288</v>
      </c>
      <c r="D210" s="105">
        <v>3563.0</v>
      </c>
      <c r="E210" s="110">
        <v>46065.0</v>
      </c>
      <c r="F210" s="106">
        <v>46073.0</v>
      </c>
      <c r="G210" s="27">
        <f t="shared" si="2"/>
        <v>8</v>
      </c>
    </row>
    <row r="211">
      <c r="A211" s="103">
        <v>46065.0</v>
      </c>
      <c r="B211" s="18" t="str">
        <f t="shared" si="1"/>
        <v>Feb</v>
      </c>
      <c r="C211" s="104" t="s">
        <v>279</v>
      </c>
      <c r="D211" s="105">
        <v>3564.0</v>
      </c>
      <c r="E211" s="106">
        <v>46069.0</v>
      </c>
      <c r="F211" s="106">
        <v>46073.0</v>
      </c>
      <c r="G211" s="27">
        <f t="shared" si="2"/>
        <v>4</v>
      </c>
    </row>
    <row r="212">
      <c r="A212" s="103">
        <v>46066.0</v>
      </c>
      <c r="B212" s="18" t="str">
        <f t="shared" si="1"/>
        <v>Feb</v>
      </c>
      <c r="C212" s="104" t="s">
        <v>296</v>
      </c>
      <c r="D212" s="105">
        <v>3565.0</v>
      </c>
      <c r="E212" s="106">
        <v>46069.0</v>
      </c>
      <c r="F212" s="106">
        <v>46073.0</v>
      </c>
      <c r="G212" s="27">
        <f t="shared" si="2"/>
        <v>4</v>
      </c>
    </row>
    <row r="213">
      <c r="A213" s="103">
        <v>46067.0</v>
      </c>
      <c r="B213" s="18" t="str">
        <f t="shared" si="1"/>
        <v>Feb</v>
      </c>
      <c r="C213" s="104" t="s">
        <v>276</v>
      </c>
      <c r="D213" s="105">
        <v>3566.0</v>
      </c>
      <c r="E213" s="106">
        <v>46069.0</v>
      </c>
      <c r="F213" s="106">
        <v>46073.0</v>
      </c>
      <c r="G213" s="27">
        <f t="shared" si="2"/>
        <v>4</v>
      </c>
    </row>
    <row r="214">
      <c r="A214" s="103">
        <v>46067.0</v>
      </c>
      <c r="B214" s="18" t="str">
        <f t="shared" si="1"/>
        <v>Feb</v>
      </c>
      <c r="C214" s="104" t="s">
        <v>285</v>
      </c>
      <c r="D214" s="105">
        <v>3567.0</v>
      </c>
      <c r="E214" s="106">
        <v>46069.0</v>
      </c>
      <c r="F214" s="106">
        <v>46073.0</v>
      </c>
      <c r="G214" s="27">
        <f t="shared" si="2"/>
        <v>4</v>
      </c>
    </row>
    <row r="215">
      <c r="A215" s="103">
        <v>46067.0</v>
      </c>
      <c r="B215" s="18" t="str">
        <f t="shared" si="1"/>
        <v>Feb</v>
      </c>
      <c r="C215" s="104" t="s">
        <v>282</v>
      </c>
      <c r="D215" s="105">
        <v>3568.0</v>
      </c>
      <c r="E215" s="106">
        <v>46069.0</v>
      </c>
      <c r="F215" s="106">
        <v>46073.0</v>
      </c>
      <c r="G215" s="27">
        <f t="shared" si="2"/>
        <v>4</v>
      </c>
    </row>
    <row r="216">
      <c r="A216" s="103">
        <v>46067.0</v>
      </c>
      <c r="B216" s="18" t="str">
        <f t="shared" si="1"/>
        <v>Feb</v>
      </c>
      <c r="C216" s="104" t="s">
        <v>276</v>
      </c>
      <c r="D216" s="105">
        <v>3569.0</v>
      </c>
      <c r="E216" s="106">
        <v>46069.0</v>
      </c>
      <c r="F216" s="106">
        <v>46072.0</v>
      </c>
      <c r="G216" s="27">
        <f t="shared" si="2"/>
        <v>3</v>
      </c>
    </row>
    <row r="217">
      <c r="A217" s="103">
        <v>46067.0</v>
      </c>
      <c r="B217" s="18" t="str">
        <f t="shared" si="1"/>
        <v>Feb</v>
      </c>
      <c r="C217" s="104" t="s">
        <v>290</v>
      </c>
      <c r="D217" s="105">
        <v>3570.0</v>
      </c>
      <c r="E217" s="106">
        <v>46069.0</v>
      </c>
      <c r="F217" s="106">
        <v>46072.0</v>
      </c>
      <c r="G217" s="27">
        <f t="shared" si="2"/>
        <v>3</v>
      </c>
    </row>
    <row r="218">
      <c r="A218" s="103">
        <v>46067.0</v>
      </c>
      <c r="B218" s="18" t="str">
        <f t="shared" si="1"/>
        <v>Feb</v>
      </c>
      <c r="C218" s="104" t="s">
        <v>290</v>
      </c>
      <c r="D218" s="105">
        <v>3571.0</v>
      </c>
      <c r="E218" s="106">
        <v>46069.0</v>
      </c>
      <c r="F218" s="106">
        <v>46073.0</v>
      </c>
      <c r="G218" s="27">
        <f t="shared" si="2"/>
        <v>4</v>
      </c>
    </row>
    <row r="219">
      <c r="A219" s="103">
        <v>46068.0</v>
      </c>
      <c r="B219" s="18" t="str">
        <f t="shared" si="1"/>
        <v>Feb</v>
      </c>
      <c r="C219" s="104" t="s">
        <v>280</v>
      </c>
      <c r="D219" s="105">
        <v>3572.0</v>
      </c>
      <c r="E219" s="106">
        <v>46069.0</v>
      </c>
      <c r="F219" s="106">
        <v>46073.0</v>
      </c>
      <c r="G219" s="27">
        <f t="shared" si="2"/>
        <v>4</v>
      </c>
    </row>
    <row r="220">
      <c r="A220" s="103">
        <v>46068.0</v>
      </c>
      <c r="B220" s="18" t="str">
        <f t="shared" si="1"/>
        <v>Feb</v>
      </c>
      <c r="C220" s="104" t="s">
        <v>279</v>
      </c>
      <c r="D220" s="105">
        <v>3573.0</v>
      </c>
      <c r="E220" s="106">
        <v>46069.0</v>
      </c>
      <c r="F220" s="106">
        <v>46073.0</v>
      </c>
      <c r="G220" s="27">
        <f t="shared" si="2"/>
        <v>4</v>
      </c>
    </row>
    <row r="221">
      <c r="A221" s="103">
        <v>46069.0</v>
      </c>
      <c r="B221" s="18" t="str">
        <f t="shared" si="1"/>
        <v>Feb</v>
      </c>
      <c r="C221" s="104" t="s">
        <v>285</v>
      </c>
      <c r="D221" s="105">
        <v>3574.0</v>
      </c>
      <c r="E221" s="106">
        <v>46069.0</v>
      </c>
      <c r="F221" s="106">
        <v>46076.0</v>
      </c>
      <c r="G221" s="27">
        <f t="shared" si="2"/>
        <v>7</v>
      </c>
    </row>
    <row r="222">
      <c r="A222" s="103">
        <v>46069.0</v>
      </c>
      <c r="B222" s="18" t="str">
        <f t="shared" si="1"/>
        <v>Feb</v>
      </c>
      <c r="C222" s="104" t="s">
        <v>285</v>
      </c>
      <c r="D222" s="105">
        <v>3575.0</v>
      </c>
      <c r="E222" s="106">
        <v>46071.0</v>
      </c>
      <c r="F222" s="106">
        <v>46076.0</v>
      </c>
      <c r="G222" s="27">
        <f t="shared" si="2"/>
        <v>5</v>
      </c>
    </row>
    <row r="223">
      <c r="A223" s="103">
        <v>46069.0</v>
      </c>
      <c r="B223" s="18" t="str">
        <f t="shared" si="1"/>
        <v>Feb</v>
      </c>
      <c r="C223" s="104" t="s">
        <v>285</v>
      </c>
      <c r="D223" s="105">
        <v>3576.0</v>
      </c>
      <c r="E223" s="106">
        <v>46071.0</v>
      </c>
      <c r="F223" s="106">
        <v>46073.0</v>
      </c>
      <c r="G223" s="27">
        <f t="shared" si="2"/>
        <v>2</v>
      </c>
    </row>
    <row r="224">
      <c r="A224" s="103">
        <v>46069.0</v>
      </c>
      <c r="B224" s="18" t="str">
        <f t="shared" si="1"/>
        <v>Feb</v>
      </c>
      <c r="C224" s="104" t="s">
        <v>278</v>
      </c>
      <c r="D224" s="105">
        <v>3577.0</v>
      </c>
      <c r="E224" s="106">
        <v>46071.0</v>
      </c>
      <c r="F224" s="106">
        <v>46073.0</v>
      </c>
      <c r="G224" s="27">
        <f t="shared" si="2"/>
        <v>2</v>
      </c>
    </row>
    <row r="225">
      <c r="A225" s="103">
        <v>46069.0</v>
      </c>
      <c r="B225" s="18" t="str">
        <f t="shared" si="1"/>
        <v>Feb</v>
      </c>
      <c r="C225" s="104" t="s">
        <v>297</v>
      </c>
      <c r="D225" s="105">
        <v>3578.0</v>
      </c>
      <c r="E225" s="106">
        <v>46071.0</v>
      </c>
      <c r="F225" s="106">
        <v>46078.0</v>
      </c>
      <c r="G225" s="27">
        <f t="shared" si="2"/>
        <v>7</v>
      </c>
    </row>
    <row r="226">
      <c r="A226" s="103">
        <v>46070.0</v>
      </c>
      <c r="B226" s="18" t="str">
        <f t="shared" si="1"/>
        <v>Feb</v>
      </c>
      <c r="C226" s="104" t="s">
        <v>280</v>
      </c>
      <c r="D226" s="105">
        <v>3579.0</v>
      </c>
      <c r="E226" s="106">
        <v>46071.0</v>
      </c>
      <c r="F226" s="106">
        <v>46078.0</v>
      </c>
      <c r="G226" s="27">
        <f t="shared" si="2"/>
        <v>7</v>
      </c>
    </row>
    <row r="227">
      <c r="A227" s="103">
        <v>46070.0</v>
      </c>
      <c r="B227" s="18" t="str">
        <f t="shared" si="1"/>
        <v>Feb</v>
      </c>
      <c r="C227" s="104" t="s">
        <v>286</v>
      </c>
      <c r="D227" s="105">
        <v>3580.0</v>
      </c>
      <c r="E227" s="106">
        <v>46071.0</v>
      </c>
      <c r="F227" s="106">
        <v>46078.0</v>
      </c>
      <c r="G227" s="27">
        <f t="shared" si="2"/>
        <v>7</v>
      </c>
    </row>
    <row r="228">
      <c r="A228" s="103">
        <v>46070.0</v>
      </c>
      <c r="B228" s="18" t="str">
        <f t="shared" si="1"/>
        <v>Feb</v>
      </c>
      <c r="C228" s="104" t="s">
        <v>286</v>
      </c>
      <c r="D228" s="105">
        <v>3581.0</v>
      </c>
      <c r="E228" s="106">
        <v>46071.0</v>
      </c>
      <c r="F228" s="106">
        <v>46078.0</v>
      </c>
      <c r="G228" s="27">
        <f t="shared" si="2"/>
        <v>7</v>
      </c>
    </row>
    <row r="229">
      <c r="A229" s="103">
        <v>46070.0</v>
      </c>
      <c r="B229" s="18" t="str">
        <f t="shared" si="1"/>
        <v>Feb</v>
      </c>
      <c r="C229" s="104" t="s">
        <v>298</v>
      </c>
      <c r="D229" s="105">
        <v>3582.0</v>
      </c>
      <c r="E229" s="106">
        <v>46071.0</v>
      </c>
      <c r="F229" s="106">
        <v>46078.0</v>
      </c>
      <c r="G229" s="27">
        <f t="shared" si="2"/>
        <v>7</v>
      </c>
    </row>
    <row r="230">
      <c r="A230" s="103">
        <v>46070.0</v>
      </c>
      <c r="B230" s="18" t="str">
        <f t="shared" si="1"/>
        <v>Feb</v>
      </c>
      <c r="C230" s="104" t="s">
        <v>298</v>
      </c>
      <c r="D230" s="105">
        <v>3583.0</v>
      </c>
      <c r="E230" s="106">
        <v>46071.0</v>
      </c>
      <c r="F230" s="106">
        <v>46078.0</v>
      </c>
      <c r="G230" s="27">
        <f t="shared" si="2"/>
        <v>7</v>
      </c>
    </row>
    <row r="231">
      <c r="A231" s="103">
        <v>46070.0</v>
      </c>
      <c r="B231" s="18" t="str">
        <f t="shared" si="1"/>
        <v>Feb</v>
      </c>
      <c r="C231" s="104" t="s">
        <v>298</v>
      </c>
      <c r="D231" s="105">
        <v>3584.0</v>
      </c>
      <c r="E231" s="106">
        <v>46071.0</v>
      </c>
      <c r="F231" s="106">
        <v>46078.0</v>
      </c>
      <c r="G231" s="27">
        <f t="shared" si="2"/>
        <v>7</v>
      </c>
    </row>
    <row r="232">
      <c r="A232" s="103">
        <v>46070.0</v>
      </c>
      <c r="B232" s="18" t="str">
        <f t="shared" si="1"/>
        <v>Feb</v>
      </c>
      <c r="C232" s="104" t="s">
        <v>298</v>
      </c>
      <c r="D232" s="105">
        <v>3585.0</v>
      </c>
      <c r="E232" s="106">
        <v>46071.0</v>
      </c>
      <c r="F232" s="106">
        <v>46078.0</v>
      </c>
      <c r="G232" s="27">
        <f t="shared" si="2"/>
        <v>7</v>
      </c>
    </row>
    <row r="233">
      <c r="A233" s="103">
        <v>46070.0</v>
      </c>
      <c r="B233" s="18" t="str">
        <f t="shared" si="1"/>
        <v>Feb</v>
      </c>
      <c r="C233" s="104" t="s">
        <v>298</v>
      </c>
      <c r="D233" s="105">
        <v>3586.0</v>
      </c>
      <c r="E233" s="106">
        <v>46071.0</v>
      </c>
      <c r="F233" s="106">
        <v>46078.0</v>
      </c>
      <c r="G233" s="27">
        <f t="shared" si="2"/>
        <v>7</v>
      </c>
    </row>
    <row r="234">
      <c r="A234" s="103">
        <v>46070.0</v>
      </c>
      <c r="B234" s="18" t="str">
        <f t="shared" si="1"/>
        <v>Feb</v>
      </c>
      <c r="C234" s="104" t="s">
        <v>298</v>
      </c>
      <c r="D234" s="105">
        <v>3587.0</v>
      </c>
      <c r="E234" s="106">
        <v>46071.0</v>
      </c>
      <c r="F234" s="106">
        <v>46078.0</v>
      </c>
      <c r="G234" s="27">
        <f t="shared" si="2"/>
        <v>7</v>
      </c>
    </row>
    <row r="235">
      <c r="A235" s="103">
        <v>46070.0</v>
      </c>
      <c r="B235" s="18" t="str">
        <f t="shared" si="1"/>
        <v>Feb</v>
      </c>
      <c r="C235" s="104" t="s">
        <v>283</v>
      </c>
      <c r="D235" s="105">
        <v>3588.0</v>
      </c>
      <c r="E235" s="106">
        <v>46071.0</v>
      </c>
      <c r="F235" s="106">
        <v>46076.0</v>
      </c>
      <c r="G235" s="27">
        <f t="shared" si="2"/>
        <v>5</v>
      </c>
    </row>
    <row r="236">
      <c r="A236" s="103">
        <v>46071.0</v>
      </c>
      <c r="B236" s="18" t="str">
        <f t="shared" si="1"/>
        <v>Feb</v>
      </c>
      <c r="C236" s="104" t="s">
        <v>296</v>
      </c>
      <c r="D236" s="105">
        <v>3589.0</v>
      </c>
      <c r="E236" s="106">
        <v>46078.0</v>
      </c>
      <c r="F236" s="106">
        <v>46078.0</v>
      </c>
      <c r="G236" s="27">
        <f t="shared" si="2"/>
        <v>0</v>
      </c>
    </row>
    <row r="237">
      <c r="A237" s="103">
        <v>46071.0</v>
      </c>
      <c r="B237" s="18" t="str">
        <f t="shared" si="1"/>
        <v>Feb</v>
      </c>
      <c r="C237" s="104" t="s">
        <v>277</v>
      </c>
      <c r="D237" s="105">
        <v>3590.0</v>
      </c>
      <c r="E237" s="106">
        <v>46071.0</v>
      </c>
      <c r="F237" s="106">
        <v>46078.0</v>
      </c>
      <c r="G237" s="27">
        <f t="shared" si="2"/>
        <v>7</v>
      </c>
    </row>
    <row r="238">
      <c r="A238" s="103">
        <v>46071.0</v>
      </c>
      <c r="B238" s="18" t="str">
        <f t="shared" si="1"/>
        <v>Feb</v>
      </c>
      <c r="C238" s="104" t="s">
        <v>289</v>
      </c>
      <c r="D238" s="105">
        <v>3591.0</v>
      </c>
      <c r="E238" s="106">
        <v>46076.0</v>
      </c>
      <c r="F238" s="106">
        <v>46078.0</v>
      </c>
      <c r="G238" s="27">
        <f t="shared" si="2"/>
        <v>2</v>
      </c>
    </row>
    <row r="239">
      <c r="A239" s="103">
        <v>46071.0</v>
      </c>
      <c r="B239" s="18" t="str">
        <f t="shared" si="1"/>
        <v>Feb</v>
      </c>
      <c r="C239" s="104" t="s">
        <v>289</v>
      </c>
      <c r="D239" s="105">
        <v>3592.0</v>
      </c>
      <c r="E239" s="106">
        <v>46076.0</v>
      </c>
      <c r="F239" s="106">
        <v>46078.0</v>
      </c>
      <c r="G239" s="27">
        <f t="shared" si="2"/>
        <v>2</v>
      </c>
    </row>
    <row r="240">
      <c r="A240" s="103">
        <v>46071.0</v>
      </c>
      <c r="B240" s="18" t="str">
        <f t="shared" si="1"/>
        <v>Feb</v>
      </c>
      <c r="C240" s="104" t="s">
        <v>288</v>
      </c>
      <c r="D240" s="105">
        <v>3593.0</v>
      </c>
      <c r="E240" s="106">
        <v>46071.0</v>
      </c>
      <c r="F240" s="106">
        <v>46078.0</v>
      </c>
      <c r="G240" s="27">
        <f t="shared" si="2"/>
        <v>7</v>
      </c>
    </row>
    <row r="241">
      <c r="A241" s="103">
        <v>46072.0</v>
      </c>
      <c r="B241" s="18" t="str">
        <f t="shared" si="1"/>
        <v>Feb</v>
      </c>
      <c r="C241" s="104" t="s">
        <v>285</v>
      </c>
      <c r="D241" s="105">
        <v>3594.0</v>
      </c>
      <c r="E241" s="106">
        <v>46072.0</v>
      </c>
      <c r="F241" s="106">
        <v>46078.0</v>
      </c>
      <c r="G241" s="27">
        <f t="shared" si="2"/>
        <v>6</v>
      </c>
    </row>
    <row r="242">
      <c r="A242" s="103">
        <v>46072.0</v>
      </c>
      <c r="B242" s="18" t="str">
        <f t="shared" si="1"/>
        <v>Feb</v>
      </c>
      <c r="C242" s="104" t="s">
        <v>285</v>
      </c>
      <c r="D242" s="105">
        <v>3595.0</v>
      </c>
      <c r="E242" s="106">
        <v>46073.0</v>
      </c>
      <c r="F242" s="106">
        <v>46076.0</v>
      </c>
      <c r="G242" s="27">
        <f t="shared" si="2"/>
        <v>3</v>
      </c>
    </row>
    <row r="243">
      <c r="A243" s="103">
        <v>46072.0</v>
      </c>
      <c r="B243" s="18" t="str">
        <f t="shared" si="1"/>
        <v>Feb</v>
      </c>
      <c r="C243" s="104" t="s">
        <v>298</v>
      </c>
      <c r="D243" s="105">
        <v>3596.0</v>
      </c>
      <c r="E243" s="106">
        <v>46076.0</v>
      </c>
      <c r="F243" s="106">
        <v>46080.0</v>
      </c>
      <c r="G243" s="27">
        <f t="shared" si="2"/>
        <v>4</v>
      </c>
    </row>
    <row r="244">
      <c r="A244" s="103">
        <v>46073.0</v>
      </c>
      <c r="B244" s="18" t="str">
        <f t="shared" si="1"/>
        <v>Feb</v>
      </c>
      <c r="C244" s="104" t="s">
        <v>288</v>
      </c>
      <c r="D244" s="105">
        <v>3597.0</v>
      </c>
      <c r="E244" s="106">
        <v>46076.0</v>
      </c>
      <c r="F244" s="106">
        <v>46080.0</v>
      </c>
      <c r="G244" s="27">
        <f t="shared" si="2"/>
        <v>4</v>
      </c>
    </row>
    <row r="245">
      <c r="A245" s="103">
        <v>46073.0</v>
      </c>
      <c r="B245" s="18" t="str">
        <f t="shared" si="1"/>
        <v>Feb</v>
      </c>
      <c r="C245" s="104" t="s">
        <v>281</v>
      </c>
      <c r="D245" s="105">
        <v>3598.0</v>
      </c>
      <c r="E245" s="106">
        <v>46076.0</v>
      </c>
      <c r="F245" s="106">
        <v>46080.0</v>
      </c>
      <c r="G245" s="27">
        <f t="shared" si="2"/>
        <v>4</v>
      </c>
    </row>
    <row r="246">
      <c r="A246" s="103">
        <v>46073.0</v>
      </c>
      <c r="B246" s="18" t="str">
        <f t="shared" si="1"/>
        <v>Feb</v>
      </c>
      <c r="C246" s="104" t="s">
        <v>281</v>
      </c>
      <c r="D246" s="105">
        <v>3599.0</v>
      </c>
      <c r="E246" s="106">
        <v>46076.0</v>
      </c>
      <c r="F246" s="106">
        <v>46080.0</v>
      </c>
      <c r="G246" s="27">
        <f t="shared" si="2"/>
        <v>4</v>
      </c>
    </row>
    <row r="247">
      <c r="A247" s="103">
        <v>46074.0</v>
      </c>
      <c r="B247" s="18" t="str">
        <f t="shared" si="1"/>
        <v>Feb</v>
      </c>
      <c r="C247" s="104" t="s">
        <v>299</v>
      </c>
      <c r="D247" s="105">
        <v>3600.0</v>
      </c>
      <c r="E247" s="106">
        <v>46076.0</v>
      </c>
      <c r="F247" s="106">
        <v>46080.0</v>
      </c>
      <c r="G247" s="27">
        <f t="shared" si="2"/>
        <v>4</v>
      </c>
    </row>
    <row r="248">
      <c r="A248" s="103">
        <v>46074.0</v>
      </c>
      <c r="B248" s="18" t="str">
        <f t="shared" si="1"/>
        <v>Feb</v>
      </c>
      <c r="C248" s="104" t="s">
        <v>287</v>
      </c>
      <c r="D248" s="105">
        <v>3601.0</v>
      </c>
      <c r="E248" s="106">
        <v>46076.0</v>
      </c>
      <c r="F248" s="106">
        <v>46080.0</v>
      </c>
      <c r="G248" s="27">
        <f t="shared" si="2"/>
        <v>4</v>
      </c>
    </row>
    <row r="249">
      <c r="A249" s="103">
        <v>46074.0</v>
      </c>
      <c r="B249" s="18" t="str">
        <f t="shared" si="1"/>
        <v>Feb</v>
      </c>
      <c r="C249" s="104" t="s">
        <v>276</v>
      </c>
      <c r="D249" s="105">
        <v>3602.0</v>
      </c>
      <c r="E249" s="106">
        <v>46076.0</v>
      </c>
      <c r="F249" s="106">
        <v>46080.0</v>
      </c>
      <c r="G249" s="27">
        <f t="shared" si="2"/>
        <v>4</v>
      </c>
    </row>
    <row r="250">
      <c r="A250" s="103">
        <v>46074.0</v>
      </c>
      <c r="B250" s="18" t="str">
        <f t="shared" si="1"/>
        <v>Feb</v>
      </c>
      <c r="C250" s="104" t="s">
        <v>276</v>
      </c>
      <c r="D250" s="105">
        <v>3603.0</v>
      </c>
      <c r="E250" s="106">
        <v>46076.0</v>
      </c>
      <c r="F250" s="106">
        <v>46080.0</v>
      </c>
      <c r="G250" s="27">
        <f t="shared" si="2"/>
        <v>4</v>
      </c>
    </row>
    <row r="251">
      <c r="A251" s="103">
        <v>46074.0</v>
      </c>
      <c r="B251" s="18" t="str">
        <f t="shared" si="1"/>
        <v>Feb</v>
      </c>
      <c r="C251" s="104" t="s">
        <v>276</v>
      </c>
      <c r="D251" s="105">
        <v>3604.0</v>
      </c>
      <c r="E251" s="106">
        <v>46076.0</v>
      </c>
      <c r="F251" s="106">
        <v>46080.0</v>
      </c>
      <c r="G251" s="27">
        <f t="shared" si="2"/>
        <v>4</v>
      </c>
    </row>
    <row r="252">
      <c r="A252" s="103">
        <v>46074.0</v>
      </c>
      <c r="B252" s="18" t="str">
        <f t="shared" si="1"/>
        <v>Feb</v>
      </c>
      <c r="C252" s="104" t="s">
        <v>276</v>
      </c>
      <c r="D252" s="105">
        <v>3605.0</v>
      </c>
      <c r="E252" s="106">
        <v>46076.0</v>
      </c>
      <c r="F252" s="106">
        <v>46080.0</v>
      </c>
      <c r="G252" s="27">
        <f t="shared" si="2"/>
        <v>4</v>
      </c>
    </row>
    <row r="253">
      <c r="A253" s="103">
        <v>46074.0</v>
      </c>
      <c r="B253" s="18" t="str">
        <f t="shared" si="1"/>
        <v>Feb</v>
      </c>
      <c r="C253" s="104" t="s">
        <v>276</v>
      </c>
      <c r="D253" s="105">
        <v>3606.0</v>
      </c>
      <c r="E253" s="106">
        <v>46076.0</v>
      </c>
      <c r="F253" s="106">
        <v>46080.0</v>
      </c>
      <c r="G253" s="27">
        <f t="shared" si="2"/>
        <v>4</v>
      </c>
    </row>
    <row r="254">
      <c r="A254" s="103">
        <v>46074.0</v>
      </c>
      <c r="B254" s="18" t="str">
        <f t="shared" si="1"/>
        <v>Feb</v>
      </c>
      <c r="C254" s="104" t="s">
        <v>276</v>
      </c>
      <c r="D254" s="105">
        <v>3607.0</v>
      </c>
      <c r="E254" s="106">
        <v>46076.0</v>
      </c>
      <c r="F254" s="106">
        <v>46080.0</v>
      </c>
      <c r="G254" s="27">
        <f t="shared" si="2"/>
        <v>4</v>
      </c>
    </row>
    <row r="255">
      <c r="A255" s="103">
        <v>46074.0</v>
      </c>
      <c r="B255" s="18" t="str">
        <f t="shared" si="1"/>
        <v>Feb</v>
      </c>
      <c r="C255" s="104" t="s">
        <v>295</v>
      </c>
      <c r="D255" s="105">
        <v>3608.0</v>
      </c>
      <c r="E255" s="106">
        <v>46076.0</v>
      </c>
      <c r="F255" s="106">
        <v>46080.0</v>
      </c>
      <c r="G255" s="27">
        <f t="shared" si="2"/>
        <v>4</v>
      </c>
    </row>
    <row r="256">
      <c r="A256" s="103">
        <v>46074.0</v>
      </c>
      <c r="B256" s="18" t="str">
        <f t="shared" si="1"/>
        <v>Feb</v>
      </c>
      <c r="C256" s="104" t="s">
        <v>295</v>
      </c>
      <c r="D256" s="105">
        <v>3609.0</v>
      </c>
      <c r="E256" s="106">
        <v>46076.0</v>
      </c>
      <c r="F256" s="106">
        <v>46080.0</v>
      </c>
      <c r="G256" s="27">
        <f t="shared" si="2"/>
        <v>4</v>
      </c>
    </row>
    <row r="257">
      <c r="A257" s="103">
        <v>46074.0</v>
      </c>
      <c r="B257" s="18" t="str">
        <f t="shared" si="1"/>
        <v>Feb</v>
      </c>
      <c r="C257" s="104" t="s">
        <v>278</v>
      </c>
      <c r="D257" s="105">
        <v>3610.0</v>
      </c>
      <c r="E257" s="106">
        <v>46076.0</v>
      </c>
      <c r="F257" s="106">
        <v>46080.0</v>
      </c>
      <c r="G257" s="27">
        <f t="shared" si="2"/>
        <v>4</v>
      </c>
    </row>
    <row r="258">
      <c r="A258" s="103">
        <v>46074.0</v>
      </c>
      <c r="B258" s="18" t="str">
        <f t="shared" si="1"/>
        <v>Feb</v>
      </c>
      <c r="C258" s="104" t="s">
        <v>300</v>
      </c>
      <c r="D258" s="105">
        <v>3611.0</v>
      </c>
      <c r="E258" s="106">
        <v>46076.0</v>
      </c>
      <c r="F258" s="106">
        <v>46080.0</v>
      </c>
      <c r="G258" s="27">
        <f t="shared" si="2"/>
        <v>4</v>
      </c>
    </row>
    <row r="259">
      <c r="A259" s="103">
        <v>46074.0</v>
      </c>
      <c r="B259" s="18" t="str">
        <f t="shared" si="1"/>
        <v>Feb</v>
      </c>
      <c r="C259" s="104" t="s">
        <v>300</v>
      </c>
      <c r="D259" s="105">
        <v>3612.0</v>
      </c>
      <c r="E259" s="106">
        <v>46076.0</v>
      </c>
      <c r="F259" s="106">
        <v>46080.0</v>
      </c>
      <c r="G259" s="27">
        <f t="shared" si="2"/>
        <v>4</v>
      </c>
    </row>
    <row r="260">
      <c r="A260" s="103">
        <v>46074.0</v>
      </c>
      <c r="B260" s="18" t="str">
        <f t="shared" si="1"/>
        <v>Feb</v>
      </c>
      <c r="C260" s="104" t="s">
        <v>282</v>
      </c>
      <c r="D260" s="105">
        <v>3613.0</v>
      </c>
      <c r="E260" s="106">
        <v>46076.0</v>
      </c>
      <c r="F260" s="106">
        <v>46076.0</v>
      </c>
      <c r="G260" s="27">
        <f t="shared" si="2"/>
        <v>0</v>
      </c>
    </row>
    <row r="261">
      <c r="A261" s="103">
        <v>46075.0</v>
      </c>
      <c r="B261" s="18" t="str">
        <f t="shared" si="1"/>
        <v>Feb</v>
      </c>
      <c r="C261" s="104" t="s">
        <v>284</v>
      </c>
      <c r="D261" s="105">
        <v>3615.0</v>
      </c>
      <c r="E261" s="106">
        <v>46076.0</v>
      </c>
      <c r="F261" s="106">
        <v>46080.0</v>
      </c>
      <c r="G261" s="27">
        <f t="shared" si="2"/>
        <v>4</v>
      </c>
    </row>
    <row r="262">
      <c r="A262" s="103">
        <v>46075.0</v>
      </c>
      <c r="B262" s="18" t="str">
        <f t="shared" si="1"/>
        <v>Feb</v>
      </c>
      <c r="C262" s="104" t="s">
        <v>284</v>
      </c>
      <c r="D262" s="105">
        <v>3616.0</v>
      </c>
      <c r="E262" s="106">
        <v>46076.0</v>
      </c>
      <c r="F262" s="106">
        <v>46080.0</v>
      </c>
      <c r="G262" s="27">
        <f t="shared" si="2"/>
        <v>4</v>
      </c>
    </row>
    <row r="263">
      <c r="A263" s="103">
        <v>46075.0</v>
      </c>
      <c r="B263" s="18" t="str">
        <f t="shared" si="1"/>
        <v>Feb</v>
      </c>
      <c r="C263" s="104" t="s">
        <v>284</v>
      </c>
      <c r="D263" s="105">
        <v>3617.0</v>
      </c>
      <c r="E263" s="106">
        <v>46076.0</v>
      </c>
      <c r="F263" s="106">
        <v>46080.0</v>
      </c>
      <c r="G263" s="27">
        <f t="shared" si="2"/>
        <v>4</v>
      </c>
    </row>
    <row r="264">
      <c r="A264" s="103">
        <v>46075.0</v>
      </c>
      <c r="B264" s="18" t="str">
        <f t="shared" si="1"/>
        <v>Feb</v>
      </c>
      <c r="C264" s="104" t="s">
        <v>284</v>
      </c>
      <c r="D264" s="105">
        <v>3618.0</v>
      </c>
      <c r="E264" s="106">
        <v>46076.0</v>
      </c>
      <c r="F264" s="106">
        <v>46080.0</v>
      </c>
      <c r="G264" s="27">
        <f t="shared" si="2"/>
        <v>4</v>
      </c>
    </row>
    <row r="265">
      <c r="A265" s="103">
        <v>46076.0</v>
      </c>
      <c r="B265" s="18" t="str">
        <f t="shared" si="1"/>
        <v>Feb</v>
      </c>
      <c r="C265" s="104" t="s">
        <v>273</v>
      </c>
      <c r="D265" s="105">
        <v>3619.0</v>
      </c>
      <c r="E265" s="106">
        <v>46078.0</v>
      </c>
      <c r="F265" s="106">
        <v>46080.0</v>
      </c>
      <c r="G265" s="27">
        <f t="shared" si="2"/>
        <v>2</v>
      </c>
    </row>
    <row r="266">
      <c r="A266" s="103">
        <v>46076.0</v>
      </c>
      <c r="B266" s="18" t="str">
        <f t="shared" si="1"/>
        <v>Feb</v>
      </c>
      <c r="C266" s="104" t="s">
        <v>282</v>
      </c>
      <c r="D266" s="105">
        <v>3620.0</v>
      </c>
      <c r="E266" s="106">
        <v>46078.0</v>
      </c>
      <c r="F266" s="106">
        <v>46080.0</v>
      </c>
      <c r="G266" s="27">
        <f t="shared" si="2"/>
        <v>2</v>
      </c>
    </row>
    <row r="267">
      <c r="A267" s="103">
        <v>46077.0</v>
      </c>
      <c r="B267" s="18" t="str">
        <f t="shared" si="1"/>
        <v>Feb</v>
      </c>
      <c r="C267" s="104" t="s">
        <v>275</v>
      </c>
      <c r="D267" s="105">
        <v>3621.0</v>
      </c>
      <c r="E267" s="106">
        <v>46078.0</v>
      </c>
      <c r="F267" s="106">
        <v>46080.0</v>
      </c>
      <c r="G267" s="27">
        <f t="shared" si="2"/>
        <v>2</v>
      </c>
    </row>
    <row r="268">
      <c r="A268" s="103">
        <v>46078.0</v>
      </c>
      <c r="B268" s="18" t="str">
        <f t="shared" si="1"/>
        <v>Feb</v>
      </c>
      <c r="C268" s="104" t="s">
        <v>276</v>
      </c>
      <c r="D268" s="105">
        <v>3622.0</v>
      </c>
      <c r="E268" s="106">
        <v>46078.0</v>
      </c>
      <c r="F268" s="106">
        <v>46080.0</v>
      </c>
      <c r="G268" s="27">
        <f t="shared" si="2"/>
        <v>2</v>
      </c>
    </row>
    <row r="269">
      <c r="A269" s="103">
        <v>46079.0</v>
      </c>
      <c r="B269" s="18" t="str">
        <f t="shared" si="1"/>
        <v>Feb</v>
      </c>
      <c r="C269" s="104" t="s">
        <v>289</v>
      </c>
      <c r="D269" s="105">
        <v>3623.0</v>
      </c>
      <c r="E269" s="112">
        <v>46084.0</v>
      </c>
      <c r="F269" s="106">
        <v>46086.0</v>
      </c>
      <c r="G269" s="27">
        <f t="shared" si="2"/>
        <v>2</v>
      </c>
    </row>
    <row r="270">
      <c r="A270" s="103">
        <v>46080.0</v>
      </c>
      <c r="B270" s="18" t="str">
        <f t="shared" si="1"/>
        <v>Feb</v>
      </c>
      <c r="C270" s="104" t="s">
        <v>287</v>
      </c>
      <c r="D270" s="105">
        <v>3624.0</v>
      </c>
      <c r="E270" s="112">
        <v>46084.0</v>
      </c>
      <c r="F270" s="106">
        <v>46086.0</v>
      </c>
      <c r="G270" s="27">
        <f t="shared" si="2"/>
        <v>2</v>
      </c>
    </row>
    <row r="271">
      <c r="A271" s="103">
        <v>46080.0</v>
      </c>
      <c r="B271" s="18" t="str">
        <f t="shared" si="1"/>
        <v>Feb</v>
      </c>
      <c r="C271" s="104" t="s">
        <v>282</v>
      </c>
      <c r="D271" s="105">
        <v>3625.0</v>
      </c>
      <c r="E271" s="112">
        <v>46084.0</v>
      </c>
      <c r="F271" s="106">
        <v>46086.0</v>
      </c>
      <c r="G271" s="27">
        <f t="shared" si="2"/>
        <v>2</v>
      </c>
    </row>
    <row r="272">
      <c r="A272" s="103">
        <v>46080.0</v>
      </c>
      <c r="B272" s="18" t="str">
        <f t="shared" si="1"/>
        <v>Feb</v>
      </c>
      <c r="C272" s="104" t="s">
        <v>291</v>
      </c>
      <c r="D272" s="105">
        <v>3626.0</v>
      </c>
      <c r="E272" s="112">
        <v>46084.0</v>
      </c>
      <c r="F272" s="106">
        <v>46086.0</v>
      </c>
      <c r="G272" s="27">
        <f t="shared" si="2"/>
        <v>2</v>
      </c>
    </row>
    <row r="273">
      <c r="A273" s="103">
        <v>46081.0</v>
      </c>
      <c r="B273" s="18" t="str">
        <f t="shared" si="1"/>
        <v>Feb</v>
      </c>
      <c r="C273" s="104" t="s">
        <v>291</v>
      </c>
      <c r="D273" s="105">
        <v>3627.0</v>
      </c>
      <c r="E273" s="112">
        <v>46084.0</v>
      </c>
      <c r="F273" s="106">
        <v>46086.0</v>
      </c>
      <c r="G273" s="27">
        <f t="shared" si="2"/>
        <v>2</v>
      </c>
    </row>
    <row r="274">
      <c r="A274" s="103">
        <v>46081.0</v>
      </c>
      <c r="B274" s="18" t="str">
        <f t="shared" si="1"/>
        <v>Feb</v>
      </c>
      <c r="C274" s="104" t="s">
        <v>277</v>
      </c>
      <c r="D274" s="105">
        <v>3628.0</v>
      </c>
      <c r="E274" s="112">
        <v>46084.0</v>
      </c>
      <c r="F274" s="106">
        <v>46086.0</v>
      </c>
      <c r="G274" s="27">
        <f t="shared" si="2"/>
        <v>2</v>
      </c>
    </row>
    <row r="275">
      <c r="A275" s="103">
        <v>46081.0</v>
      </c>
      <c r="B275" s="18" t="str">
        <f t="shared" si="1"/>
        <v>Feb</v>
      </c>
      <c r="C275" s="104" t="s">
        <v>282</v>
      </c>
      <c r="D275" s="105">
        <v>3629.0</v>
      </c>
      <c r="E275" s="112">
        <v>46084.0</v>
      </c>
      <c r="F275" s="106">
        <v>46086.0</v>
      </c>
      <c r="G275" s="27">
        <f t="shared" si="2"/>
        <v>2</v>
      </c>
    </row>
    <row r="276">
      <c r="A276" s="103">
        <v>46081.0</v>
      </c>
      <c r="B276" s="18" t="str">
        <f t="shared" si="1"/>
        <v>Feb</v>
      </c>
      <c r="C276" s="104" t="s">
        <v>296</v>
      </c>
      <c r="D276" s="105">
        <v>3630.0</v>
      </c>
      <c r="E276" s="112">
        <v>46084.0</v>
      </c>
      <c r="F276" s="106">
        <v>46086.0</v>
      </c>
      <c r="G276" s="27">
        <f t="shared" si="2"/>
        <v>2</v>
      </c>
    </row>
    <row r="277">
      <c r="A277" s="103">
        <v>46081.0</v>
      </c>
      <c r="B277" s="18" t="str">
        <f t="shared" si="1"/>
        <v>Feb</v>
      </c>
      <c r="C277" s="104" t="s">
        <v>279</v>
      </c>
      <c r="D277" s="105">
        <v>3631.0</v>
      </c>
      <c r="E277" s="112">
        <v>46084.0</v>
      </c>
      <c r="F277" s="106">
        <v>46086.0</v>
      </c>
      <c r="G277" s="27">
        <f t="shared" si="2"/>
        <v>2</v>
      </c>
    </row>
    <row r="278">
      <c r="A278" s="103">
        <v>46082.0</v>
      </c>
      <c r="B278" s="18" t="str">
        <f t="shared" si="1"/>
        <v>Mar</v>
      </c>
      <c r="C278" s="104" t="s">
        <v>295</v>
      </c>
      <c r="D278" s="105">
        <v>3632.0</v>
      </c>
      <c r="E278" s="112">
        <v>46084.0</v>
      </c>
      <c r="F278" s="112">
        <v>46088.0</v>
      </c>
      <c r="G278" s="27">
        <f t="shared" si="2"/>
        <v>4</v>
      </c>
    </row>
    <row r="279">
      <c r="A279" s="103">
        <v>46082.0</v>
      </c>
      <c r="B279" s="18" t="str">
        <f t="shared" si="1"/>
        <v>Mar</v>
      </c>
      <c r="C279" s="104" t="s">
        <v>295</v>
      </c>
      <c r="D279" s="105">
        <v>3633.0</v>
      </c>
      <c r="E279" s="112">
        <v>46084.0</v>
      </c>
      <c r="F279" s="112">
        <v>46088.0</v>
      </c>
      <c r="G279" s="27">
        <f t="shared" si="2"/>
        <v>4</v>
      </c>
    </row>
    <row r="280">
      <c r="A280" s="103">
        <v>46082.0</v>
      </c>
      <c r="B280" s="18" t="str">
        <f t="shared" si="1"/>
        <v>Mar</v>
      </c>
      <c r="C280" s="104" t="s">
        <v>295</v>
      </c>
      <c r="D280" s="105">
        <v>3634.0</v>
      </c>
      <c r="E280" s="112">
        <v>46084.0</v>
      </c>
      <c r="F280" s="112">
        <v>46088.0</v>
      </c>
      <c r="G280" s="27">
        <f t="shared" si="2"/>
        <v>4</v>
      </c>
    </row>
    <row r="281">
      <c r="A281" s="103">
        <v>46082.0</v>
      </c>
      <c r="B281" s="18" t="str">
        <f t="shared" si="1"/>
        <v>Mar</v>
      </c>
      <c r="C281" s="104" t="s">
        <v>295</v>
      </c>
      <c r="D281" s="105">
        <v>3635.0</v>
      </c>
      <c r="E281" s="112">
        <v>46084.0</v>
      </c>
      <c r="F281" s="112">
        <v>46088.0</v>
      </c>
      <c r="G281" s="27">
        <f t="shared" si="2"/>
        <v>4</v>
      </c>
    </row>
    <row r="282">
      <c r="A282" s="103">
        <v>46082.0</v>
      </c>
      <c r="B282" s="18" t="str">
        <f t="shared" si="1"/>
        <v>Mar</v>
      </c>
      <c r="C282" s="104" t="s">
        <v>271</v>
      </c>
      <c r="D282" s="105">
        <v>3636.0</v>
      </c>
      <c r="E282" s="112">
        <v>46084.0</v>
      </c>
      <c r="F282" s="112">
        <v>46088.0</v>
      </c>
      <c r="G282" s="27">
        <f t="shared" si="2"/>
        <v>4</v>
      </c>
    </row>
    <row r="283">
      <c r="A283" s="103">
        <v>46082.0</v>
      </c>
      <c r="B283" s="18" t="str">
        <f t="shared" si="1"/>
        <v>Mar</v>
      </c>
      <c r="C283" s="104" t="s">
        <v>271</v>
      </c>
      <c r="D283" s="105">
        <v>3637.0</v>
      </c>
      <c r="E283" s="112">
        <v>46084.0</v>
      </c>
      <c r="F283" s="112">
        <v>46088.0</v>
      </c>
      <c r="G283" s="27">
        <f t="shared" si="2"/>
        <v>4</v>
      </c>
    </row>
    <row r="284">
      <c r="A284" s="103">
        <v>46082.0</v>
      </c>
      <c r="B284" s="18" t="str">
        <f t="shared" si="1"/>
        <v>Mar</v>
      </c>
      <c r="C284" s="104" t="s">
        <v>280</v>
      </c>
      <c r="D284" s="105">
        <v>3638.0</v>
      </c>
      <c r="E284" s="112">
        <v>46084.0</v>
      </c>
      <c r="F284" s="112">
        <v>46088.0</v>
      </c>
      <c r="G284" s="27">
        <f t="shared" si="2"/>
        <v>4</v>
      </c>
    </row>
    <row r="285">
      <c r="A285" s="103">
        <v>46082.0</v>
      </c>
      <c r="B285" s="18" t="str">
        <f t="shared" si="1"/>
        <v>Mar</v>
      </c>
      <c r="C285" s="104" t="s">
        <v>280</v>
      </c>
      <c r="D285" s="105">
        <v>3639.0</v>
      </c>
      <c r="E285" s="112">
        <v>46084.0</v>
      </c>
      <c r="F285" s="112">
        <v>46088.0</v>
      </c>
      <c r="G285" s="27">
        <f t="shared" si="2"/>
        <v>4</v>
      </c>
    </row>
    <row r="286">
      <c r="A286" s="103">
        <v>46082.0</v>
      </c>
      <c r="B286" s="18" t="str">
        <f t="shared" si="1"/>
        <v>Mar</v>
      </c>
      <c r="C286" s="104" t="s">
        <v>297</v>
      </c>
      <c r="D286" s="105">
        <v>3640.0</v>
      </c>
      <c r="E286" s="112">
        <v>46084.0</v>
      </c>
      <c r="F286" s="116"/>
      <c r="G286" s="27">
        <f t="shared" si="2"/>
        <v>-46084</v>
      </c>
    </row>
    <row r="287">
      <c r="A287" s="103">
        <v>46083.0</v>
      </c>
      <c r="B287" s="18" t="str">
        <f t="shared" si="1"/>
        <v>Mar</v>
      </c>
      <c r="C287" s="104" t="s">
        <v>288</v>
      </c>
      <c r="D287" s="105">
        <v>3641.0</v>
      </c>
      <c r="E287" s="112">
        <v>46084.0</v>
      </c>
      <c r="F287" s="112">
        <v>46088.0</v>
      </c>
      <c r="G287" s="27">
        <f t="shared" si="2"/>
        <v>4</v>
      </c>
    </row>
    <row r="288">
      <c r="A288" s="103">
        <v>46083.0</v>
      </c>
      <c r="B288" s="18" t="str">
        <f t="shared" si="1"/>
        <v>Mar</v>
      </c>
      <c r="C288" s="104" t="s">
        <v>301</v>
      </c>
      <c r="D288" s="105">
        <v>3642.0</v>
      </c>
      <c r="E288" s="112">
        <v>46084.0</v>
      </c>
      <c r="F288" s="112">
        <v>46088.0</v>
      </c>
      <c r="G288" s="27">
        <f t="shared" si="2"/>
        <v>4</v>
      </c>
    </row>
    <row r="289">
      <c r="A289" s="103">
        <v>46083.0</v>
      </c>
      <c r="B289" s="18" t="str">
        <f t="shared" si="1"/>
        <v>Mar</v>
      </c>
      <c r="C289" s="104" t="s">
        <v>300</v>
      </c>
      <c r="D289" s="105">
        <v>3643.0</v>
      </c>
      <c r="E289" s="112">
        <v>46084.0</v>
      </c>
      <c r="F289" s="112">
        <v>46088.0</v>
      </c>
      <c r="G289" s="27">
        <f t="shared" si="2"/>
        <v>4</v>
      </c>
    </row>
    <row r="290">
      <c r="A290" s="103">
        <v>46083.0</v>
      </c>
      <c r="B290" s="18" t="str">
        <f t="shared" si="1"/>
        <v>Mar</v>
      </c>
      <c r="C290" s="104" t="s">
        <v>300</v>
      </c>
      <c r="D290" s="105">
        <v>3644.0</v>
      </c>
      <c r="E290" s="112">
        <v>46084.0</v>
      </c>
      <c r="F290" s="112">
        <v>46088.0</v>
      </c>
      <c r="G290" s="27">
        <f t="shared" si="2"/>
        <v>4</v>
      </c>
    </row>
    <row r="291">
      <c r="A291" s="103">
        <v>46084.0</v>
      </c>
      <c r="B291" s="18" t="str">
        <f t="shared" si="1"/>
        <v>Mar</v>
      </c>
      <c r="C291" s="104" t="s">
        <v>287</v>
      </c>
      <c r="D291" s="105">
        <v>3645.0</v>
      </c>
      <c r="E291" s="112">
        <v>46084.0</v>
      </c>
      <c r="F291" s="112">
        <v>46088.0</v>
      </c>
      <c r="G291" s="27">
        <f t="shared" si="2"/>
        <v>4</v>
      </c>
    </row>
    <row r="292">
      <c r="A292" s="103">
        <v>46084.0</v>
      </c>
      <c r="B292" s="18" t="str">
        <f t="shared" si="1"/>
        <v>Mar</v>
      </c>
      <c r="C292" s="104" t="s">
        <v>287</v>
      </c>
      <c r="D292" s="105">
        <v>3646.0</v>
      </c>
      <c r="E292" s="112">
        <v>46084.0</v>
      </c>
      <c r="F292" s="112">
        <v>46088.0</v>
      </c>
      <c r="G292" s="27">
        <f t="shared" si="2"/>
        <v>4</v>
      </c>
    </row>
    <row r="293">
      <c r="A293" s="103">
        <v>46084.0</v>
      </c>
      <c r="B293" s="18" t="str">
        <f t="shared" si="1"/>
        <v>Mar</v>
      </c>
      <c r="C293" s="104" t="s">
        <v>296</v>
      </c>
      <c r="D293" s="105">
        <v>3647.0</v>
      </c>
      <c r="E293" s="112">
        <v>46084.0</v>
      </c>
      <c r="F293" s="112">
        <v>46088.0</v>
      </c>
      <c r="G293" s="27">
        <f t="shared" si="2"/>
        <v>4</v>
      </c>
    </row>
    <row r="294">
      <c r="A294" s="103">
        <v>46085.0</v>
      </c>
      <c r="B294" s="18" t="str">
        <f t="shared" si="1"/>
        <v>Mar</v>
      </c>
      <c r="C294" s="104" t="s">
        <v>280</v>
      </c>
      <c r="D294" s="105">
        <v>3648.0</v>
      </c>
      <c r="E294" s="112">
        <v>46091.0</v>
      </c>
      <c r="F294" s="112">
        <v>46096.0</v>
      </c>
      <c r="G294" s="27">
        <f t="shared" si="2"/>
        <v>5</v>
      </c>
    </row>
    <row r="295">
      <c r="A295" s="103">
        <v>46085.0</v>
      </c>
      <c r="B295" s="18" t="str">
        <f t="shared" si="1"/>
        <v>Mar</v>
      </c>
      <c r="C295" s="104" t="s">
        <v>287</v>
      </c>
      <c r="D295" s="105">
        <v>3649.0</v>
      </c>
      <c r="E295" s="112">
        <v>46091.0</v>
      </c>
      <c r="F295" s="112">
        <v>46096.0</v>
      </c>
      <c r="G295" s="27">
        <f t="shared" si="2"/>
        <v>5</v>
      </c>
    </row>
    <row r="296">
      <c r="A296" s="103">
        <v>46085.0</v>
      </c>
      <c r="B296" s="18" t="str">
        <f t="shared" si="1"/>
        <v>Mar</v>
      </c>
      <c r="C296" s="104" t="s">
        <v>283</v>
      </c>
      <c r="D296" s="105">
        <v>3650.0</v>
      </c>
      <c r="E296" s="112">
        <v>46084.0</v>
      </c>
      <c r="F296" s="112">
        <v>46096.0</v>
      </c>
      <c r="G296" s="27">
        <f t="shared" si="2"/>
        <v>12</v>
      </c>
    </row>
    <row r="297">
      <c r="A297" s="103">
        <v>46085.0</v>
      </c>
      <c r="B297" s="18" t="str">
        <f t="shared" si="1"/>
        <v>Mar</v>
      </c>
      <c r="C297" s="104" t="s">
        <v>283</v>
      </c>
      <c r="D297" s="105">
        <v>3651.0</v>
      </c>
      <c r="E297" s="112">
        <v>46091.0</v>
      </c>
      <c r="F297" s="112">
        <v>46096.0</v>
      </c>
      <c r="G297" s="27">
        <f t="shared" si="2"/>
        <v>5</v>
      </c>
    </row>
    <row r="298">
      <c r="A298" s="103">
        <v>46085.0</v>
      </c>
      <c r="B298" s="18" t="str">
        <f t="shared" si="1"/>
        <v>Mar</v>
      </c>
      <c r="C298" s="104" t="s">
        <v>283</v>
      </c>
      <c r="D298" s="105">
        <v>3652.0</v>
      </c>
      <c r="E298" s="112">
        <v>46091.0</v>
      </c>
      <c r="F298" s="112">
        <v>46096.0</v>
      </c>
      <c r="G298" s="27">
        <f t="shared" si="2"/>
        <v>5</v>
      </c>
    </row>
    <row r="299">
      <c r="A299" s="103">
        <v>46085.0</v>
      </c>
      <c r="B299" s="18" t="str">
        <f t="shared" si="1"/>
        <v>Mar</v>
      </c>
      <c r="C299" s="104" t="s">
        <v>283</v>
      </c>
      <c r="D299" s="105">
        <v>3653.0</v>
      </c>
      <c r="E299" s="112">
        <v>46091.0</v>
      </c>
      <c r="F299" s="112">
        <v>46096.0</v>
      </c>
      <c r="G299" s="27">
        <f t="shared" si="2"/>
        <v>5</v>
      </c>
    </row>
    <row r="300">
      <c r="A300" s="103">
        <v>46085.0</v>
      </c>
      <c r="B300" s="18" t="str">
        <f t="shared" si="1"/>
        <v>Mar</v>
      </c>
      <c r="C300" s="104" t="s">
        <v>297</v>
      </c>
      <c r="D300" s="105">
        <v>3654.0</v>
      </c>
      <c r="E300" s="112">
        <v>46091.0</v>
      </c>
      <c r="F300" s="112">
        <v>46096.0</v>
      </c>
      <c r="G300" s="27">
        <f t="shared" si="2"/>
        <v>5</v>
      </c>
    </row>
    <row r="301">
      <c r="A301" s="103">
        <v>46085.0</v>
      </c>
      <c r="B301" s="18" t="str">
        <f t="shared" si="1"/>
        <v>Mar</v>
      </c>
      <c r="C301" s="104" t="s">
        <v>273</v>
      </c>
      <c r="D301" s="105">
        <v>3655.0</v>
      </c>
      <c r="E301" s="112">
        <v>46091.0</v>
      </c>
      <c r="F301" s="112">
        <v>46096.0</v>
      </c>
      <c r="G301" s="27">
        <f t="shared" si="2"/>
        <v>5</v>
      </c>
    </row>
    <row r="302">
      <c r="A302" s="103">
        <v>46085.0</v>
      </c>
      <c r="B302" s="18" t="str">
        <f t="shared" si="1"/>
        <v>Mar</v>
      </c>
      <c r="C302" s="104" t="s">
        <v>276</v>
      </c>
      <c r="D302" s="105">
        <v>3656.0</v>
      </c>
      <c r="E302" s="112">
        <v>46091.0</v>
      </c>
      <c r="F302" s="112">
        <v>46096.0</v>
      </c>
      <c r="G302" s="27">
        <f t="shared" si="2"/>
        <v>5</v>
      </c>
    </row>
    <row r="303">
      <c r="A303" s="103">
        <v>46085.0</v>
      </c>
      <c r="B303" s="18" t="str">
        <f t="shared" si="1"/>
        <v>Mar</v>
      </c>
      <c r="C303" s="104" t="s">
        <v>276</v>
      </c>
      <c r="D303" s="105">
        <v>3657.0</v>
      </c>
      <c r="E303" s="112">
        <v>46091.0</v>
      </c>
      <c r="F303" s="112">
        <v>46096.0</v>
      </c>
      <c r="G303" s="27">
        <f t="shared" si="2"/>
        <v>5</v>
      </c>
    </row>
    <row r="304">
      <c r="A304" s="103">
        <v>46085.0</v>
      </c>
      <c r="B304" s="18" t="str">
        <f t="shared" si="1"/>
        <v>Mar</v>
      </c>
      <c r="C304" s="104" t="s">
        <v>276</v>
      </c>
      <c r="D304" s="105">
        <v>3658.0</v>
      </c>
      <c r="E304" s="112">
        <v>46091.0</v>
      </c>
      <c r="F304" s="112">
        <v>46096.0</v>
      </c>
      <c r="G304" s="27">
        <f t="shared" si="2"/>
        <v>5</v>
      </c>
    </row>
    <row r="305">
      <c r="A305" s="103">
        <v>46085.0</v>
      </c>
      <c r="B305" s="18" t="str">
        <f t="shared" si="1"/>
        <v>Mar</v>
      </c>
      <c r="C305" s="104" t="s">
        <v>285</v>
      </c>
      <c r="D305" s="105">
        <v>3659.0</v>
      </c>
      <c r="E305" s="112">
        <v>46091.0</v>
      </c>
      <c r="F305" s="112">
        <v>46096.0</v>
      </c>
      <c r="G305" s="27">
        <f t="shared" si="2"/>
        <v>5</v>
      </c>
    </row>
    <row r="306">
      <c r="A306" s="103">
        <v>46086.0</v>
      </c>
      <c r="B306" s="18" t="str">
        <f t="shared" si="1"/>
        <v>Mar</v>
      </c>
      <c r="C306" s="104" t="s">
        <v>273</v>
      </c>
      <c r="D306" s="105">
        <v>3660.0</v>
      </c>
      <c r="E306" s="112">
        <v>46091.0</v>
      </c>
      <c r="F306" s="112">
        <v>46096.0</v>
      </c>
      <c r="G306" s="27">
        <f t="shared" si="2"/>
        <v>5</v>
      </c>
    </row>
    <row r="307">
      <c r="A307" s="103">
        <v>46088.0</v>
      </c>
      <c r="B307" s="18" t="str">
        <f t="shared" si="1"/>
        <v>Mar</v>
      </c>
      <c r="C307" s="104" t="s">
        <v>291</v>
      </c>
      <c r="D307" s="105">
        <v>3661.0</v>
      </c>
      <c r="E307" s="112">
        <v>46091.0</v>
      </c>
      <c r="F307" s="112">
        <v>46096.0</v>
      </c>
      <c r="G307" s="27">
        <f t="shared" si="2"/>
        <v>5</v>
      </c>
    </row>
    <row r="308">
      <c r="A308" s="103">
        <v>46088.0</v>
      </c>
      <c r="B308" s="18" t="str">
        <f t="shared" si="1"/>
        <v>Mar</v>
      </c>
      <c r="C308" s="104" t="s">
        <v>293</v>
      </c>
      <c r="D308" s="105">
        <v>3662.0</v>
      </c>
      <c r="E308" s="112">
        <v>46091.0</v>
      </c>
      <c r="F308" s="112">
        <v>46096.0</v>
      </c>
      <c r="G308" s="27">
        <f t="shared" si="2"/>
        <v>5</v>
      </c>
    </row>
    <row r="309">
      <c r="A309" s="103">
        <v>46088.0</v>
      </c>
      <c r="B309" s="18" t="str">
        <f t="shared" si="1"/>
        <v>Mar</v>
      </c>
      <c r="C309" s="104" t="s">
        <v>286</v>
      </c>
      <c r="D309" s="105">
        <v>3663.0</v>
      </c>
      <c r="E309" s="112">
        <v>46091.0</v>
      </c>
      <c r="F309" s="112">
        <v>46096.0</v>
      </c>
      <c r="G309" s="27">
        <f t="shared" si="2"/>
        <v>5</v>
      </c>
    </row>
    <row r="310">
      <c r="A310" s="103">
        <v>46088.0</v>
      </c>
      <c r="B310" s="18" t="str">
        <f t="shared" si="1"/>
        <v>Mar</v>
      </c>
      <c r="C310" s="104" t="s">
        <v>272</v>
      </c>
      <c r="D310" s="105">
        <v>3664.0</v>
      </c>
      <c r="E310" s="112">
        <v>46091.0</v>
      </c>
      <c r="F310" s="112">
        <v>46096.0</v>
      </c>
      <c r="G310" s="27">
        <f t="shared" si="2"/>
        <v>5</v>
      </c>
    </row>
    <row r="311">
      <c r="A311" s="103">
        <v>46088.0</v>
      </c>
      <c r="B311" s="18" t="str">
        <f t="shared" si="1"/>
        <v>Mar</v>
      </c>
      <c r="C311" s="104" t="s">
        <v>272</v>
      </c>
      <c r="D311" s="105">
        <v>3665.0</v>
      </c>
      <c r="E311" s="112">
        <v>46091.0</v>
      </c>
      <c r="F311" s="112">
        <v>46096.0</v>
      </c>
      <c r="G311" s="27">
        <f t="shared" si="2"/>
        <v>5</v>
      </c>
    </row>
    <row r="312">
      <c r="A312" s="103">
        <v>46088.0</v>
      </c>
      <c r="B312" s="18" t="str">
        <f t="shared" si="1"/>
        <v>Mar</v>
      </c>
      <c r="C312" s="104" t="s">
        <v>272</v>
      </c>
      <c r="D312" s="105">
        <v>3666.0</v>
      </c>
      <c r="E312" s="112">
        <v>46091.0</v>
      </c>
      <c r="F312" s="112">
        <v>46096.0</v>
      </c>
      <c r="G312" s="27">
        <f t="shared" si="2"/>
        <v>5</v>
      </c>
    </row>
    <row r="313">
      <c r="A313" s="103">
        <v>46089.0</v>
      </c>
      <c r="B313" s="18" t="str">
        <f t="shared" si="1"/>
        <v>Mar</v>
      </c>
      <c r="C313" s="104" t="s">
        <v>272</v>
      </c>
      <c r="D313" s="105">
        <v>3667.0</v>
      </c>
      <c r="E313" s="112">
        <v>46091.0</v>
      </c>
      <c r="F313" s="112">
        <v>46096.0</v>
      </c>
      <c r="G313" s="27">
        <f t="shared" si="2"/>
        <v>5</v>
      </c>
    </row>
    <row r="314">
      <c r="A314" s="103">
        <v>46089.0</v>
      </c>
      <c r="B314" s="18" t="str">
        <f t="shared" si="1"/>
        <v>Mar</v>
      </c>
      <c r="C314" s="104" t="s">
        <v>272</v>
      </c>
      <c r="D314" s="105">
        <v>3668.0</v>
      </c>
      <c r="E314" s="112">
        <v>46091.0</v>
      </c>
      <c r="F314" s="112">
        <v>46096.0</v>
      </c>
      <c r="G314" s="27">
        <f t="shared" si="2"/>
        <v>5</v>
      </c>
    </row>
    <row r="315">
      <c r="A315" s="103">
        <v>46089.0</v>
      </c>
      <c r="B315" s="18" t="str">
        <f t="shared" si="1"/>
        <v>Mar</v>
      </c>
      <c r="C315" s="104" t="s">
        <v>281</v>
      </c>
      <c r="D315" s="105">
        <v>3669.0</v>
      </c>
      <c r="E315" s="112">
        <v>46091.0</v>
      </c>
      <c r="F315" s="112">
        <v>46096.0</v>
      </c>
      <c r="G315" s="27">
        <f t="shared" si="2"/>
        <v>5</v>
      </c>
    </row>
    <row r="316">
      <c r="A316" s="103">
        <v>46089.0</v>
      </c>
      <c r="B316" s="18" t="str">
        <f t="shared" si="1"/>
        <v>Mar</v>
      </c>
      <c r="C316" s="104" t="s">
        <v>278</v>
      </c>
      <c r="D316" s="105">
        <v>3670.0</v>
      </c>
      <c r="E316" s="112">
        <v>46091.0</v>
      </c>
      <c r="F316" s="112">
        <v>46096.0</v>
      </c>
      <c r="G316" s="27">
        <f t="shared" si="2"/>
        <v>5</v>
      </c>
    </row>
    <row r="317">
      <c r="A317" s="103">
        <v>46089.0</v>
      </c>
      <c r="B317" s="18" t="str">
        <f t="shared" si="1"/>
        <v>Mar</v>
      </c>
      <c r="C317" s="104" t="s">
        <v>284</v>
      </c>
      <c r="D317" s="105">
        <v>3671.0</v>
      </c>
      <c r="E317" s="112">
        <v>46091.0</v>
      </c>
      <c r="F317" s="112">
        <v>46096.0</v>
      </c>
      <c r="G317" s="27">
        <f t="shared" si="2"/>
        <v>5</v>
      </c>
    </row>
    <row r="318">
      <c r="A318" s="103">
        <v>46089.0</v>
      </c>
      <c r="B318" s="18" t="str">
        <f t="shared" si="1"/>
        <v>Mar</v>
      </c>
      <c r="C318" s="104" t="s">
        <v>284</v>
      </c>
      <c r="D318" s="105">
        <v>3672.0</v>
      </c>
      <c r="E318" s="112">
        <v>46091.0</v>
      </c>
      <c r="F318" s="112">
        <v>46096.0</v>
      </c>
      <c r="G318" s="27">
        <f t="shared" si="2"/>
        <v>5</v>
      </c>
    </row>
    <row r="319">
      <c r="A319" s="103">
        <v>46089.0</v>
      </c>
      <c r="B319" s="18" t="str">
        <f t="shared" si="1"/>
        <v>Mar</v>
      </c>
      <c r="C319" s="104" t="s">
        <v>273</v>
      </c>
      <c r="D319" s="105">
        <v>3673.0</v>
      </c>
      <c r="E319" s="112">
        <v>46091.0</v>
      </c>
      <c r="F319" s="112">
        <v>46096.0</v>
      </c>
      <c r="G319" s="27">
        <f t="shared" si="2"/>
        <v>5</v>
      </c>
    </row>
    <row r="320">
      <c r="A320" s="103">
        <v>46089.0</v>
      </c>
      <c r="B320" s="18" t="str">
        <f t="shared" si="1"/>
        <v>Mar</v>
      </c>
      <c r="C320" s="104" t="s">
        <v>274</v>
      </c>
      <c r="D320" s="105">
        <v>3674.0</v>
      </c>
      <c r="E320" s="112">
        <v>46091.0</v>
      </c>
      <c r="F320" s="112">
        <v>46096.0</v>
      </c>
      <c r="G320" s="27">
        <f t="shared" si="2"/>
        <v>5</v>
      </c>
    </row>
    <row r="321">
      <c r="A321" s="103">
        <v>46089.0</v>
      </c>
      <c r="B321" s="18" t="str">
        <f t="shared" si="1"/>
        <v>Mar</v>
      </c>
      <c r="C321" s="104" t="s">
        <v>295</v>
      </c>
      <c r="D321" s="105">
        <v>3675.0</v>
      </c>
      <c r="E321" s="112">
        <v>46091.0</v>
      </c>
      <c r="F321" s="112">
        <v>46096.0</v>
      </c>
      <c r="G321" s="27">
        <f t="shared" si="2"/>
        <v>5</v>
      </c>
    </row>
    <row r="322">
      <c r="A322" s="103">
        <v>46089.0</v>
      </c>
      <c r="B322" s="18" t="str">
        <f t="shared" si="1"/>
        <v>Mar</v>
      </c>
      <c r="C322" s="104" t="s">
        <v>300</v>
      </c>
      <c r="D322" s="105">
        <v>3676.0</v>
      </c>
      <c r="E322" s="112">
        <v>46091.0</v>
      </c>
      <c r="F322" s="112">
        <v>46096.0</v>
      </c>
      <c r="G322" s="27">
        <f t="shared" si="2"/>
        <v>5</v>
      </c>
    </row>
    <row r="323">
      <c r="A323" s="103">
        <v>46089.0</v>
      </c>
      <c r="B323" s="18" t="str">
        <f t="shared" si="1"/>
        <v>Mar</v>
      </c>
      <c r="C323" s="104" t="s">
        <v>300</v>
      </c>
      <c r="D323" s="105">
        <v>3677.0</v>
      </c>
      <c r="E323" s="112">
        <v>46091.0</v>
      </c>
      <c r="F323" s="112">
        <v>46096.0</v>
      </c>
      <c r="G323" s="27">
        <f t="shared" si="2"/>
        <v>5</v>
      </c>
    </row>
    <row r="324">
      <c r="A324" s="103">
        <v>46089.0</v>
      </c>
      <c r="B324" s="18" t="str">
        <f t="shared" si="1"/>
        <v>Mar</v>
      </c>
      <c r="C324" s="104" t="s">
        <v>300</v>
      </c>
      <c r="D324" s="105">
        <v>3678.0</v>
      </c>
      <c r="E324" s="112">
        <v>46091.0</v>
      </c>
      <c r="F324" s="112">
        <v>46096.0</v>
      </c>
      <c r="G324" s="27">
        <f t="shared" si="2"/>
        <v>5</v>
      </c>
    </row>
    <row r="325">
      <c r="A325" s="103">
        <v>46089.0</v>
      </c>
      <c r="B325" s="18" t="str">
        <f t="shared" si="1"/>
        <v>Mar</v>
      </c>
      <c r="C325" s="104" t="s">
        <v>298</v>
      </c>
      <c r="D325" s="105">
        <v>3679.0</v>
      </c>
      <c r="E325" s="112">
        <v>46091.0</v>
      </c>
      <c r="F325" s="112">
        <v>46096.0</v>
      </c>
      <c r="G325" s="27">
        <f t="shared" si="2"/>
        <v>5</v>
      </c>
    </row>
    <row r="326">
      <c r="A326" s="103">
        <v>46089.0</v>
      </c>
      <c r="B326" s="18" t="str">
        <f t="shared" si="1"/>
        <v>Mar</v>
      </c>
      <c r="C326" s="104" t="s">
        <v>298</v>
      </c>
      <c r="D326" s="105">
        <v>3680.0</v>
      </c>
      <c r="E326" s="112">
        <v>46091.0</v>
      </c>
      <c r="F326" s="112">
        <v>46096.0</v>
      </c>
      <c r="G326" s="27">
        <f t="shared" si="2"/>
        <v>5</v>
      </c>
    </row>
    <row r="327">
      <c r="A327" s="103">
        <v>46089.0</v>
      </c>
      <c r="B327" s="18" t="str">
        <f t="shared" si="1"/>
        <v>Mar</v>
      </c>
      <c r="C327" s="104" t="s">
        <v>273</v>
      </c>
      <c r="D327" s="105">
        <v>3681.0</v>
      </c>
      <c r="E327" s="112">
        <v>46091.0</v>
      </c>
      <c r="F327" s="112">
        <v>46096.0</v>
      </c>
      <c r="G327" s="27">
        <f t="shared" si="2"/>
        <v>5</v>
      </c>
    </row>
    <row r="328">
      <c r="A328" s="103">
        <v>46090.0</v>
      </c>
      <c r="B328" s="18" t="str">
        <f t="shared" si="1"/>
        <v>Mar</v>
      </c>
      <c r="C328" s="104" t="s">
        <v>278</v>
      </c>
      <c r="D328" s="105">
        <v>3682.0</v>
      </c>
      <c r="E328" s="112">
        <v>46091.0</v>
      </c>
      <c r="F328" s="112">
        <v>46096.0</v>
      </c>
      <c r="G328" s="27">
        <f t="shared" si="2"/>
        <v>5</v>
      </c>
    </row>
    <row r="329">
      <c r="A329" s="103">
        <v>46090.0</v>
      </c>
      <c r="B329" s="18" t="str">
        <f t="shared" si="1"/>
        <v>Mar</v>
      </c>
      <c r="C329" s="104" t="s">
        <v>278</v>
      </c>
      <c r="D329" s="105">
        <v>3683.0</v>
      </c>
      <c r="E329" s="112">
        <v>46091.0</v>
      </c>
      <c r="F329" s="112">
        <v>46096.0</v>
      </c>
      <c r="G329" s="27">
        <f t="shared" si="2"/>
        <v>5</v>
      </c>
    </row>
    <row r="330">
      <c r="A330" s="103">
        <v>46090.0</v>
      </c>
      <c r="B330" s="18" t="str">
        <f t="shared" si="1"/>
        <v>Mar</v>
      </c>
      <c r="C330" s="104" t="s">
        <v>287</v>
      </c>
      <c r="D330" s="105">
        <v>3684.0</v>
      </c>
      <c r="E330" s="112">
        <v>46091.0</v>
      </c>
      <c r="F330" s="112">
        <v>46096.0</v>
      </c>
      <c r="G330" s="27">
        <f t="shared" si="2"/>
        <v>5</v>
      </c>
    </row>
    <row r="331">
      <c r="A331" s="103">
        <v>46090.0</v>
      </c>
      <c r="B331" s="18" t="str">
        <f t="shared" si="1"/>
        <v>Mar</v>
      </c>
      <c r="C331" s="104" t="s">
        <v>287</v>
      </c>
      <c r="D331" s="105">
        <v>3685.0</v>
      </c>
      <c r="E331" s="112">
        <v>46091.0</v>
      </c>
      <c r="F331" s="112">
        <v>46096.0</v>
      </c>
      <c r="G331" s="27">
        <f t="shared" si="2"/>
        <v>5</v>
      </c>
    </row>
    <row r="332">
      <c r="A332" s="103">
        <v>46090.0</v>
      </c>
      <c r="B332" s="18" t="str">
        <f t="shared" si="1"/>
        <v>Mar</v>
      </c>
      <c r="C332" s="104" t="s">
        <v>288</v>
      </c>
      <c r="D332" s="105">
        <v>3686.0</v>
      </c>
      <c r="E332" s="112">
        <v>46091.0</v>
      </c>
      <c r="F332" s="112">
        <v>46096.0</v>
      </c>
      <c r="G332" s="27">
        <f t="shared" si="2"/>
        <v>5</v>
      </c>
    </row>
    <row r="333">
      <c r="A333" s="103">
        <v>46091.0</v>
      </c>
      <c r="B333" s="18" t="str">
        <f t="shared" si="1"/>
        <v>Mar</v>
      </c>
      <c r="C333" s="104" t="s">
        <v>284</v>
      </c>
      <c r="D333" s="105">
        <v>3687.0</v>
      </c>
      <c r="E333" s="112">
        <v>46091.0</v>
      </c>
      <c r="F333" s="112">
        <v>46096.0</v>
      </c>
      <c r="G333" s="27">
        <f t="shared" si="2"/>
        <v>5</v>
      </c>
    </row>
    <row r="334">
      <c r="A334" s="103">
        <v>46091.0</v>
      </c>
      <c r="B334" s="18" t="str">
        <f t="shared" si="1"/>
        <v>Mar</v>
      </c>
      <c r="C334" s="104" t="s">
        <v>280</v>
      </c>
      <c r="D334" s="105">
        <v>3688.0</v>
      </c>
      <c r="E334" s="112">
        <v>46091.0</v>
      </c>
      <c r="F334" s="112">
        <v>46096.0</v>
      </c>
      <c r="G334" s="27">
        <f t="shared" si="2"/>
        <v>5</v>
      </c>
    </row>
    <row r="335">
      <c r="A335" s="103">
        <v>46091.0</v>
      </c>
      <c r="B335" s="18" t="str">
        <f t="shared" si="1"/>
        <v>Mar</v>
      </c>
      <c r="C335" s="104" t="s">
        <v>297</v>
      </c>
      <c r="D335" s="105">
        <v>3689.0</v>
      </c>
      <c r="E335" s="112">
        <v>46091.0</v>
      </c>
      <c r="F335" s="112">
        <v>46096.0</v>
      </c>
      <c r="G335" s="27">
        <f t="shared" si="2"/>
        <v>5</v>
      </c>
    </row>
    <row r="336">
      <c r="A336" s="103">
        <v>46091.0</v>
      </c>
      <c r="B336" s="18" t="str">
        <f t="shared" si="1"/>
        <v>Mar</v>
      </c>
      <c r="C336" s="104" t="s">
        <v>288</v>
      </c>
      <c r="D336" s="105">
        <v>3691.0</v>
      </c>
      <c r="E336" s="112">
        <v>46098.0</v>
      </c>
      <c r="F336" s="112">
        <v>46103.0</v>
      </c>
      <c r="G336" s="27">
        <f t="shared" si="2"/>
        <v>5</v>
      </c>
    </row>
    <row r="337">
      <c r="A337" s="103">
        <v>46093.0</v>
      </c>
      <c r="B337" s="18" t="str">
        <f t="shared" si="1"/>
        <v>Mar</v>
      </c>
      <c r="C337" s="104" t="s">
        <v>299</v>
      </c>
      <c r="D337" s="105">
        <v>3692.0</v>
      </c>
      <c r="E337" s="112">
        <v>46098.0</v>
      </c>
      <c r="F337" s="116"/>
      <c r="G337" s="27">
        <f t="shared" si="2"/>
        <v>-46098</v>
      </c>
    </row>
    <row r="338">
      <c r="A338" s="103">
        <v>46093.0</v>
      </c>
      <c r="B338" s="18" t="str">
        <f t="shared" si="1"/>
        <v>Mar</v>
      </c>
      <c r="C338" s="104" t="s">
        <v>288</v>
      </c>
      <c r="D338" s="105">
        <v>3693.0</v>
      </c>
      <c r="E338" s="112">
        <v>46098.0</v>
      </c>
      <c r="F338" s="112">
        <v>46103.0</v>
      </c>
      <c r="G338" s="27">
        <f t="shared" si="2"/>
        <v>5</v>
      </c>
    </row>
    <row r="339">
      <c r="A339" s="103">
        <v>46093.0</v>
      </c>
      <c r="B339" s="18" t="str">
        <f t="shared" si="1"/>
        <v>Mar</v>
      </c>
      <c r="C339" s="104" t="s">
        <v>291</v>
      </c>
      <c r="D339" s="105">
        <v>3694.0</v>
      </c>
      <c r="E339" s="112">
        <v>46098.0</v>
      </c>
      <c r="F339" s="112">
        <v>46103.0</v>
      </c>
      <c r="G339" s="27">
        <f t="shared" si="2"/>
        <v>5</v>
      </c>
    </row>
    <row r="340">
      <c r="A340" s="113">
        <v>46095.0</v>
      </c>
      <c r="B340" s="18" t="str">
        <f t="shared" si="1"/>
        <v>Mar</v>
      </c>
      <c r="C340" s="104" t="s">
        <v>276</v>
      </c>
      <c r="D340" s="105">
        <v>3695.0</v>
      </c>
      <c r="E340" s="112">
        <v>46098.0</v>
      </c>
      <c r="F340" s="112">
        <v>46103.0</v>
      </c>
      <c r="G340" s="27">
        <f t="shared" si="2"/>
        <v>5</v>
      </c>
    </row>
    <row r="341">
      <c r="A341" s="113">
        <v>46095.0</v>
      </c>
      <c r="B341" s="18" t="str">
        <f t="shared" si="1"/>
        <v>Mar</v>
      </c>
      <c r="C341" s="104" t="s">
        <v>276</v>
      </c>
      <c r="D341" s="105">
        <v>3696.0</v>
      </c>
      <c r="E341" s="112">
        <v>46098.0</v>
      </c>
      <c r="F341" s="112">
        <v>46103.0</v>
      </c>
      <c r="G341" s="27">
        <f t="shared" si="2"/>
        <v>5</v>
      </c>
    </row>
    <row r="342">
      <c r="A342" s="113">
        <v>46095.0</v>
      </c>
      <c r="B342" s="18" t="str">
        <f t="shared" si="1"/>
        <v>Mar</v>
      </c>
      <c r="C342" s="104" t="s">
        <v>276</v>
      </c>
      <c r="D342" s="105">
        <v>3697.0</v>
      </c>
      <c r="E342" s="112">
        <v>46098.0</v>
      </c>
      <c r="F342" s="112">
        <v>46103.0</v>
      </c>
      <c r="G342" s="27">
        <f t="shared" si="2"/>
        <v>5</v>
      </c>
    </row>
    <row r="343">
      <c r="A343" s="113">
        <v>46095.0</v>
      </c>
      <c r="B343" s="18" t="str">
        <f t="shared" si="1"/>
        <v>Mar</v>
      </c>
      <c r="C343" s="104" t="s">
        <v>276</v>
      </c>
      <c r="D343" s="105">
        <v>3698.0</v>
      </c>
      <c r="E343" s="112">
        <v>46098.0</v>
      </c>
      <c r="F343" s="112">
        <v>46103.0</v>
      </c>
      <c r="G343" s="27">
        <f t="shared" si="2"/>
        <v>5</v>
      </c>
    </row>
    <row r="344">
      <c r="A344" s="113">
        <v>46095.0</v>
      </c>
      <c r="B344" s="18" t="str">
        <f t="shared" si="1"/>
        <v>Mar</v>
      </c>
      <c r="C344" s="104" t="s">
        <v>276</v>
      </c>
      <c r="D344" s="105">
        <v>3699.0</v>
      </c>
      <c r="E344" s="112">
        <v>46098.0</v>
      </c>
      <c r="F344" s="112">
        <v>46103.0</v>
      </c>
      <c r="G344" s="27">
        <f t="shared" si="2"/>
        <v>5</v>
      </c>
    </row>
    <row r="345">
      <c r="A345" s="113">
        <v>46095.0</v>
      </c>
      <c r="B345" s="18" t="str">
        <f t="shared" si="1"/>
        <v>Mar</v>
      </c>
      <c r="C345" s="104" t="s">
        <v>276</v>
      </c>
      <c r="D345" s="105">
        <v>3700.0</v>
      </c>
      <c r="E345" s="112">
        <v>46098.0</v>
      </c>
      <c r="F345" s="112">
        <v>46103.0</v>
      </c>
      <c r="G345" s="27">
        <f t="shared" si="2"/>
        <v>5</v>
      </c>
    </row>
    <row r="346">
      <c r="A346" s="113">
        <v>46095.0</v>
      </c>
      <c r="B346" s="18" t="str">
        <f t="shared" si="1"/>
        <v>Mar</v>
      </c>
      <c r="C346" s="104" t="s">
        <v>276</v>
      </c>
      <c r="D346" s="105">
        <v>3701.0</v>
      </c>
      <c r="E346" s="112">
        <v>46098.0</v>
      </c>
      <c r="F346" s="112">
        <v>46103.0</v>
      </c>
      <c r="G346" s="27">
        <f t="shared" si="2"/>
        <v>5</v>
      </c>
    </row>
    <row r="347">
      <c r="A347" s="103">
        <v>46096.0</v>
      </c>
      <c r="B347" s="18" t="str">
        <f t="shared" si="1"/>
        <v>Mar</v>
      </c>
      <c r="C347" s="104" t="s">
        <v>276</v>
      </c>
      <c r="D347" s="105">
        <v>3702.0</v>
      </c>
      <c r="E347" s="112">
        <v>46098.0</v>
      </c>
      <c r="F347" s="112">
        <v>46103.0</v>
      </c>
      <c r="G347" s="27">
        <f t="shared" si="2"/>
        <v>5</v>
      </c>
    </row>
    <row r="348">
      <c r="A348" s="103">
        <v>46096.0</v>
      </c>
      <c r="B348" s="18" t="str">
        <f t="shared" si="1"/>
        <v>Mar</v>
      </c>
      <c r="C348" s="104" t="s">
        <v>276</v>
      </c>
      <c r="D348" s="105">
        <v>3703.0</v>
      </c>
      <c r="E348" s="112">
        <v>46098.0</v>
      </c>
      <c r="F348" s="112">
        <v>46103.0</v>
      </c>
      <c r="G348" s="27">
        <f t="shared" si="2"/>
        <v>5</v>
      </c>
    </row>
    <row r="349">
      <c r="A349" s="103">
        <v>46096.0</v>
      </c>
      <c r="B349" s="18" t="str">
        <f t="shared" si="1"/>
        <v>Mar</v>
      </c>
      <c r="C349" s="104" t="s">
        <v>276</v>
      </c>
      <c r="D349" s="105">
        <v>3704.0</v>
      </c>
      <c r="E349" s="112">
        <v>46098.0</v>
      </c>
      <c r="F349" s="112">
        <v>46103.0</v>
      </c>
      <c r="G349" s="27">
        <f t="shared" si="2"/>
        <v>5</v>
      </c>
    </row>
    <row r="350">
      <c r="A350" s="103">
        <v>46096.0</v>
      </c>
      <c r="B350" s="18" t="str">
        <f t="shared" si="1"/>
        <v>Mar</v>
      </c>
      <c r="C350" s="104" t="s">
        <v>276</v>
      </c>
      <c r="D350" s="105">
        <v>3705.0</v>
      </c>
      <c r="E350" s="112">
        <v>46098.0</v>
      </c>
      <c r="F350" s="112">
        <v>46103.0</v>
      </c>
      <c r="G350" s="27">
        <f t="shared" si="2"/>
        <v>5</v>
      </c>
    </row>
    <row r="351">
      <c r="A351" s="103">
        <v>46096.0</v>
      </c>
      <c r="B351" s="18" t="str">
        <f t="shared" si="1"/>
        <v>Mar</v>
      </c>
      <c r="C351" s="104" t="s">
        <v>276</v>
      </c>
      <c r="D351" s="105">
        <v>3706.0</v>
      </c>
      <c r="E351" s="112">
        <v>46098.0</v>
      </c>
      <c r="F351" s="112">
        <v>46103.0</v>
      </c>
      <c r="G351" s="27">
        <f t="shared" si="2"/>
        <v>5</v>
      </c>
    </row>
    <row r="352">
      <c r="A352" s="103">
        <v>46096.0</v>
      </c>
      <c r="B352" s="18" t="str">
        <f t="shared" si="1"/>
        <v>Mar</v>
      </c>
      <c r="C352" s="104" t="s">
        <v>276</v>
      </c>
      <c r="D352" s="105">
        <v>3707.0</v>
      </c>
      <c r="E352" s="112">
        <v>46098.0</v>
      </c>
      <c r="F352" s="112">
        <v>46103.0</v>
      </c>
      <c r="G352" s="27">
        <f t="shared" si="2"/>
        <v>5</v>
      </c>
    </row>
    <row r="353">
      <c r="A353" s="103">
        <v>46096.0</v>
      </c>
      <c r="B353" s="18" t="str">
        <f t="shared" si="1"/>
        <v>Mar</v>
      </c>
      <c r="C353" s="104" t="s">
        <v>288</v>
      </c>
      <c r="D353" s="105">
        <v>3708.0</v>
      </c>
      <c r="E353" s="112">
        <v>46098.0</v>
      </c>
      <c r="F353" s="112">
        <v>46103.0</v>
      </c>
      <c r="G353" s="27">
        <f t="shared" si="2"/>
        <v>5</v>
      </c>
    </row>
    <row r="354">
      <c r="A354" s="103">
        <v>46096.0</v>
      </c>
      <c r="B354" s="18" t="str">
        <f t="shared" si="1"/>
        <v>Mar</v>
      </c>
      <c r="C354" s="104" t="s">
        <v>288</v>
      </c>
      <c r="D354" s="105">
        <v>3709.0</v>
      </c>
      <c r="E354" s="112">
        <v>46098.0</v>
      </c>
      <c r="F354" s="112">
        <v>46103.0</v>
      </c>
      <c r="G354" s="27">
        <f t="shared" si="2"/>
        <v>5</v>
      </c>
    </row>
    <row r="355">
      <c r="A355" s="103">
        <v>46096.0</v>
      </c>
      <c r="B355" s="18" t="str">
        <f t="shared" si="1"/>
        <v>Mar</v>
      </c>
      <c r="C355" s="104" t="s">
        <v>276</v>
      </c>
      <c r="D355" s="105">
        <v>3710.0</v>
      </c>
      <c r="E355" s="112">
        <v>46098.0</v>
      </c>
      <c r="F355" s="112">
        <v>46103.0</v>
      </c>
      <c r="G355" s="27">
        <f t="shared" si="2"/>
        <v>5</v>
      </c>
    </row>
    <row r="356">
      <c r="A356" s="103">
        <v>46096.0</v>
      </c>
      <c r="B356" s="18" t="str">
        <f t="shared" si="1"/>
        <v>Mar</v>
      </c>
      <c r="C356" s="104" t="s">
        <v>276</v>
      </c>
      <c r="D356" s="105">
        <v>3711.0</v>
      </c>
      <c r="E356" s="112">
        <v>46098.0</v>
      </c>
      <c r="F356" s="112">
        <v>46103.0</v>
      </c>
      <c r="G356" s="27">
        <f t="shared" si="2"/>
        <v>5</v>
      </c>
    </row>
    <row r="357">
      <c r="A357" s="103">
        <v>46096.0</v>
      </c>
      <c r="B357" s="18" t="str">
        <f t="shared" si="1"/>
        <v>Mar</v>
      </c>
      <c r="C357" s="104" t="s">
        <v>276</v>
      </c>
      <c r="D357" s="105">
        <v>3712.0</v>
      </c>
      <c r="E357" s="112">
        <v>46098.0</v>
      </c>
      <c r="F357" s="112">
        <v>46103.0</v>
      </c>
      <c r="G357" s="27">
        <f t="shared" si="2"/>
        <v>5</v>
      </c>
    </row>
    <row r="358">
      <c r="A358" s="103">
        <v>46096.0</v>
      </c>
      <c r="B358" s="18" t="str">
        <f t="shared" si="1"/>
        <v>Mar</v>
      </c>
      <c r="C358" s="104" t="s">
        <v>276</v>
      </c>
      <c r="D358" s="105">
        <v>3713.0</v>
      </c>
      <c r="E358" s="112">
        <v>46098.0</v>
      </c>
      <c r="F358" s="112">
        <v>46103.0</v>
      </c>
      <c r="G358" s="27">
        <f t="shared" si="2"/>
        <v>5</v>
      </c>
    </row>
    <row r="359">
      <c r="A359" s="103">
        <v>46096.0</v>
      </c>
      <c r="B359" s="18" t="str">
        <f t="shared" si="1"/>
        <v>Mar</v>
      </c>
      <c r="C359" s="104" t="s">
        <v>276</v>
      </c>
      <c r="D359" s="105">
        <v>3714.0</v>
      </c>
      <c r="E359" s="112">
        <v>46098.0</v>
      </c>
      <c r="F359" s="112">
        <v>46103.0</v>
      </c>
      <c r="G359" s="27">
        <f t="shared" si="2"/>
        <v>5</v>
      </c>
    </row>
    <row r="360">
      <c r="A360" s="103">
        <v>46096.0</v>
      </c>
      <c r="B360" s="18" t="str">
        <f t="shared" si="1"/>
        <v>Mar</v>
      </c>
      <c r="C360" s="104" t="s">
        <v>276</v>
      </c>
      <c r="D360" s="105">
        <v>3715.0</v>
      </c>
      <c r="E360" s="112">
        <v>46098.0</v>
      </c>
      <c r="F360" s="112">
        <v>46103.0</v>
      </c>
      <c r="G360" s="27">
        <f t="shared" si="2"/>
        <v>5</v>
      </c>
    </row>
    <row r="361">
      <c r="A361" s="103">
        <v>46096.0</v>
      </c>
      <c r="B361" s="18" t="str">
        <f t="shared" si="1"/>
        <v>Mar</v>
      </c>
      <c r="C361" s="104" t="s">
        <v>276</v>
      </c>
      <c r="D361" s="105">
        <v>3716.0</v>
      </c>
      <c r="E361" s="112">
        <v>46098.0</v>
      </c>
      <c r="F361" s="112">
        <v>46103.0</v>
      </c>
      <c r="G361" s="27">
        <f t="shared" si="2"/>
        <v>5</v>
      </c>
    </row>
    <row r="362">
      <c r="A362" s="103">
        <v>46096.0</v>
      </c>
      <c r="B362" s="18" t="str">
        <f t="shared" si="1"/>
        <v>Mar</v>
      </c>
      <c r="C362" s="104" t="s">
        <v>276</v>
      </c>
      <c r="D362" s="105">
        <v>3717.0</v>
      </c>
      <c r="E362" s="112">
        <v>46098.0</v>
      </c>
      <c r="F362" s="112">
        <v>46103.0</v>
      </c>
      <c r="G362" s="27"/>
    </row>
    <row r="363">
      <c r="A363" s="103">
        <v>46096.0</v>
      </c>
      <c r="B363" s="18" t="str">
        <f t="shared" si="1"/>
        <v>Mar</v>
      </c>
      <c r="C363" s="104" t="s">
        <v>276</v>
      </c>
      <c r="D363" s="105">
        <v>3718.0</v>
      </c>
      <c r="E363" s="112">
        <v>46098.0</v>
      </c>
      <c r="F363" s="112">
        <v>46103.0</v>
      </c>
      <c r="G363" s="27"/>
    </row>
    <row r="364">
      <c r="A364" s="103">
        <v>46096.0</v>
      </c>
      <c r="B364" s="18" t="str">
        <f t="shared" si="1"/>
        <v>Mar</v>
      </c>
      <c r="C364" s="104" t="s">
        <v>284</v>
      </c>
      <c r="D364" s="105">
        <v>3719.0</v>
      </c>
      <c r="E364" s="112">
        <v>46098.0</v>
      </c>
      <c r="F364" s="112">
        <v>46103.0</v>
      </c>
      <c r="G364" s="27"/>
    </row>
    <row r="365">
      <c r="A365" s="103">
        <v>46096.0</v>
      </c>
      <c r="B365" s="18" t="str">
        <f t="shared" si="1"/>
        <v>Mar</v>
      </c>
      <c r="C365" s="104" t="s">
        <v>275</v>
      </c>
      <c r="D365" s="105">
        <v>3720.0</v>
      </c>
      <c r="E365" s="112">
        <v>46098.0</v>
      </c>
      <c r="F365" s="112">
        <v>46103.0</v>
      </c>
      <c r="G365" s="27"/>
    </row>
    <row r="366">
      <c r="A366" s="103">
        <v>46096.0</v>
      </c>
      <c r="B366" s="18" t="str">
        <f t="shared" si="1"/>
        <v>Mar</v>
      </c>
      <c r="C366" s="104" t="s">
        <v>272</v>
      </c>
      <c r="D366" s="105">
        <v>3721.0</v>
      </c>
      <c r="E366" s="112">
        <v>46098.0</v>
      </c>
      <c r="F366" s="112">
        <v>46103.0</v>
      </c>
      <c r="G366" s="27"/>
    </row>
    <row r="367">
      <c r="A367" s="103">
        <v>46096.0</v>
      </c>
      <c r="B367" s="18" t="str">
        <f t="shared" si="1"/>
        <v>Mar</v>
      </c>
      <c r="C367" s="104" t="s">
        <v>272</v>
      </c>
      <c r="D367" s="105">
        <v>3722.0</v>
      </c>
      <c r="E367" s="112">
        <v>46098.0</v>
      </c>
      <c r="F367" s="112">
        <v>46103.0</v>
      </c>
      <c r="G367" s="27"/>
    </row>
    <row r="368">
      <c r="A368" s="103">
        <v>46096.0</v>
      </c>
      <c r="B368" s="18" t="str">
        <f t="shared" si="1"/>
        <v>Mar</v>
      </c>
      <c r="C368" s="104" t="s">
        <v>272</v>
      </c>
      <c r="D368" s="105">
        <v>3723.0</v>
      </c>
      <c r="E368" s="112">
        <v>46098.0</v>
      </c>
      <c r="F368" s="112">
        <v>46103.0</v>
      </c>
      <c r="G368" s="27"/>
    </row>
    <row r="369">
      <c r="A369" s="103">
        <v>46096.0</v>
      </c>
      <c r="B369" s="18" t="str">
        <f t="shared" si="1"/>
        <v>Mar</v>
      </c>
      <c r="C369" s="104" t="s">
        <v>300</v>
      </c>
      <c r="D369" s="105">
        <v>3724.0</v>
      </c>
      <c r="E369" s="112">
        <v>46098.0</v>
      </c>
      <c r="F369" s="112">
        <v>46103.0</v>
      </c>
      <c r="G369" s="27"/>
    </row>
    <row r="370">
      <c r="A370" s="103">
        <v>46096.0</v>
      </c>
      <c r="B370" s="18" t="str">
        <f t="shared" si="1"/>
        <v>Mar</v>
      </c>
      <c r="C370" s="104" t="s">
        <v>300</v>
      </c>
      <c r="D370" s="105">
        <v>3725.0</v>
      </c>
      <c r="E370" s="112">
        <v>46098.0</v>
      </c>
      <c r="F370" s="112">
        <v>46103.0</v>
      </c>
      <c r="G370" s="27"/>
    </row>
    <row r="371">
      <c r="A371" s="103">
        <v>46096.0</v>
      </c>
      <c r="B371" s="18" t="str">
        <f t="shared" si="1"/>
        <v>Mar</v>
      </c>
      <c r="C371" s="104" t="s">
        <v>300</v>
      </c>
      <c r="D371" s="105">
        <v>3726.0</v>
      </c>
      <c r="E371" s="112">
        <v>46098.0</v>
      </c>
      <c r="F371" s="112">
        <v>46103.0</v>
      </c>
      <c r="G371" s="27"/>
    </row>
    <row r="372">
      <c r="A372" s="103">
        <v>46096.0</v>
      </c>
      <c r="B372" s="18" t="str">
        <f t="shared" si="1"/>
        <v>Mar</v>
      </c>
      <c r="C372" s="104" t="s">
        <v>291</v>
      </c>
      <c r="D372" s="105">
        <v>3727.0</v>
      </c>
      <c r="E372" s="112">
        <v>46098.0</v>
      </c>
      <c r="F372" s="112">
        <v>46103.0</v>
      </c>
      <c r="G372" s="27"/>
    </row>
    <row r="373">
      <c r="A373" s="103">
        <v>46096.0</v>
      </c>
      <c r="B373" s="18" t="str">
        <f t="shared" si="1"/>
        <v>Mar</v>
      </c>
      <c r="C373" s="104" t="s">
        <v>276</v>
      </c>
      <c r="D373" s="105">
        <v>3728.0</v>
      </c>
      <c r="E373" s="112">
        <v>46098.0</v>
      </c>
      <c r="F373" s="112">
        <v>46103.0</v>
      </c>
      <c r="G373" s="27"/>
    </row>
    <row r="374">
      <c r="A374" s="103">
        <v>46096.0</v>
      </c>
      <c r="B374" s="18" t="str">
        <f t="shared" si="1"/>
        <v>Mar</v>
      </c>
      <c r="C374" s="104" t="s">
        <v>286</v>
      </c>
      <c r="D374" s="105">
        <v>3729.0</v>
      </c>
      <c r="E374" s="112">
        <v>46098.0</v>
      </c>
      <c r="F374" s="112">
        <v>46103.0</v>
      </c>
      <c r="G374" s="27"/>
    </row>
    <row r="375">
      <c r="A375" s="103">
        <v>46096.0</v>
      </c>
      <c r="B375" s="18" t="str">
        <f t="shared" si="1"/>
        <v>Mar</v>
      </c>
      <c r="C375" s="104" t="s">
        <v>279</v>
      </c>
      <c r="D375" s="105">
        <v>3730.0</v>
      </c>
      <c r="E375" s="112">
        <v>46098.0</v>
      </c>
      <c r="F375" s="112">
        <v>46103.0</v>
      </c>
      <c r="G375" s="27"/>
    </row>
    <row r="376">
      <c r="A376" s="103">
        <v>46097.0</v>
      </c>
      <c r="B376" s="18" t="str">
        <f t="shared" si="1"/>
        <v>Mar</v>
      </c>
      <c r="C376" s="104" t="s">
        <v>271</v>
      </c>
      <c r="D376" s="105">
        <v>3731.0</v>
      </c>
      <c r="E376" s="112">
        <v>46098.0</v>
      </c>
      <c r="F376" s="112">
        <v>46103.0</v>
      </c>
      <c r="G376" s="27"/>
    </row>
    <row r="377">
      <c r="A377" s="103">
        <v>46097.0</v>
      </c>
      <c r="B377" s="18" t="str">
        <f t="shared" si="1"/>
        <v>Mar</v>
      </c>
      <c r="C377" s="104" t="s">
        <v>291</v>
      </c>
      <c r="D377" s="105">
        <v>3732.0</v>
      </c>
      <c r="E377" s="112">
        <v>46098.0</v>
      </c>
      <c r="F377" s="112">
        <v>46103.0</v>
      </c>
      <c r="G377" s="27"/>
    </row>
    <row r="378">
      <c r="A378" s="103">
        <v>46097.0</v>
      </c>
      <c r="B378" s="18" t="str">
        <f t="shared" si="1"/>
        <v>Mar</v>
      </c>
      <c r="C378" s="104" t="s">
        <v>280</v>
      </c>
      <c r="D378" s="105">
        <v>3733.0</v>
      </c>
      <c r="E378" s="112">
        <v>46098.0</v>
      </c>
      <c r="F378" s="112">
        <v>46103.0</v>
      </c>
      <c r="G378" s="27"/>
    </row>
    <row r="379">
      <c r="A379" s="117">
        <v>46098.0</v>
      </c>
      <c r="B379" s="18" t="str">
        <f t="shared" si="1"/>
        <v>Mar</v>
      </c>
      <c r="C379" s="104" t="s">
        <v>274</v>
      </c>
      <c r="D379" s="105">
        <v>3734.0</v>
      </c>
      <c r="E379" s="112">
        <v>46098.0</v>
      </c>
      <c r="F379" s="112">
        <v>46103.0</v>
      </c>
      <c r="G379" s="27"/>
    </row>
    <row r="380">
      <c r="A380" s="103">
        <v>46099.0</v>
      </c>
      <c r="B380" s="18" t="str">
        <f t="shared" si="1"/>
        <v>Mar</v>
      </c>
      <c r="C380" s="104" t="s">
        <v>300</v>
      </c>
      <c r="D380" s="105">
        <v>3735.0</v>
      </c>
      <c r="E380" s="112">
        <v>46109.0</v>
      </c>
      <c r="F380" s="112">
        <v>46112.0</v>
      </c>
      <c r="G380" s="27"/>
    </row>
    <row r="381">
      <c r="A381" s="103">
        <v>46099.0</v>
      </c>
      <c r="B381" s="18" t="str">
        <f t="shared" si="1"/>
        <v>Mar</v>
      </c>
      <c r="C381" s="104" t="s">
        <v>300</v>
      </c>
      <c r="D381" s="105">
        <v>3736.0</v>
      </c>
      <c r="E381" s="112">
        <v>46109.0</v>
      </c>
      <c r="F381" s="112">
        <v>46112.0</v>
      </c>
      <c r="G381" s="27"/>
    </row>
    <row r="382">
      <c r="A382" s="103">
        <v>46099.0</v>
      </c>
      <c r="B382" s="18" t="str">
        <f t="shared" si="1"/>
        <v>Mar</v>
      </c>
      <c r="C382" s="104" t="s">
        <v>300</v>
      </c>
      <c r="D382" s="105">
        <v>3737.0</v>
      </c>
      <c r="E382" s="112">
        <v>46109.0</v>
      </c>
      <c r="F382" s="112">
        <v>46112.0</v>
      </c>
      <c r="G382" s="27"/>
    </row>
    <row r="383">
      <c r="A383" s="103">
        <v>46099.0</v>
      </c>
      <c r="B383" s="18" t="str">
        <f t="shared" si="1"/>
        <v>Mar</v>
      </c>
      <c r="C383" s="104" t="s">
        <v>300</v>
      </c>
      <c r="D383" s="105">
        <v>3738.0</v>
      </c>
      <c r="E383" s="112">
        <v>46109.0</v>
      </c>
      <c r="F383" s="112">
        <v>46112.0</v>
      </c>
      <c r="G383" s="27"/>
    </row>
    <row r="384">
      <c r="A384" s="103">
        <v>46099.0</v>
      </c>
      <c r="B384" s="18" t="str">
        <f t="shared" si="1"/>
        <v>Mar</v>
      </c>
      <c r="C384" s="104" t="s">
        <v>300</v>
      </c>
      <c r="D384" s="105">
        <v>3739.0</v>
      </c>
      <c r="E384" s="112">
        <v>46109.0</v>
      </c>
      <c r="F384" s="112">
        <v>46112.0</v>
      </c>
      <c r="G384" s="27"/>
    </row>
    <row r="385">
      <c r="A385" s="103">
        <v>46099.0</v>
      </c>
      <c r="B385" s="18" t="str">
        <f t="shared" si="1"/>
        <v>Mar</v>
      </c>
      <c r="C385" s="104" t="s">
        <v>300</v>
      </c>
      <c r="D385" s="105">
        <v>3740.0</v>
      </c>
      <c r="E385" s="112">
        <v>46109.0</v>
      </c>
      <c r="F385" s="112">
        <v>46112.0</v>
      </c>
      <c r="G385" s="27"/>
    </row>
    <row r="386">
      <c r="A386" s="103">
        <v>46099.0</v>
      </c>
      <c r="B386" s="18" t="str">
        <f t="shared" si="1"/>
        <v>Mar</v>
      </c>
      <c r="C386" s="104" t="s">
        <v>298</v>
      </c>
      <c r="D386" s="105">
        <v>3741.0</v>
      </c>
      <c r="E386" s="112">
        <v>46109.0</v>
      </c>
      <c r="F386" s="112">
        <v>46112.0</v>
      </c>
      <c r="G386" s="27"/>
    </row>
    <row r="387">
      <c r="A387" s="103">
        <v>46099.0</v>
      </c>
      <c r="B387" s="18" t="str">
        <f t="shared" si="1"/>
        <v>Mar</v>
      </c>
      <c r="C387" s="104" t="s">
        <v>298</v>
      </c>
      <c r="D387" s="105">
        <v>3742.0</v>
      </c>
      <c r="E387" s="112">
        <v>46109.0</v>
      </c>
      <c r="F387" s="112">
        <v>46112.0</v>
      </c>
      <c r="G387" s="27"/>
    </row>
    <row r="388">
      <c r="A388" s="103">
        <v>46099.0</v>
      </c>
      <c r="B388" s="18" t="str">
        <f t="shared" si="1"/>
        <v>Mar</v>
      </c>
      <c r="C388" s="104" t="s">
        <v>298</v>
      </c>
      <c r="D388" s="105">
        <v>3743.0</v>
      </c>
      <c r="E388" s="112">
        <v>46109.0</v>
      </c>
      <c r="F388" s="112">
        <v>46112.0</v>
      </c>
      <c r="G388" s="27"/>
    </row>
    <row r="389">
      <c r="A389" s="103">
        <v>46099.0</v>
      </c>
      <c r="B389" s="18" t="str">
        <f t="shared" si="1"/>
        <v>Mar</v>
      </c>
      <c r="C389" s="104" t="s">
        <v>298</v>
      </c>
      <c r="D389" s="105">
        <v>3744.0</v>
      </c>
      <c r="E389" s="112">
        <v>46109.0</v>
      </c>
      <c r="F389" s="112">
        <v>46112.0</v>
      </c>
      <c r="G389" s="27"/>
    </row>
    <row r="390">
      <c r="A390" s="103">
        <v>46099.0</v>
      </c>
      <c r="B390" s="18" t="str">
        <f t="shared" si="1"/>
        <v>Mar</v>
      </c>
      <c r="C390" s="104" t="s">
        <v>296</v>
      </c>
      <c r="D390" s="105">
        <v>3745.0</v>
      </c>
      <c r="E390" s="112">
        <v>46109.0</v>
      </c>
      <c r="F390" s="112">
        <v>46112.0</v>
      </c>
      <c r="G390" s="27"/>
    </row>
    <row r="391">
      <c r="A391" s="103">
        <v>46099.0</v>
      </c>
      <c r="B391" s="18" t="str">
        <f t="shared" si="1"/>
        <v>Mar</v>
      </c>
      <c r="C391" s="104" t="s">
        <v>296</v>
      </c>
      <c r="D391" s="105">
        <v>3746.0</v>
      </c>
      <c r="E391" s="112">
        <v>46109.0</v>
      </c>
      <c r="F391" s="112">
        <v>46112.0</v>
      </c>
      <c r="G391" s="27"/>
    </row>
    <row r="392">
      <c r="A392" s="103">
        <v>46100.0</v>
      </c>
      <c r="B392" s="18" t="str">
        <f t="shared" si="1"/>
        <v>Mar</v>
      </c>
      <c r="C392" s="104" t="s">
        <v>292</v>
      </c>
      <c r="D392" s="105">
        <v>3747.0</v>
      </c>
      <c r="E392" s="112">
        <v>46109.0</v>
      </c>
      <c r="F392" s="112">
        <v>46112.0</v>
      </c>
      <c r="G392" s="27"/>
    </row>
    <row r="393">
      <c r="A393" s="103">
        <v>46100.0</v>
      </c>
      <c r="B393" s="18" t="str">
        <f t="shared" si="1"/>
        <v>Mar</v>
      </c>
      <c r="C393" s="104" t="s">
        <v>276</v>
      </c>
      <c r="D393" s="105">
        <v>3749.0</v>
      </c>
      <c r="E393" s="112">
        <v>46109.0</v>
      </c>
      <c r="F393" s="112">
        <v>46112.0</v>
      </c>
      <c r="G393" s="27"/>
    </row>
    <row r="394">
      <c r="A394" s="103">
        <v>46101.0</v>
      </c>
      <c r="B394" s="18" t="str">
        <f t="shared" si="1"/>
        <v>Mar</v>
      </c>
      <c r="C394" s="104" t="s">
        <v>271</v>
      </c>
      <c r="D394" s="105">
        <v>3750.0</v>
      </c>
      <c r="E394" s="112">
        <v>46109.0</v>
      </c>
      <c r="F394" s="112">
        <v>46112.0</v>
      </c>
      <c r="G394" s="27"/>
    </row>
    <row r="395">
      <c r="A395" s="103">
        <v>46101.0</v>
      </c>
      <c r="B395" s="18" t="str">
        <f t="shared" si="1"/>
        <v>Mar</v>
      </c>
      <c r="C395" s="104" t="s">
        <v>283</v>
      </c>
      <c r="D395" s="105">
        <v>3751.0</v>
      </c>
      <c r="E395" s="112">
        <v>46109.0</v>
      </c>
      <c r="F395" s="112">
        <v>46112.0</v>
      </c>
      <c r="G395" s="27"/>
    </row>
    <row r="396">
      <c r="A396" s="103">
        <v>46101.0</v>
      </c>
      <c r="B396" s="18" t="str">
        <f t="shared" si="1"/>
        <v>Mar</v>
      </c>
      <c r="C396" s="104" t="s">
        <v>271</v>
      </c>
      <c r="D396" s="105">
        <v>3752.0</v>
      </c>
      <c r="E396" s="112">
        <v>46109.0</v>
      </c>
      <c r="F396" s="112">
        <v>46112.0</v>
      </c>
      <c r="G396" s="27"/>
    </row>
    <row r="397">
      <c r="A397" s="103">
        <v>46101.0</v>
      </c>
      <c r="B397" s="18" t="str">
        <f t="shared" si="1"/>
        <v>Mar</v>
      </c>
      <c r="C397" s="104" t="s">
        <v>271</v>
      </c>
      <c r="D397" s="105">
        <v>3753.0</v>
      </c>
      <c r="E397" s="112">
        <v>46109.0</v>
      </c>
      <c r="F397" s="112">
        <v>46112.0</v>
      </c>
      <c r="G397" s="27"/>
    </row>
    <row r="398">
      <c r="A398" s="103">
        <v>46101.0</v>
      </c>
      <c r="B398" s="18" t="str">
        <f t="shared" si="1"/>
        <v>Mar</v>
      </c>
      <c r="C398" s="104" t="s">
        <v>271</v>
      </c>
      <c r="D398" s="105">
        <v>3754.0</v>
      </c>
      <c r="E398" s="112">
        <v>46109.0</v>
      </c>
      <c r="F398" s="112">
        <v>46112.0</v>
      </c>
      <c r="G398" s="27"/>
    </row>
    <row r="399">
      <c r="A399" s="103">
        <v>46103.0</v>
      </c>
      <c r="B399" s="18" t="str">
        <f t="shared" si="1"/>
        <v>Mar</v>
      </c>
      <c r="C399" s="104" t="s">
        <v>295</v>
      </c>
      <c r="D399" s="105">
        <v>3755.0</v>
      </c>
      <c r="E399" s="112">
        <v>46109.0</v>
      </c>
      <c r="F399" s="112">
        <v>46112.0</v>
      </c>
      <c r="G399" s="27"/>
    </row>
    <row r="400">
      <c r="A400" s="103">
        <v>46103.0</v>
      </c>
      <c r="B400" s="18" t="str">
        <f t="shared" si="1"/>
        <v>Mar</v>
      </c>
      <c r="C400" s="104" t="s">
        <v>278</v>
      </c>
      <c r="D400" s="105">
        <v>3756.0</v>
      </c>
      <c r="E400" s="112">
        <v>46104.0</v>
      </c>
      <c r="F400" s="106">
        <v>46104.0</v>
      </c>
      <c r="G400" s="27"/>
    </row>
    <row r="401">
      <c r="A401" s="103">
        <v>46104.0</v>
      </c>
      <c r="B401" s="18" t="str">
        <f t="shared" si="1"/>
        <v>Mar</v>
      </c>
      <c r="C401" s="104" t="s">
        <v>287</v>
      </c>
      <c r="D401" s="105">
        <v>3757.0</v>
      </c>
      <c r="E401" s="112">
        <v>46109.0</v>
      </c>
      <c r="F401" s="112">
        <v>46112.0</v>
      </c>
      <c r="G401" s="27"/>
    </row>
    <row r="402">
      <c r="A402" s="103">
        <v>46104.0</v>
      </c>
      <c r="B402" s="18" t="str">
        <f t="shared" si="1"/>
        <v>Mar</v>
      </c>
      <c r="C402" s="104" t="s">
        <v>294</v>
      </c>
      <c r="D402" s="105">
        <v>3758.0</v>
      </c>
      <c r="E402" s="112">
        <v>46109.0</v>
      </c>
      <c r="F402" s="112">
        <v>46112.0</v>
      </c>
      <c r="G402" s="27"/>
    </row>
    <row r="403">
      <c r="A403" s="103">
        <v>46104.0</v>
      </c>
      <c r="B403" s="18" t="str">
        <f t="shared" si="1"/>
        <v>Mar</v>
      </c>
      <c r="C403" s="104" t="s">
        <v>294</v>
      </c>
      <c r="D403" s="105">
        <v>3759.0</v>
      </c>
      <c r="E403" s="112">
        <v>46109.0</v>
      </c>
      <c r="F403" s="112">
        <v>46112.0</v>
      </c>
      <c r="G403" s="27"/>
    </row>
    <row r="404">
      <c r="A404" s="103">
        <v>46104.0</v>
      </c>
      <c r="B404" s="18" t="str">
        <f t="shared" si="1"/>
        <v>Mar</v>
      </c>
      <c r="C404" s="104" t="s">
        <v>294</v>
      </c>
      <c r="D404" s="105">
        <v>3760.0</v>
      </c>
      <c r="E404" s="112">
        <v>46109.0</v>
      </c>
      <c r="F404" s="112">
        <v>46112.0</v>
      </c>
      <c r="G404" s="27"/>
    </row>
    <row r="405">
      <c r="A405" s="103">
        <v>46104.0</v>
      </c>
      <c r="B405" s="18" t="str">
        <f t="shared" si="1"/>
        <v>Mar</v>
      </c>
      <c r="C405" s="104" t="s">
        <v>272</v>
      </c>
      <c r="D405" s="105">
        <v>3761.0</v>
      </c>
      <c r="E405" s="112">
        <v>46109.0</v>
      </c>
      <c r="F405" s="112">
        <v>46112.0</v>
      </c>
      <c r="G405" s="27"/>
    </row>
    <row r="406">
      <c r="A406" s="103">
        <v>46104.0</v>
      </c>
      <c r="B406" s="18" t="str">
        <f t="shared" si="1"/>
        <v>Mar</v>
      </c>
      <c r="C406" s="104" t="s">
        <v>286</v>
      </c>
      <c r="D406" s="105">
        <v>3762.0</v>
      </c>
      <c r="E406" s="112">
        <v>46109.0</v>
      </c>
      <c r="F406" s="112">
        <v>46112.0</v>
      </c>
      <c r="G406" s="27"/>
    </row>
    <row r="407">
      <c r="A407" s="103">
        <v>46104.0</v>
      </c>
      <c r="B407" s="18" t="str">
        <f t="shared" si="1"/>
        <v>Mar</v>
      </c>
      <c r="C407" s="104" t="s">
        <v>286</v>
      </c>
      <c r="D407" s="105">
        <v>3763.0</v>
      </c>
      <c r="E407" s="112">
        <v>46109.0</v>
      </c>
      <c r="F407" s="112">
        <v>46112.0</v>
      </c>
      <c r="G407" s="27"/>
    </row>
    <row r="408">
      <c r="A408" s="103">
        <v>46104.0</v>
      </c>
      <c r="B408" s="18" t="str">
        <f t="shared" si="1"/>
        <v>Mar</v>
      </c>
      <c r="C408" s="104" t="s">
        <v>276</v>
      </c>
      <c r="D408" s="105">
        <v>3764.0</v>
      </c>
      <c r="E408" s="112">
        <v>46109.0</v>
      </c>
      <c r="F408" s="112">
        <v>46112.0</v>
      </c>
      <c r="G408" s="27"/>
    </row>
    <row r="409">
      <c r="A409" s="103">
        <v>46104.0</v>
      </c>
      <c r="B409" s="18" t="str">
        <f t="shared" si="1"/>
        <v>Mar</v>
      </c>
      <c r="C409" s="104" t="s">
        <v>296</v>
      </c>
      <c r="D409" s="105">
        <v>3765.0</v>
      </c>
      <c r="E409" s="112">
        <v>46109.0</v>
      </c>
      <c r="F409" s="112">
        <v>46112.0</v>
      </c>
      <c r="G409" s="27"/>
    </row>
    <row r="410">
      <c r="A410" s="103">
        <v>46104.0</v>
      </c>
      <c r="B410" s="18" t="str">
        <f t="shared" si="1"/>
        <v>Mar</v>
      </c>
      <c r="C410" s="104" t="s">
        <v>296</v>
      </c>
      <c r="D410" s="105">
        <v>3766.0</v>
      </c>
      <c r="E410" s="112">
        <v>46109.0</v>
      </c>
      <c r="F410" s="112">
        <v>46112.0</v>
      </c>
      <c r="G410" s="27"/>
    </row>
    <row r="411">
      <c r="A411" s="103">
        <v>46105.0</v>
      </c>
      <c r="B411" s="18" t="str">
        <f t="shared" si="1"/>
        <v>Mar</v>
      </c>
      <c r="C411" s="104" t="s">
        <v>296</v>
      </c>
      <c r="D411" s="105">
        <v>3767.0</v>
      </c>
      <c r="E411" s="112">
        <v>46109.0</v>
      </c>
      <c r="F411" s="112">
        <v>46112.0</v>
      </c>
      <c r="G411" s="27"/>
    </row>
    <row r="412">
      <c r="A412" s="103">
        <v>46105.0</v>
      </c>
      <c r="B412" s="18" t="str">
        <f t="shared" si="1"/>
        <v>Mar</v>
      </c>
      <c r="C412" s="104" t="s">
        <v>284</v>
      </c>
      <c r="D412" s="105">
        <v>3768.0</v>
      </c>
      <c r="E412" s="112">
        <v>46109.0</v>
      </c>
      <c r="F412" s="112">
        <v>46112.0</v>
      </c>
      <c r="G412" s="27"/>
    </row>
    <row r="413">
      <c r="A413" s="103">
        <v>46105.0</v>
      </c>
      <c r="B413" s="18" t="str">
        <f t="shared" si="1"/>
        <v>Mar</v>
      </c>
      <c r="C413" s="104" t="s">
        <v>276</v>
      </c>
      <c r="D413" s="105">
        <v>3769.0</v>
      </c>
      <c r="E413" s="112">
        <v>46109.0</v>
      </c>
      <c r="F413" s="112">
        <v>46112.0</v>
      </c>
      <c r="G413" s="27"/>
    </row>
    <row r="414">
      <c r="A414" s="103">
        <v>46105.0</v>
      </c>
      <c r="B414" s="18" t="str">
        <f t="shared" si="1"/>
        <v>Mar</v>
      </c>
      <c r="C414" s="104" t="s">
        <v>285</v>
      </c>
      <c r="D414" s="105">
        <v>3770.0</v>
      </c>
      <c r="E414" s="112">
        <v>46109.0</v>
      </c>
      <c r="F414" s="112">
        <v>46112.0</v>
      </c>
      <c r="G414" s="27"/>
    </row>
    <row r="415">
      <c r="A415" s="103">
        <v>46105.0</v>
      </c>
      <c r="B415" s="18" t="str">
        <f t="shared" si="1"/>
        <v>Mar</v>
      </c>
      <c r="C415" s="104" t="s">
        <v>285</v>
      </c>
      <c r="D415" s="105">
        <v>3771.0</v>
      </c>
      <c r="E415" s="112">
        <v>46109.0</v>
      </c>
      <c r="F415" s="112">
        <v>46112.0</v>
      </c>
      <c r="G415" s="27"/>
    </row>
    <row r="416">
      <c r="A416" s="103">
        <v>46105.0</v>
      </c>
      <c r="B416" s="18" t="str">
        <f t="shared" si="1"/>
        <v>Mar</v>
      </c>
      <c r="C416" s="104" t="s">
        <v>290</v>
      </c>
      <c r="D416" s="105">
        <v>3772.0</v>
      </c>
      <c r="E416" s="112">
        <v>46109.0</v>
      </c>
      <c r="F416" s="112">
        <v>46112.0</v>
      </c>
      <c r="G416" s="27"/>
    </row>
    <row r="417">
      <c r="A417" s="103">
        <v>46105.0</v>
      </c>
      <c r="B417" s="18" t="str">
        <f t="shared" si="1"/>
        <v>Mar</v>
      </c>
      <c r="C417" s="104" t="s">
        <v>272</v>
      </c>
      <c r="D417" s="105">
        <v>3773.0</v>
      </c>
      <c r="E417" s="112">
        <v>46109.0</v>
      </c>
      <c r="F417" s="112">
        <v>46112.0</v>
      </c>
      <c r="G417" s="27"/>
    </row>
    <row r="418">
      <c r="A418" s="103">
        <v>46105.0</v>
      </c>
      <c r="B418" s="18" t="str">
        <f t="shared" si="1"/>
        <v>Mar</v>
      </c>
      <c r="C418" s="104" t="s">
        <v>289</v>
      </c>
      <c r="D418" s="105">
        <v>3774.0</v>
      </c>
      <c r="E418" s="112">
        <v>46109.0</v>
      </c>
      <c r="F418" s="112">
        <v>46112.0</v>
      </c>
      <c r="G418" s="27"/>
    </row>
    <row r="419">
      <c r="A419" s="103">
        <v>46105.0</v>
      </c>
      <c r="B419" s="18" t="str">
        <f t="shared" si="1"/>
        <v>Mar</v>
      </c>
      <c r="C419" s="104" t="s">
        <v>288</v>
      </c>
      <c r="D419" s="105">
        <v>3775.0</v>
      </c>
      <c r="E419" s="112">
        <v>46112.0</v>
      </c>
      <c r="F419" s="112">
        <v>46112.0</v>
      </c>
      <c r="G419" s="27"/>
    </row>
    <row r="420">
      <c r="A420" s="103">
        <v>46105.0</v>
      </c>
      <c r="B420" s="18" t="str">
        <f t="shared" si="1"/>
        <v>Mar</v>
      </c>
      <c r="C420" s="104" t="s">
        <v>288</v>
      </c>
      <c r="D420" s="105">
        <v>3776.0</v>
      </c>
      <c r="E420" s="112">
        <v>46112.0</v>
      </c>
      <c r="F420" s="112">
        <v>46112.0</v>
      </c>
      <c r="G420" s="27"/>
    </row>
    <row r="421">
      <c r="A421" s="103">
        <v>46106.0</v>
      </c>
      <c r="B421" s="18" t="str">
        <f t="shared" si="1"/>
        <v>Mar</v>
      </c>
      <c r="C421" s="104" t="s">
        <v>289</v>
      </c>
      <c r="D421" s="105">
        <v>3777.0</v>
      </c>
      <c r="E421" s="112">
        <v>46109.0</v>
      </c>
      <c r="F421" s="112">
        <v>46112.0</v>
      </c>
      <c r="G421" s="27"/>
    </row>
    <row r="422">
      <c r="A422" s="103">
        <v>46106.0</v>
      </c>
      <c r="B422" s="18" t="str">
        <f t="shared" si="1"/>
        <v>Mar</v>
      </c>
      <c r="C422" s="104" t="s">
        <v>288</v>
      </c>
      <c r="D422" s="105">
        <v>3778.0</v>
      </c>
      <c r="E422" s="112">
        <v>46109.0</v>
      </c>
      <c r="F422" s="112">
        <v>46112.0</v>
      </c>
      <c r="G422" s="27"/>
    </row>
    <row r="423">
      <c r="A423" s="103">
        <v>46107.0</v>
      </c>
      <c r="B423" s="18" t="str">
        <f t="shared" si="1"/>
        <v>Mar</v>
      </c>
      <c r="C423" s="104" t="s">
        <v>296</v>
      </c>
      <c r="D423" s="105">
        <v>3779.0</v>
      </c>
      <c r="E423" s="112">
        <v>46109.0</v>
      </c>
      <c r="F423" s="112">
        <v>46112.0</v>
      </c>
      <c r="G423" s="27"/>
    </row>
    <row r="424">
      <c r="A424" s="103">
        <v>46107.0</v>
      </c>
      <c r="B424" s="18" t="str">
        <f t="shared" si="1"/>
        <v>Mar</v>
      </c>
      <c r="C424" s="104" t="s">
        <v>280</v>
      </c>
      <c r="D424" s="105">
        <v>3780.0</v>
      </c>
      <c r="E424" s="112">
        <v>46109.0</v>
      </c>
      <c r="F424" s="112">
        <v>46112.0</v>
      </c>
      <c r="G424" s="27"/>
    </row>
    <row r="425">
      <c r="A425" s="103">
        <v>46107.0</v>
      </c>
      <c r="B425" s="18" t="str">
        <f t="shared" si="1"/>
        <v>Mar</v>
      </c>
      <c r="C425" s="104" t="s">
        <v>287</v>
      </c>
      <c r="D425" s="105">
        <v>3781.0</v>
      </c>
      <c r="E425" s="112">
        <v>46109.0</v>
      </c>
      <c r="F425" s="112">
        <v>46112.0</v>
      </c>
      <c r="G425" s="27"/>
    </row>
    <row r="426">
      <c r="A426" s="103">
        <v>46107.0</v>
      </c>
      <c r="B426" s="18" t="str">
        <f t="shared" si="1"/>
        <v>Mar</v>
      </c>
      <c r="C426" s="104" t="s">
        <v>285</v>
      </c>
      <c r="D426" s="105">
        <v>3782.0</v>
      </c>
      <c r="E426" s="112">
        <v>46109.0</v>
      </c>
      <c r="F426" s="112">
        <v>46112.0</v>
      </c>
      <c r="G426" s="27"/>
    </row>
    <row r="427">
      <c r="A427" s="103">
        <v>46109.0</v>
      </c>
      <c r="B427" s="18" t="str">
        <f t="shared" si="1"/>
        <v>Mar</v>
      </c>
      <c r="C427" s="104" t="s">
        <v>276</v>
      </c>
      <c r="D427" s="105">
        <v>3783.0</v>
      </c>
      <c r="E427" s="112">
        <v>46111.0</v>
      </c>
      <c r="F427" s="106">
        <v>46114.0</v>
      </c>
      <c r="G427" s="27"/>
    </row>
    <row r="428">
      <c r="A428" s="103">
        <v>46109.0</v>
      </c>
      <c r="B428" s="18" t="str">
        <f t="shared" si="1"/>
        <v>Mar</v>
      </c>
      <c r="C428" s="104" t="s">
        <v>276</v>
      </c>
      <c r="D428" s="105">
        <v>3784.0</v>
      </c>
      <c r="E428" s="112">
        <v>46111.0</v>
      </c>
      <c r="F428" s="106">
        <v>46114.0</v>
      </c>
      <c r="G428" s="27"/>
    </row>
    <row r="429">
      <c r="A429" s="103">
        <v>46109.0</v>
      </c>
      <c r="B429" s="18" t="str">
        <f t="shared" si="1"/>
        <v>Mar</v>
      </c>
      <c r="C429" s="104" t="s">
        <v>286</v>
      </c>
      <c r="D429" s="105">
        <v>3785.0</v>
      </c>
      <c r="E429" s="112">
        <v>46111.0</v>
      </c>
      <c r="F429" s="106">
        <v>46114.0</v>
      </c>
      <c r="G429" s="27"/>
    </row>
    <row r="430">
      <c r="A430" s="103">
        <v>46109.0</v>
      </c>
      <c r="B430" s="18" t="str">
        <f t="shared" si="1"/>
        <v>Mar</v>
      </c>
      <c r="C430" s="104" t="s">
        <v>274</v>
      </c>
      <c r="D430" s="105">
        <v>3786.0</v>
      </c>
      <c r="E430" s="112">
        <v>46111.0</v>
      </c>
      <c r="F430" s="106">
        <v>46114.0</v>
      </c>
      <c r="G430" s="27"/>
    </row>
    <row r="431">
      <c r="A431" s="103">
        <v>46109.0</v>
      </c>
      <c r="B431" s="18" t="str">
        <f t="shared" si="1"/>
        <v>Mar</v>
      </c>
      <c r="C431" s="104" t="s">
        <v>282</v>
      </c>
      <c r="D431" s="105">
        <v>3787.0</v>
      </c>
      <c r="E431" s="112">
        <v>46111.0</v>
      </c>
      <c r="F431" s="106">
        <v>46114.0</v>
      </c>
      <c r="G431" s="27"/>
    </row>
    <row r="432">
      <c r="A432" s="103">
        <v>46110.0</v>
      </c>
      <c r="B432" s="18" t="str">
        <f t="shared" si="1"/>
        <v>Mar</v>
      </c>
      <c r="C432" s="104" t="s">
        <v>284</v>
      </c>
      <c r="D432" s="105">
        <v>3788.0</v>
      </c>
      <c r="E432" s="112">
        <v>46111.0</v>
      </c>
      <c r="F432" s="106">
        <v>46114.0</v>
      </c>
      <c r="G432" s="27"/>
    </row>
    <row r="433">
      <c r="A433" s="103">
        <v>46110.0</v>
      </c>
      <c r="B433" s="18" t="str">
        <f t="shared" si="1"/>
        <v>Mar</v>
      </c>
      <c r="C433" s="104" t="s">
        <v>284</v>
      </c>
      <c r="D433" s="105">
        <v>3789.0</v>
      </c>
      <c r="E433" s="112">
        <v>46111.0</v>
      </c>
      <c r="F433" s="106">
        <v>46114.0</v>
      </c>
      <c r="G433" s="27"/>
    </row>
    <row r="434">
      <c r="A434" s="103">
        <v>46110.0</v>
      </c>
      <c r="B434" s="18" t="str">
        <f t="shared" si="1"/>
        <v>Mar</v>
      </c>
      <c r="C434" s="104" t="s">
        <v>287</v>
      </c>
      <c r="D434" s="105">
        <v>3790.0</v>
      </c>
      <c r="E434" s="112">
        <v>46111.0</v>
      </c>
      <c r="F434" s="106">
        <v>46114.0</v>
      </c>
      <c r="G434" s="27"/>
    </row>
    <row r="435">
      <c r="A435" s="103">
        <v>46110.0</v>
      </c>
      <c r="B435" s="18" t="str">
        <f t="shared" si="1"/>
        <v>Mar</v>
      </c>
      <c r="C435" s="104" t="s">
        <v>287</v>
      </c>
      <c r="D435" s="105">
        <v>3791.0</v>
      </c>
      <c r="E435" s="112">
        <v>46111.0</v>
      </c>
      <c r="F435" s="106">
        <v>46114.0</v>
      </c>
      <c r="G435" s="27"/>
    </row>
    <row r="436">
      <c r="A436" s="103">
        <v>46110.0</v>
      </c>
      <c r="B436" s="18" t="str">
        <f t="shared" si="1"/>
        <v>Mar</v>
      </c>
      <c r="C436" s="104" t="s">
        <v>287</v>
      </c>
      <c r="D436" s="105">
        <v>3792.0</v>
      </c>
      <c r="E436" s="112">
        <v>46111.0</v>
      </c>
      <c r="F436" s="106">
        <v>46114.0</v>
      </c>
      <c r="G436" s="27"/>
    </row>
    <row r="437">
      <c r="A437" s="103">
        <v>46110.0</v>
      </c>
      <c r="B437" s="18" t="str">
        <f t="shared" si="1"/>
        <v>Mar</v>
      </c>
      <c r="C437" s="104" t="s">
        <v>275</v>
      </c>
      <c r="D437" s="105">
        <v>3793.0</v>
      </c>
      <c r="E437" s="112">
        <v>46111.0</v>
      </c>
      <c r="F437" s="106">
        <v>46114.0</v>
      </c>
      <c r="G437" s="27"/>
    </row>
    <row r="438">
      <c r="A438" s="103">
        <v>46110.0</v>
      </c>
      <c r="B438" s="18" t="str">
        <f t="shared" si="1"/>
        <v>Mar</v>
      </c>
      <c r="C438" s="104" t="s">
        <v>271</v>
      </c>
      <c r="D438" s="105">
        <v>3794.0</v>
      </c>
      <c r="E438" s="112">
        <v>46111.0</v>
      </c>
      <c r="F438" s="106">
        <v>46114.0</v>
      </c>
      <c r="G438" s="27"/>
    </row>
    <row r="439">
      <c r="A439" s="103">
        <v>46110.0</v>
      </c>
      <c r="B439" s="18" t="str">
        <f t="shared" si="1"/>
        <v>Mar</v>
      </c>
      <c r="C439" s="104" t="s">
        <v>271</v>
      </c>
      <c r="D439" s="105">
        <v>3795.0</v>
      </c>
      <c r="E439" s="112">
        <v>46111.0</v>
      </c>
      <c r="F439" s="106">
        <v>46114.0</v>
      </c>
      <c r="G439" s="27"/>
    </row>
    <row r="440">
      <c r="A440" s="103">
        <v>46110.0</v>
      </c>
      <c r="B440" s="18" t="str">
        <f t="shared" si="1"/>
        <v>Mar</v>
      </c>
      <c r="C440" s="104" t="s">
        <v>271</v>
      </c>
      <c r="D440" s="105">
        <v>3796.0</v>
      </c>
      <c r="E440" s="112">
        <v>46111.0</v>
      </c>
      <c r="F440" s="106">
        <v>46114.0</v>
      </c>
      <c r="G440" s="27"/>
    </row>
    <row r="441">
      <c r="A441" s="103">
        <v>46110.0</v>
      </c>
      <c r="B441" s="18" t="str">
        <f t="shared" si="1"/>
        <v>Mar</v>
      </c>
      <c r="C441" s="104" t="s">
        <v>271</v>
      </c>
      <c r="D441" s="105">
        <v>3797.0</v>
      </c>
      <c r="E441" s="112">
        <v>46111.0</v>
      </c>
      <c r="F441" s="106">
        <v>46114.0</v>
      </c>
      <c r="G441" s="27"/>
    </row>
    <row r="442">
      <c r="A442" s="103">
        <v>46110.0</v>
      </c>
      <c r="B442" s="18" t="str">
        <f t="shared" si="1"/>
        <v>Mar</v>
      </c>
      <c r="C442" s="104" t="s">
        <v>298</v>
      </c>
      <c r="D442" s="105">
        <v>3798.0</v>
      </c>
      <c r="E442" s="112">
        <v>46111.0</v>
      </c>
      <c r="F442" s="106">
        <v>46114.0</v>
      </c>
      <c r="G442" s="27"/>
    </row>
    <row r="443">
      <c r="A443" s="103">
        <v>46110.0</v>
      </c>
      <c r="B443" s="18" t="str">
        <f t="shared" si="1"/>
        <v>Mar</v>
      </c>
      <c r="C443" s="104" t="s">
        <v>298</v>
      </c>
      <c r="D443" s="105">
        <v>3799.0</v>
      </c>
      <c r="E443" s="112">
        <v>46111.0</v>
      </c>
      <c r="F443" s="106">
        <v>46114.0</v>
      </c>
      <c r="G443" s="27"/>
    </row>
    <row r="444">
      <c r="A444" s="103">
        <v>46110.0</v>
      </c>
      <c r="B444" s="18" t="str">
        <f t="shared" si="1"/>
        <v>Mar</v>
      </c>
      <c r="C444" s="104" t="s">
        <v>291</v>
      </c>
      <c r="D444" s="105">
        <v>3800.0</v>
      </c>
      <c r="E444" s="112">
        <v>46111.0</v>
      </c>
      <c r="F444" s="106">
        <v>46114.0</v>
      </c>
      <c r="G444" s="27"/>
    </row>
    <row r="445">
      <c r="A445" s="103">
        <v>46110.0</v>
      </c>
      <c r="B445" s="18" t="str">
        <f t="shared" si="1"/>
        <v>Mar</v>
      </c>
      <c r="C445" s="104" t="s">
        <v>286</v>
      </c>
      <c r="D445" s="105">
        <v>3801.0</v>
      </c>
      <c r="E445" s="112">
        <v>46112.0</v>
      </c>
      <c r="F445" s="106">
        <v>46114.0</v>
      </c>
      <c r="G445" s="27"/>
    </row>
    <row r="446">
      <c r="A446" s="103">
        <v>46110.0</v>
      </c>
      <c r="B446" s="18" t="str">
        <f t="shared" si="1"/>
        <v>Mar</v>
      </c>
      <c r="C446" s="104" t="s">
        <v>286</v>
      </c>
      <c r="D446" s="105">
        <v>3802.0</v>
      </c>
      <c r="E446" s="112">
        <v>46112.0</v>
      </c>
      <c r="F446" s="106">
        <v>46114.0</v>
      </c>
      <c r="G446" s="27"/>
    </row>
    <row r="447">
      <c r="A447" s="103">
        <v>46110.0</v>
      </c>
      <c r="B447" s="18" t="str">
        <f t="shared" si="1"/>
        <v>Mar</v>
      </c>
      <c r="C447" s="104" t="s">
        <v>286</v>
      </c>
      <c r="D447" s="105">
        <v>3803.0</v>
      </c>
      <c r="E447" s="112">
        <v>46112.0</v>
      </c>
      <c r="F447" s="106">
        <v>46114.0</v>
      </c>
      <c r="G447" s="27"/>
    </row>
    <row r="448">
      <c r="A448" s="103">
        <v>46110.0</v>
      </c>
      <c r="B448" s="18" t="str">
        <f t="shared" si="1"/>
        <v>Mar</v>
      </c>
      <c r="C448" s="104" t="s">
        <v>286</v>
      </c>
      <c r="D448" s="105">
        <v>3804.0</v>
      </c>
      <c r="E448" s="112">
        <v>46112.0</v>
      </c>
      <c r="F448" s="106">
        <v>46114.0</v>
      </c>
      <c r="G448" s="27"/>
    </row>
    <row r="449">
      <c r="A449" s="103">
        <v>46110.0</v>
      </c>
      <c r="B449" s="18" t="str">
        <f t="shared" si="1"/>
        <v>Mar</v>
      </c>
      <c r="C449" s="104" t="s">
        <v>293</v>
      </c>
      <c r="D449" s="105">
        <v>3805.0</v>
      </c>
      <c r="E449" s="112">
        <v>46111.0</v>
      </c>
      <c r="F449" s="106">
        <v>46114.0</v>
      </c>
      <c r="G449" s="27"/>
    </row>
    <row r="450">
      <c r="A450" s="103">
        <v>46110.0</v>
      </c>
      <c r="B450" s="18" t="str">
        <f t="shared" si="1"/>
        <v>Mar</v>
      </c>
      <c r="C450" s="104" t="s">
        <v>288</v>
      </c>
      <c r="D450" s="105">
        <v>3807.0</v>
      </c>
      <c r="E450" s="112">
        <v>46111.0</v>
      </c>
      <c r="F450" s="106">
        <v>46114.0</v>
      </c>
      <c r="G450" s="27"/>
    </row>
    <row r="451">
      <c r="A451" s="103">
        <v>46110.0</v>
      </c>
      <c r="B451" s="18" t="str">
        <f t="shared" si="1"/>
        <v>Mar</v>
      </c>
      <c r="C451" s="104" t="s">
        <v>277</v>
      </c>
      <c r="D451" s="105">
        <v>3808.0</v>
      </c>
      <c r="E451" s="106">
        <v>46113.0</v>
      </c>
      <c r="F451" s="106">
        <v>46115.0</v>
      </c>
      <c r="G451" s="27"/>
    </row>
    <row r="452">
      <c r="A452" s="103">
        <v>46111.0</v>
      </c>
      <c r="B452" s="18" t="str">
        <f t="shared" si="1"/>
        <v>Mar</v>
      </c>
      <c r="C452" s="104" t="s">
        <v>276</v>
      </c>
      <c r="D452" s="105">
        <v>3809.0</v>
      </c>
      <c r="E452" s="106">
        <v>46113.0</v>
      </c>
      <c r="F452" s="106">
        <v>46115.0</v>
      </c>
      <c r="G452" s="27"/>
    </row>
    <row r="453">
      <c r="A453" s="103">
        <v>46111.0</v>
      </c>
      <c r="B453" s="18" t="str">
        <f t="shared" si="1"/>
        <v>Mar</v>
      </c>
      <c r="C453" s="104" t="s">
        <v>291</v>
      </c>
      <c r="D453" s="105">
        <v>3810.0</v>
      </c>
      <c r="E453" s="106">
        <v>46113.0</v>
      </c>
      <c r="F453" s="106">
        <v>46115.0</v>
      </c>
      <c r="G453" s="27"/>
    </row>
    <row r="454">
      <c r="A454" s="103">
        <v>46112.0</v>
      </c>
      <c r="B454" s="18" t="str">
        <f t="shared" si="1"/>
        <v>Mar</v>
      </c>
      <c r="C454" s="104" t="s">
        <v>277</v>
      </c>
      <c r="D454" s="105">
        <v>3811.0</v>
      </c>
      <c r="E454" s="106">
        <v>46112.0</v>
      </c>
      <c r="F454" s="106">
        <v>46115.0</v>
      </c>
      <c r="G454" s="27"/>
    </row>
    <row r="455">
      <c r="A455" s="103">
        <v>46112.0</v>
      </c>
      <c r="B455" s="18" t="str">
        <f t="shared" si="1"/>
        <v>Mar</v>
      </c>
      <c r="C455" s="104" t="s">
        <v>288</v>
      </c>
      <c r="D455" s="105">
        <v>3812.0</v>
      </c>
      <c r="E455" s="106">
        <v>46113.0</v>
      </c>
      <c r="F455" s="106">
        <v>46115.0</v>
      </c>
      <c r="G455" s="27"/>
    </row>
    <row r="456">
      <c r="A456" s="18"/>
      <c r="B456" s="18"/>
      <c r="C456" s="18"/>
      <c r="D456" s="18"/>
      <c r="E456" s="18"/>
      <c r="F456" s="18"/>
      <c r="G456" s="27"/>
    </row>
    <row r="457">
      <c r="A457" s="18"/>
      <c r="B457" s="18"/>
      <c r="C457" s="18"/>
      <c r="D457" s="18"/>
      <c r="E457" s="18"/>
      <c r="F457" s="18"/>
      <c r="G457" s="27"/>
    </row>
    <row r="458">
      <c r="A458" s="18"/>
      <c r="B458" s="18"/>
      <c r="C458" s="18"/>
      <c r="D458" s="18"/>
      <c r="E458" s="18"/>
      <c r="F458" s="18"/>
      <c r="G458" s="27"/>
    </row>
    <row r="459">
      <c r="A459" s="18"/>
      <c r="B459" s="18"/>
      <c r="C459" s="18"/>
      <c r="D459" s="18"/>
      <c r="E459" s="18"/>
      <c r="F459" s="18"/>
      <c r="G459" s="27"/>
    </row>
    <row r="460">
      <c r="A460" s="18"/>
      <c r="B460" s="18"/>
      <c r="C460" s="18"/>
      <c r="D460" s="18"/>
      <c r="E460" s="18"/>
      <c r="F460" s="18"/>
      <c r="G460" s="27"/>
    </row>
    <row r="461">
      <c r="A461" s="18"/>
      <c r="B461" s="18"/>
      <c r="C461" s="18"/>
      <c r="D461" s="18"/>
      <c r="E461" s="18"/>
      <c r="F461" s="18"/>
      <c r="G461" s="27"/>
    </row>
    <row r="462">
      <c r="A462" s="18"/>
      <c r="B462" s="18"/>
      <c r="C462" s="18"/>
      <c r="D462" s="18"/>
      <c r="E462" s="18"/>
      <c r="F462" s="18"/>
      <c r="G462" s="27"/>
    </row>
    <row r="463">
      <c r="A463" s="18"/>
      <c r="B463" s="18"/>
      <c r="C463" s="18"/>
      <c r="D463" s="18"/>
      <c r="E463" s="18"/>
      <c r="F463" s="18"/>
      <c r="G463" s="27"/>
    </row>
    <row r="464">
      <c r="A464" s="18"/>
      <c r="B464" s="18"/>
      <c r="C464" s="18"/>
      <c r="D464" s="18"/>
      <c r="E464" s="18"/>
      <c r="F464" s="18"/>
      <c r="G464" s="27"/>
    </row>
    <row r="465">
      <c r="A465" s="18"/>
      <c r="B465" s="18"/>
      <c r="C465" s="18"/>
      <c r="D465" s="18"/>
      <c r="E465" s="18"/>
      <c r="F465" s="18"/>
      <c r="G465" s="27"/>
    </row>
    <row r="466">
      <c r="A466" s="18"/>
      <c r="B466" s="18"/>
      <c r="C466" s="18"/>
      <c r="D466" s="18"/>
      <c r="E466" s="18"/>
      <c r="F466" s="18"/>
      <c r="G466" s="27"/>
    </row>
    <row r="467">
      <c r="A467" s="18"/>
      <c r="B467" s="18"/>
      <c r="C467" s="18"/>
      <c r="D467" s="18"/>
      <c r="E467" s="18"/>
      <c r="F467" s="18"/>
      <c r="G467" s="27"/>
    </row>
    <row r="468">
      <c r="A468" s="18"/>
      <c r="B468" s="18"/>
      <c r="C468" s="18"/>
      <c r="D468" s="18"/>
      <c r="E468" s="18"/>
      <c r="F468" s="18"/>
      <c r="G468" s="27"/>
    </row>
    <row r="469">
      <c r="A469" s="18"/>
      <c r="B469" s="18"/>
      <c r="C469" s="18"/>
      <c r="D469" s="18"/>
      <c r="E469" s="18"/>
      <c r="F469" s="18"/>
      <c r="G469" s="27"/>
    </row>
    <row r="470">
      <c r="A470" s="18"/>
      <c r="B470" s="18"/>
      <c r="C470" s="18"/>
      <c r="D470" s="18"/>
      <c r="E470" s="18"/>
      <c r="F470" s="18"/>
      <c r="G470" s="27"/>
    </row>
    <row r="471">
      <c r="A471" s="18"/>
      <c r="B471" s="18"/>
      <c r="C471" s="18"/>
      <c r="D471" s="18"/>
      <c r="E471" s="18"/>
      <c r="F471" s="18"/>
      <c r="G471" s="27"/>
    </row>
    <row r="472">
      <c r="A472" s="18"/>
      <c r="B472" s="18"/>
      <c r="C472" s="18"/>
      <c r="D472" s="18"/>
      <c r="E472" s="18"/>
      <c r="F472" s="18"/>
      <c r="G472" s="27"/>
    </row>
    <row r="473">
      <c r="A473" s="18"/>
      <c r="B473" s="18"/>
      <c r="C473" s="18"/>
      <c r="D473" s="18"/>
      <c r="E473" s="18"/>
      <c r="F473" s="18"/>
      <c r="G473" s="27"/>
    </row>
    <row r="474">
      <c r="A474" s="18"/>
      <c r="B474" s="18"/>
      <c r="C474" s="18"/>
      <c r="D474" s="18"/>
      <c r="E474" s="18"/>
      <c r="F474" s="18"/>
      <c r="G474" s="27"/>
    </row>
    <row r="475">
      <c r="A475" s="18"/>
      <c r="B475" s="18"/>
      <c r="C475" s="18"/>
      <c r="D475" s="18"/>
      <c r="E475" s="18"/>
      <c r="F475" s="18"/>
      <c r="G475" s="27"/>
    </row>
    <row r="476">
      <c r="A476" s="18"/>
      <c r="B476" s="18"/>
      <c r="C476" s="18"/>
      <c r="D476" s="18"/>
      <c r="E476" s="18"/>
      <c r="F476" s="18"/>
      <c r="G476" s="27"/>
    </row>
    <row r="477">
      <c r="A477" s="18"/>
      <c r="B477" s="18"/>
      <c r="C477" s="18"/>
      <c r="D477" s="18"/>
      <c r="E477" s="18"/>
      <c r="F477" s="18"/>
      <c r="G477" s="27"/>
    </row>
    <row r="478">
      <c r="A478" s="18"/>
      <c r="B478" s="18"/>
      <c r="C478" s="18"/>
      <c r="D478" s="18"/>
      <c r="E478" s="18"/>
      <c r="F478" s="18"/>
      <c r="G478" s="27"/>
    </row>
    <row r="479">
      <c r="A479" s="18"/>
      <c r="B479" s="18"/>
      <c r="C479" s="18"/>
      <c r="D479" s="18"/>
      <c r="E479" s="18"/>
      <c r="F479" s="18"/>
      <c r="G479" s="27"/>
    </row>
    <row r="480">
      <c r="A480" s="18"/>
      <c r="B480" s="18"/>
      <c r="C480" s="18"/>
      <c r="D480" s="18"/>
      <c r="E480" s="18"/>
      <c r="F480" s="18"/>
      <c r="G480" s="27"/>
    </row>
    <row r="481">
      <c r="A481" s="18"/>
      <c r="B481" s="18"/>
      <c r="C481" s="18"/>
      <c r="D481" s="18"/>
      <c r="E481" s="18"/>
      <c r="F481" s="18"/>
      <c r="G481" s="27"/>
    </row>
    <row r="482">
      <c r="A482" s="18"/>
      <c r="B482" s="18"/>
      <c r="C482" s="18"/>
      <c r="D482" s="18"/>
      <c r="E482" s="18"/>
      <c r="F482" s="18"/>
      <c r="G482" s="27"/>
    </row>
    <row r="483">
      <c r="A483" s="18"/>
      <c r="B483" s="18"/>
      <c r="C483" s="18"/>
      <c r="D483" s="18"/>
      <c r="E483" s="18"/>
      <c r="F483" s="18"/>
      <c r="G483" s="27"/>
    </row>
    <row r="484">
      <c r="A484" s="18"/>
      <c r="B484" s="18"/>
      <c r="C484" s="18"/>
      <c r="D484" s="18"/>
      <c r="E484" s="18"/>
      <c r="F484" s="18"/>
      <c r="G484" s="27"/>
    </row>
    <row r="485">
      <c r="A485" s="18"/>
      <c r="B485" s="18"/>
      <c r="C485" s="18"/>
      <c r="D485" s="18"/>
      <c r="E485" s="18"/>
      <c r="F485" s="18"/>
      <c r="G485" s="27"/>
    </row>
    <row r="486">
      <c r="A486" s="18"/>
      <c r="B486" s="18"/>
      <c r="C486" s="18"/>
      <c r="D486" s="18"/>
      <c r="E486" s="18"/>
      <c r="F486" s="18"/>
      <c r="G486" s="27"/>
    </row>
    <row r="487">
      <c r="A487" s="18"/>
      <c r="B487" s="18"/>
      <c r="C487" s="18"/>
      <c r="D487" s="18"/>
      <c r="E487" s="18"/>
      <c r="F487" s="18"/>
      <c r="G487" s="27"/>
    </row>
    <row r="488">
      <c r="A488" s="18"/>
      <c r="B488" s="18"/>
      <c r="C488" s="18"/>
      <c r="D488" s="18"/>
      <c r="E488" s="18"/>
      <c r="F488" s="18"/>
      <c r="G488" s="27"/>
    </row>
    <row r="489">
      <c r="A489" s="18"/>
      <c r="B489" s="18"/>
      <c r="C489" s="18"/>
      <c r="D489" s="18"/>
      <c r="E489" s="18"/>
      <c r="F489" s="18"/>
      <c r="G489" s="27"/>
    </row>
    <row r="490">
      <c r="A490" s="18"/>
      <c r="B490" s="18"/>
      <c r="C490" s="18"/>
      <c r="D490" s="18"/>
      <c r="E490" s="18"/>
      <c r="F490" s="18"/>
      <c r="G490" s="27"/>
    </row>
    <row r="491">
      <c r="A491" s="18"/>
      <c r="B491" s="18"/>
      <c r="C491" s="18"/>
      <c r="D491" s="18"/>
      <c r="E491" s="18"/>
      <c r="F491" s="18"/>
      <c r="G491" s="27"/>
    </row>
    <row r="492">
      <c r="A492" s="18"/>
      <c r="B492" s="18"/>
      <c r="C492" s="18"/>
      <c r="D492" s="18"/>
      <c r="E492" s="18"/>
      <c r="F492" s="18"/>
      <c r="G492" s="27"/>
    </row>
    <row r="493">
      <c r="A493" s="18"/>
      <c r="B493" s="18"/>
      <c r="C493" s="18"/>
      <c r="D493" s="18"/>
      <c r="E493" s="18"/>
      <c r="F493" s="18"/>
      <c r="G493" s="27"/>
    </row>
    <row r="494">
      <c r="A494" s="18"/>
      <c r="B494" s="18"/>
      <c r="C494" s="18"/>
      <c r="D494" s="18"/>
      <c r="E494" s="18"/>
      <c r="F494" s="18"/>
      <c r="G494" s="27"/>
    </row>
    <row r="495">
      <c r="A495" s="18"/>
      <c r="B495" s="18"/>
      <c r="C495" s="18"/>
      <c r="D495" s="18"/>
      <c r="E495" s="18"/>
      <c r="F495" s="18"/>
      <c r="G495" s="27"/>
    </row>
    <row r="496">
      <c r="A496" s="18"/>
      <c r="B496" s="18"/>
      <c r="C496" s="18"/>
      <c r="D496" s="18"/>
      <c r="E496" s="18"/>
      <c r="F496" s="18"/>
      <c r="G496" s="27"/>
    </row>
    <row r="497">
      <c r="A497" s="18"/>
      <c r="B497" s="18"/>
      <c r="C497" s="18"/>
      <c r="D497" s="18"/>
      <c r="E497" s="18"/>
      <c r="F497" s="18"/>
      <c r="G497" s="27"/>
    </row>
    <row r="498">
      <c r="A498" s="18"/>
      <c r="B498" s="18"/>
      <c r="C498" s="18"/>
      <c r="D498" s="18"/>
      <c r="E498" s="18"/>
      <c r="F498" s="18"/>
      <c r="G498" s="27"/>
    </row>
    <row r="499">
      <c r="A499" s="18"/>
      <c r="B499" s="18"/>
      <c r="C499" s="18"/>
      <c r="D499" s="18"/>
      <c r="E499" s="18"/>
      <c r="F499" s="18"/>
      <c r="G499" s="27"/>
    </row>
    <row r="500">
      <c r="A500" s="18"/>
      <c r="B500" s="18"/>
      <c r="C500" s="18"/>
      <c r="D500" s="18"/>
      <c r="E500" s="18"/>
      <c r="F500" s="18"/>
      <c r="G500" s="27"/>
    </row>
    <row r="501">
      <c r="A501" s="18"/>
      <c r="B501" s="18"/>
      <c r="C501" s="18"/>
      <c r="D501" s="18"/>
      <c r="E501" s="18"/>
      <c r="F501" s="18"/>
      <c r="G501" s="27"/>
    </row>
    <row r="502">
      <c r="A502" s="18"/>
      <c r="B502" s="18"/>
      <c r="C502" s="18"/>
      <c r="D502" s="18"/>
      <c r="E502" s="18"/>
      <c r="F502" s="18"/>
      <c r="G502" s="27"/>
    </row>
    <row r="503">
      <c r="A503" s="18"/>
      <c r="B503" s="18"/>
      <c r="C503" s="18"/>
      <c r="D503" s="18"/>
      <c r="E503" s="18"/>
      <c r="F503" s="18"/>
      <c r="G503" s="27"/>
    </row>
    <row r="504">
      <c r="A504" s="18"/>
      <c r="B504" s="18"/>
      <c r="C504" s="18"/>
      <c r="D504" s="18"/>
      <c r="E504" s="18"/>
      <c r="F504" s="18"/>
      <c r="G504" s="27"/>
    </row>
    <row r="505">
      <c r="A505" s="18"/>
      <c r="B505" s="18"/>
      <c r="C505" s="18"/>
      <c r="D505" s="18"/>
      <c r="E505" s="18"/>
      <c r="F505" s="18"/>
      <c r="G505" s="27"/>
    </row>
    <row r="506">
      <c r="A506" s="18"/>
      <c r="B506" s="18"/>
      <c r="C506" s="18"/>
      <c r="D506" s="18"/>
      <c r="E506" s="18"/>
      <c r="F506" s="18"/>
      <c r="G506" s="27"/>
    </row>
    <row r="507">
      <c r="A507" s="18"/>
      <c r="B507" s="18"/>
      <c r="C507" s="18"/>
      <c r="D507" s="18"/>
      <c r="E507" s="18"/>
      <c r="F507" s="18"/>
      <c r="G507" s="27"/>
    </row>
    <row r="508">
      <c r="A508" s="18"/>
      <c r="B508" s="18"/>
      <c r="C508" s="18"/>
      <c r="D508" s="18"/>
      <c r="E508" s="18"/>
      <c r="F508" s="18"/>
      <c r="G508" s="27"/>
    </row>
    <row r="509">
      <c r="A509" s="18"/>
      <c r="B509" s="18"/>
      <c r="C509" s="18"/>
      <c r="D509" s="18"/>
      <c r="E509" s="18"/>
      <c r="F509" s="18"/>
      <c r="G509" s="27"/>
    </row>
    <row r="510">
      <c r="A510" s="18"/>
      <c r="B510" s="18"/>
      <c r="C510" s="18"/>
      <c r="D510" s="18"/>
      <c r="E510" s="18"/>
      <c r="F510" s="18"/>
      <c r="G510" s="27"/>
    </row>
    <row r="511">
      <c r="A511" s="18"/>
      <c r="B511" s="18"/>
      <c r="C511" s="18"/>
      <c r="D511" s="18"/>
      <c r="E511" s="18"/>
      <c r="F511" s="18"/>
      <c r="G511" s="27"/>
    </row>
    <row r="512">
      <c r="A512" s="18"/>
      <c r="B512" s="18"/>
      <c r="C512" s="18"/>
      <c r="D512" s="18"/>
      <c r="E512" s="18"/>
      <c r="F512" s="18"/>
      <c r="G512" s="27"/>
    </row>
    <row r="513">
      <c r="A513" s="18"/>
      <c r="B513" s="18"/>
      <c r="C513" s="18"/>
      <c r="D513" s="18"/>
      <c r="E513" s="18"/>
      <c r="F513" s="18"/>
      <c r="G513" s="27"/>
    </row>
    <row r="514">
      <c r="A514" s="18"/>
      <c r="B514" s="18"/>
      <c r="C514" s="18"/>
      <c r="D514" s="18"/>
      <c r="E514" s="18"/>
      <c r="F514" s="18"/>
      <c r="G514" s="27"/>
    </row>
    <row r="515">
      <c r="A515" s="18"/>
      <c r="B515" s="18"/>
      <c r="C515" s="18"/>
      <c r="D515" s="18"/>
      <c r="E515" s="18"/>
      <c r="F515" s="18"/>
      <c r="G515" s="27"/>
    </row>
    <row r="516">
      <c r="A516" s="18"/>
      <c r="B516" s="18"/>
      <c r="C516" s="18"/>
      <c r="D516" s="18"/>
      <c r="E516" s="18"/>
      <c r="F516" s="18"/>
      <c r="G516" s="27"/>
    </row>
    <row r="517">
      <c r="A517" s="18"/>
      <c r="B517" s="18"/>
      <c r="C517" s="18"/>
      <c r="D517" s="18"/>
      <c r="E517" s="18"/>
      <c r="F517" s="18"/>
      <c r="G517" s="27"/>
    </row>
    <row r="518">
      <c r="A518" s="18"/>
      <c r="B518" s="18"/>
      <c r="C518" s="18"/>
      <c r="D518" s="18"/>
      <c r="E518" s="18"/>
      <c r="F518" s="18"/>
      <c r="G518" s="27"/>
    </row>
    <row r="519">
      <c r="A519" s="18"/>
      <c r="B519" s="18"/>
      <c r="C519" s="18"/>
      <c r="D519" s="18"/>
      <c r="E519" s="18"/>
      <c r="F519" s="18"/>
      <c r="G519" s="27"/>
    </row>
    <row r="520">
      <c r="A520" s="18"/>
      <c r="B520" s="18"/>
      <c r="C520" s="18"/>
      <c r="D520" s="18"/>
      <c r="E520" s="18"/>
      <c r="F520" s="18"/>
      <c r="G520" s="27"/>
    </row>
    <row r="521">
      <c r="A521" s="18"/>
      <c r="B521" s="18"/>
      <c r="C521" s="18"/>
      <c r="D521" s="18"/>
      <c r="E521" s="18"/>
      <c r="F521" s="18"/>
      <c r="G521" s="27"/>
    </row>
    <row r="522">
      <c r="A522" s="18"/>
      <c r="B522" s="18"/>
      <c r="C522" s="18"/>
      <c r="D522" s="18"/>
      <c r="E522" s="18"/>
      <c r="F522" s="18"/>
      <c r="G522" s="27"/>
    </row>
    <row r="523">
      <c r="A523" s="18"/>
      <c r="B523" s="18"/>
      <c r="C523" s="18"/>
      <c r="D523" s="18"/>
      <c r="E523" s="18"/>
      <c r="F523" s="18"/>
      <c r="G523" s="27"/>
    </row>
    <row r="524">
      <c r="A524" s="18"/>
      <c r="B524" s="18"/>
      <c r="C524" s="18"/>
      <c r="D524" s="18"/>
      <c r="E524" s="18"/>
      <c r="F524" s="18"/>
      <c r="G524" s="27"/>
    </row>
    <row r="525">
      <c r="A525" s="18"/>
      <c r="B525" s="18"/>
      <c r="C525" s="18"/>
      <c r="D525" s="18"/>
      <c r="E525" s="18"/>
      <c r="F525" s="18"/>
      <c r="G525" s="27"/>
    </row>
    <row r="526">
      <c r="A526" s="18"/>
      <c r="B526" s="18"/>
      <c r="C526" s="18"/>
      <c r="D526" s="18"/>
      <c r="E526" s="18"/>
      <c r="F526" s="18"/>
      <c r="G526" s="27"/>
    </row>
    <row r="527">
      <c r="A527" s="18"/>
      <c r="B527" s="18"/>
      <c r="C527" s="18"/>
      <c r="D527" s="18"/>
      <c r="E527" s="18"/>
      <c r="F527" s="18"/>
      <c r="G527" s="27"/>
    </row>
    <row r="528">
      <c r="A528" s="18"/>
      <c r="B528" s="18"/>
      <c r="C528" s="18"/>
      <c r="D528" s="18"/>
      <c r="E528" s="18"/>
      <c r="F528" s="18"/>
      <c r="G528" s="27"/>
    </row>
    <row r="529">
      <c r="A529" s="18"/>
      <c r="B529" s="18"/>
      <c r="C529" s="18"/>
      <c r="D529" s="18"/>
      <c r="E529" s="18"/>
      <c r="F529" s="18"/>
      <c r="G529" s="27"/>
    </row>
    <row r="530">
      <c r="A530" s="18"/>
      <c r="B530" s="18"/>
      <c r="C530" s="18"/>
      <c r="D530" s="18"/>
      <c r="E530" s="18"/>
      <c r="F530" s="18"/>
      <c r="G530" s="27"/>
    </row>
    <row r="531">
      <c r="A531" s="18"/>
      <c r="B531" s="18"/>
      <c r="C531" s="18"/>
      <c r="D531" s="18"/>
      <c r="E531" s="18"/>
      <c r="F531" s="18"/>
      <c r="G531" s="27"/>
    </row>
    <row r="532">
      <c r="A532" s="18"/>
      <c r="B532" s="18"/>
      <c r="C532" s="18"/>
      <c r="D532" s="18"/>
      <c r="E532" s="18"/>
      <c r="F532" s="18"/>
      <c r="G532" s="27"/>
    </row>
    <row r="533">
      <c r="A533" s="18"/>
      <c r="B533" s="18"/>
      <c r="C533" s="18"/>
      <c r="D533" s="18"/>
      <c r="E533" s="18"/>
      <c r="F533" s="18"/>
      <c r="G533" s="27"/>
    </row>
    <row r="534">
      <c r="A534" s="18"/>
      <c r="B534" s="18"/>
      <c r="C534" s="18"/>
      <c r="D534" s="18"/>
      <c r="E534" s="18"/>
      <c r="F534" s="18"/>
      <c r="G534" s="27"/>
    </row>
    <row r="535">
      <c r="A535" s="18"/>
      <c r="B535" s="18"/>
      <c r="C535" s="18"/>
      <c r="D535" s="18"/>
      <c r="E535" s="18"/>
      <c r="F535" s="18"/>
      <c r="G535" s="27"/>
    </row>
    <row r="536">
      <c r="A536" s="18"/>
      <c r="B536" s="18"/>
      <c r="C536" s="18"/>
      <c r="D536" s="18"/>
      <c r="E536" s="18"/>
      <c r="F536" s="18"/>
      <c r="G536" s="27"/>
    </row>
    <row r="537">
      <c r="A537" s="18"/>
      <c r="B537" s="18"/>
      <c r="C537" s="18"/>
      <c r="D537" s="18"/>
      <c r="E537" s="18"/>
      <c r="F537" s="18"/>
      <c r="G537" s="27"/>
    </row>
    <row r="538">
      <c r="A538" s="18"/>
      <c r="B538" s="18"/>
      <c r="C538" s="18"/>
      <c r="D538" s="18"/>
      <c r="E538" s="18"/>
      <c r="F538" s="18"/>
      <c r="G538" s="27"/>
    </row>
    <row r="539">
      <c r="A539" s="18"/>
      <c r="B539" s="18"/>
      <c r="C539" s="18"/>
      <c r="D539" s="18"/>
      <c r="E539" s="18"/>
      <c r="F539" s="18"/>
      <c r="G539" s="27"/>
    </row>
    <row r="540">
      <c r="A540" s="18"/>
      <c r="B540" s="18"/>
      <c r="C540" s="18"/>
      <c r="D540" s="18"/>
      <c r="E540" s="18"/>
      <c r="F540" s="18"/>
      <c r="G540" s="27"/>
    </row>
    <row r="541">
      <c r="A541" s="18"/>
      <c r="B541" s="18"/>
      <c r="C541" s="18"/>
      <c r="D541" s="18"/>
      <c r="E541" s="18"/>
      <c r="F541" s="18"/>
      <c r="G541" s="27"/>
    </row>
    <row r="542">
      <c r="A542" s="18"/>
      <c r="B542" s="18"/>
      <c r="C542" s="18"/>
      <c r="D542" s="18"/>
      <c r="E542" s="18"/>
      <c r="F542" s="18"/>
      <c r="G542" s="27"/>
    </row>
    <row r="543">
      <c r="A543" s="18"/>
      <c r="B543" s="18"/>
      <c r="C543" s="18"/>
      <c r="D543" s="18"/>
      <c r="E543" s="18"/>
      <c r="F543" s="18"/>
      <c r="G543" s="27"/>
    </row>
    <row r="544">
      <c r="A544" s="18"/>
      <c r="B544" s="18"/>
      <c r="C544" s="18"/>
      <c r="D544" s="18"/>
      <c r="E544" s="18"/>
      <c r="F544" s="18"/>
      <c r="G544" s="27"/>
    </row>
    <row r="545">
      <c r="A545" s="18"/>
      <c r="B545" s="18"/>
      <c r="C545" s="18"/>
      <c r="D545" s="18"/>
      <c r="E545" s="18"/>
      <c r="F545" s="18"/>
      <c r="G545" s="27"/>
    </row>
    <row r="546">
      <c r="A546" s="18"/>
      <c r="B546" s="18"/>
      <c r="C546" s="18"/>
      <c r="D546" s="18"/>
      <c r="E546" s="18"/>
      <c r="F546" s="18"/>
      <c r="G546" s="27"/>
    </row>
    <row r="547">
      <c r="A547" s="18"/>
      <c r="B547" s="18"/>
      <c r="C547" s="18"/>
      <c r="D547" s="18"/>
      <c r="E547" s="18"/>
      <c r="F547" s="18"/>
      <c r="G547" s="27"/>
    </row>
    <row r="548">
      <c r="A548" s="18"/>
      <c r="B548" s="18"/>
      <c r="C548" s="18"/>
      <c r="D548" s="18"/>
      <c r="E548" s="18"/>
      <c r="F548" s="18"/>
      <c r="G548" s="27"/>
    </row>
    <row r="549">
      <c r="A549" s="18"/>
      <c r="B549" s="18"/>
      <c r="C549" s="18"/>
      <c r="D549" s="18"/>
      <c r="E549" s="18"/>
      <c r="F549" s="18"/>
      <c r="G549" s="27"/>
    </row>
    <row r="550">
      <c r="A550" s="18"/>
      <c r="B550" s="18"/>
      <c r="C550" s="18"/>
      <c r="D550" s="18"/>
      <c r="E550" s="18"/>
      <c r="F550" s="18"/>
      <c r="G550" s="27"/>
    </row>
    <row r="551">
      <c r="A551" s="18"/>
      <c r="B551" s="18"/>
      <c r="C551" s="18"/>
      <c r="D551" s="18"/>
      <c r="E551" s="18"/>
      <c r="F551" s="18"/>
      <c r="G551" s="27"/>
    </row>
    <row r="552">
      <c r="A552" s="18"/>
      <c r="B552" s="18"/>
      <c r="C552" s="18"/>
      <c r="D552" s="18"/>
      <c r="E552" s="18"/>
      <c r="F552" s="18"/>
      <c r="G552" s="27"/>
    </row>
    <row r="553">
      <c r="A553" s="18"/>
      <c r="B553" s="18"/>
      <c r="C553" s="18"/>
      <c r="D553" s="18"/>
      <c r="E553" s="18"/>
      <c r="F553" s="18"/>
      <c r="G553" s="27"/>
    </row>
    <row r="554">
      <c r="A554" s="18"/>
      <c r="B554" s="18"/>
      <c r="C554" s="18"/>
      <c r="D554" s="18"/>
      <c r="E554" s="18"/>
      <c r="F554" s="18"/>
      <c r="G554" s="27"/>
    </row>
    <row r="555">
      <c r="A555" s="18"/>
      <c r="B555" s="18"/>
      <c r="C555" s="18"/>
      <c r="D555" s="18"/>
      <c r="E555" s="18"/>
      <c r="F555" s="18"/>
      <c r="G555" s="27"/>
    </row>
    <row r="556">
      <c r="A556" s="18"/>
      <c r="B556" s="18"/>
      <c r="C556" s="18"/>
      <c r="D556" s="18"/>
      <c r="E556" s="18"/>
      <c r="F556" s="18"/>
      <c r="G556" s="27"/>
    </row>
    <row r="557">
      <c r="A557" s="18"/>
      <c r="B557" s="18"/>
      <c r="C557" s="18"/>
      <c r="D557" s="18"/>
      <c r="E557" s="18"/>
      <c r="F557" s="18"/>
      <c r="G557" s="27"/>
    </row>
    <row r="558">
      <c r="A558" s="18"/>
      <c r="B558" s="18"/>
      <c r="C558" s="18"/>
      <c r="D558" s="18"/>
      <c r="E558" s="18"/>
      <c r="F558" s="18"/>
      <c r="G558" s="27"/>
    </row>
    <row r="559">
      <c r="A559" s="18"/>
      <c r="B559" s="18"/>
      <c r="C559" s="18"/>
      <c r="D559" s="18"/>
      <c r="E559" s="18"/>
      <c r="F559" s="18"/>
      <c r="G559" s="27"/>
    </row>
    <row r="560">
      <c r="A560" s="18"/>
      <c r="B560" s="18"/>
      <c r="C560" s="18"/>
      <c r="D560" s="18"/>
      <c r="E560" s="18"/>
      <c r="F560" s="18"/>
      <c r="G560" s="27"/>
    </row>
    <row r="561">
      <c r="A561" s="18"/>
      <c r="B561" s="18"/>
      <c r="C561" s="18"/>
      <c r="D561" s="18"/>
      <c r="E561" s="18"/>
      <c r="F561" s="18"/>
      <c r="G561" s="27"/>
    </row>
    <row r="562">
      <c r="A562" s="18"/>
      <c r="B562" s="18"/>
      <c r="C562" s="18"/>
      <c r="D562" s="18"/>
      <c r="E562" s="18"/>
      <c r="F562" s="18"/>
      <c r="G562" s="27"/>
    </row>
    <row r="563">
      <c r="A563" s="18"/>
      <c r="B563" s="18"/>
      <c r="C563" s="18"/>
      <c r="D563" s="18"/>
      <c r="E563" s="18"/>
      <c r="F563" s="18"/>
      <c r="G563" s="27"/>
    </row>
    <row r="564">
      <c r="A564" s="18"/>
      <c r="B564" s="18"/>
      <c r="C564" s="18"/>
      <c r="D564" s="18"/>
      <c r="E564" s="18"/>
      <c r="F564" s="18"/>
      <c r="G564" s="27"/>
    </row>
    <row r="565">
      <c r="A565" s="18"/>
      <c r="B565" s="18"/>
      <c r="C565" s="18"/>
      <c r="D565" s="18"/>
      <c r="E565" s="18"/>
      <c r="F565" s="18"/>
      <c r="G565" s="27"/>
    </row>
    <row r="566">
      <c r="A566" s="18"/>
      <c r="B566" s="18"/>
      <c r="C566" s="18"/>
      <c r="D566" s="18"/>
      <c r="E566" s="18"/>
      <c r="F566" s="18"/>
      <c r="G566" s="27"/>
    </row>
    <row r="567">
      <c r="A567" s="18"/>
      <c r="B567" s="18"/>
      <c r="C567" s="18"/>
      <c r="D567" s="18"/>
      <c r="E567" s="18"/>
      <c r="F567" s="18"/>
      <c r="G567" s="27"/>
    </row>
    <row r="568">
      <c r="A568" s="18"/>
      <c r="B568" s="18"/>
      <c r="C568" s="18"/>
      <c r="D568" s="18"/>
      <c r="E568" s="18"/>
      <c r="F568" s="18"/>
      <c r="G568" s="27"/>
    </row>
    <row r="569">
      <c r="A569" s="18"/>
      <c r="B569" s="18"/>
      <c r="C569" s="18"/>
      <c r="D569" s="18"/>
      <c r="E569" s="18"/>
      <c r="F569" s="18"/>
      <c r="G569" s="27"/>
    </row>
    <row r="570">
      <c r="A570" s="18"/>
      <c r="B570" s="18"/>
      <c r="C570" s="18"/>
      <c r="D570" s="18"/>
      <c r="E570" s="18"/>
      <c r="F570" s="18"/>
      <c r="G570" s="27"/>
    </row>
    <row r="571">
      <c r="A571" s="18"/>
      <c r="B571" s="18"/>
      <c r="C571" s="18"/>
      <c r="D571" s="18"/>
      <c r="E571" s="18"/>
      <c r="F571" s="18"/>
      <c r="G571" s="27"/>
    </row>
    <row r="572">
      <c r="A572" s="18"/>
      <c r="B572" s="18"/>
      <c r="C572" s="18"/>
      <c r="D572" s="18"/>
      <c r="E572" s="18"/>
      <c r="F572" s="18"/>
      <c r="G572" s="27"/>
    </row>
    <row r="573">
      <c r="A573" s="18"/>
      <c r="B573" s="18"/>
      <c r="C573" s="18"/>
      <c r="D573" s="18"/>
      <c r="E573" s="18"/>
      <c r="F573" s="18"/>
      <c r="G573" s="27"/>
    </row>
    <row r="574">
      <c r="A574" s="18"/>
      <c r="B574" s="18"/>
      <c r="C574" s="18"/>
      <c r="D574" s="18"/>
      <c r="E574" s="18"/>
      <c r="F574" s="18"/>
      <c r="G574" s="27"/>
    </row>
    <row r="575">
      <c r="A575" s="18"/>
      <c r="B575" s="18"/>
      <c r="C575" s="18"/>
      <c r="D575" s="18"/>
      <c r="E575" s="18"/>
      <c r="F575" s="18"/>
      <c r="G575" s="27"/>
    </row>
    <row r="576">
      <c r="A576" s="18"/>
      <c r="B576" s="18"/>
      <c r="C576" s="18"/>
      <c r="D576" s="18"/>
      <c r="E576" s="18"/>
      <c r="F576" s="18"/>
      <c r="G576" s="27"/>
    </row>
    <row r="577">
      <c r="A577" s="18"/>
      <c r="B577" s="18"/>
      <c r="C577" s="18"/>
      <c r="D577" s="18"/>
      <c r="E577" s="18"/>
      <c r="F577" s="18"/>
      <c r="G577" s="27"/>
    </row>
    <row r="578">
      <c r="A578" s="18"/>
      <c r="B578" s="18"/>
      <c r="C578" s="18"/>
      <c r="D578" s="18"/>
      <c r="E578" s="18"/>
      <c r="F578" s="18"/>
      <c r="G578" s="27"/>
    </row>
    <row r="579">
      <c r="A579" s="18"/>
      <c r="B579" s="18"/>
      <c r="C579" s="18"/>
      <c r="D579" s="18"/>
      <c r="E579" s="18"/>
      <c r="F579" s="18"/>
      <c r="G579" s="27"/>
    </row>
    <row r="580">
      <c r="A580" s="18"/>
      <c r="B580" s="18"/>
      <c r="C580" s="18"/>
      <c r="D580" s="18"/>
      <c r="E580" s="18"/>
      <c r="F580" s="18"/>
      <c r="G580" s="27"/>
    </row>
    <row r="581">
      <c r="A581" s="18"/>
      <c r="B581" s="18"/>
      <c r="C581" s="18"/>
      <c r="D581" s="18"/>
      <c r="E581" s="18"/>
      <c r="F581" s="18"/>
      <c r="G581" s="27"/>
    </row>
    <row r="582">
      <c r="A582" s="18"/>
      <c r="B582" s="18"/>
      <c r="C582" s="18"/>
      <c r="D582" s="18"/>
      <c r="E582" s="18"/>
      <c r="F582" s="18"/>
      <c r="G582" s="27"/>
    </row>
    <row r="583">
      <c r="A583" s="18"/>
      <c r="B583" s="18"/>
      <c r="C583" s="18"/>
      <c r="D583" s="18"/>
      <c r="E583" s="18"/>
      <c r="F583" s="18"/>
      <c r="G583" s="27"/>
    </row>
    <row r="584">
      <c r="A584" s="18"/>
      <c r="B584" s="18"/>
      <c r="C584" s="18"/>
      <c r="D584" s="18"/>
      <c r="E584" s="18"/>
      <c r="F584" s="18"/>
      <c r="G584" s="27"/>
    </row>
    <row r="585">
      <c r="A585" s="18"/>
      <c r="B585" s="18"/>
      <c r="C585" s="18"/>
      <c r="D585" s="18"/>
      <c r="E585" s="18"/>
      <c r="F585" s="18"/>
      <c r="G585" s="27"/>
    </row>
    <row r="586">
      <c r="A586" s="18"/>
      <c r="B586" s="18"/>
      <c r="C586" s="18"/>
      <c r="D586" s="18"/>
      <c r="E586" s="18"/>
      <c r="F586" s="18"/>
      <c r="G586" s="27"/>
    </row>
    <row r="587">
      <c r="A587" s="18"/>
      <c r="B587" s="18"/>
      <c r="C587" s="18"/>
      <c r="D587" s="18"/>
      <c r="E587" s="18"/>
      <c r="F587" s="18"/>
      <c r="G587" s="27"/>
    </row>
    <row r="588">
      <c r="A588" s="18"/>
      <c r="B588" s="18"/>
      <c r="C588" s="18"/>
      <c r="D588" s="18"/>
      <c r="E588" s="18"/>
      <c r="F588" s="18"/>
      <c r="G588" s="27"/>
    </row>
    <row r="589">
      <c r="A589" s="18"/>
      <c r="B589" s="18"/>
      <c r="C589" s="18"/>
      <c r="D589" s="18"/>
      <c r="E589" s="18"/>
      <c r="F589" s="18"/>
      <c r="G589" s="27"/>
    </row>
    <row r="590">
      <c r="A590" s="18"/>
      <c r="B590" s="18"/>
      <c r="C590" s="18"/>
      <c r="D590" s="18"/>
      <c r="E590" s="18"/>
      <c r="F590" s="18"/>
      <c r="G590" s="27"/>
    </row>
    <row r="591">
      <c r="A591" s="18"/>
      <c r="B591" s="18"/>
      <c r="C591" s="18"/>
      <c r="D591" s="18"/>
      <c r="E591" s="18"/>
      <c r="F591" s="18"/>
      <c r="G591" s="27"/>
    </row>
    <row r="592">
      <c r="A592" s="18"/>
      <c r="B592" s="18"/>
      <c r="C592" s="18"/>
      <c r="D592" s="18"/>
      <c r="E592" s="18"/>
      <c r="F592" s="18"/>
      <c r="G592" s="27"/>
    </row>
    <row r="593">
      <c r="A593" s="18"/>
      <c r="B593" s="18"/>
      <c r="C593" s="18"/>
      <c r="D593" s="18"/>
      <c r="E593" s="18"/>
      <c r="F593" s="18"/>
      <c r="G593" s="27"/>
    </row>
    <row r="594">
      <c r="A594" s="18"/>
      <c r="B594" s="18"/>
      <c r="C594" s="18"/>
      <c r="D594" s="18"/>
      <c r="E594" s="18"/>
      <c r="F594" s="18"/>
      <c r="G594" s="27"/>
    </row>
    <row r="595">
      <c r="A595" s="18"/>
      <c r="B595" s="18"/>
      <c r="C595" s="18"/>
      <c r="D595" s="18"/>
      <c r="E595" s="18"/>
      <c r="F595" s="18"/>
      <c r="G595" s="27"/>
    </row>
    <row r="596">
      <c r="A596" s="18"/>
      <c r="B596" s="18"/>
      <c r="C596" s="18"/>
      <c r="D596" s="18"/>
      <c r="E596" s="18"/>
      <c r="F596" s="18"/>
      <c r="G596" s="27"/>
    </row>
    <row r="597">
      <c r="A597" s="18"/>
      <c r="B597" s="18"/>
      <c r="C597" s="18"/>
      <c r="D597" s="18"/>
      <c r="E597" s="18"/>
      <c r="F597" s="18"/>
      <c r="G597" s="27"/>
    </row>
    <row r="598">
      <c r="A598" s="18"/>
      <c r="B598" s="18"/>
      <c r="C598" s="18"/>
      <c r="D598" s="18"/>
      <c r="E598" s="18"/>
      <c r="F598" s="18"/>
      <c r="G598" s="27"/>
    </row>
    <row r="599">
      <c r="A599" s="18"/>
      <c r="B599" s="18"/>
      <c r="C599" s="18"/>
      <c r="D599" s="18"/>
      <c r="E599" s="18"/>
      <c r="F599" s="18"/>
      <c r="G599" s="27"/>
    </row>
    <row r="600">
      <c r="A600" s="18"/>
      <c r="B600" s="18"/>
      <c r="C600" s="18"/>
      <c r="D600" s="18"/>
      <c r="E600" s="18"/>
      <c r="F600" s="18"/>
      <c r="G600" s="27"/>
    </row>
    <row r="601">
      <c r="A601" s="18"/>
      <c r="B601" s="18"/>
      <c r="C601" s="18"/>
      <c r="D601" s="18"/>
      <c r="E601" s="18"/>
      <c r="F601" s="18"/>
      <c r="G601" s="27"/>
    </row>
    <row r="602">
      <c r="A602" s="18"/>
      <c r="B602" s="18"/>
      <c r="C602" s="18"/>
      <c r="D602" s="18"/>
      <c r="E602" s="18"/>
      <c r="F602" s="18"/>
      <c r="G602" s="27"/>
    </row>
    <row r="603">
      <c r="A603" s="18"/>
      <c r="B603" s="18"/>
      <c r="C603" s="18"/>
      <c r="D603" s="18"/>
      <c r="E603" s="18"/>
      <c r="F603" s="18"/>
      <c r="G603" s="27"/>
    </row>
    <row r="604">
      <c r="A604" s="18"/>
      <c r="B604" s="18"/>
      <c r="C604" s="18"/>
      <c r="D604" s="18"/>
      <c r="E604" s="18"/>
      <c r="F604" s="18"/>
      <c r="G604" s="27"/>
    </row>
    <row r="605">
      <c r="A605" s="18"/>
      <c r="B605" s="18"/>
      <c r="C605" s="18"/>
      <c r="D605" s="18"/>
      <c r="E605" s="18"/>
      <c r="F605" s="18"/>
      <c r="G605" s="27"/>
    </row>
    <row r="606">
      <c r="A606" s="18"/>
      <c r="B606" s="18"/>
      <c r="C606" s="18"/>
      <c r="D606" s="18"/>
      <c r="E606" s="18"/>
      <c r="F606" s="18"/>
      <c r="G606" s="27"/>
    </row>
    <row r="607">
      <c r="A607" s="18"/>
      <c r="B607" s="18"/>
      <c r="C607" s="18"/>
      <c r="D607" s="18"/>
      <c r="E607" s="18"/>
      <c r="F607" s="18"/>
      <c r="G607" s="27"/>
    </row>
    <row r="608">
      <c r="A608" s="18"/>
      <c r="B608" s="18"/>
      <c r="C608" s="18"/>
      <c r="D608" s="18"/>
      <c r="E608" s="18"/>
      <c r="F608" s="18"/>
      <c r="G608" s="27"/>
    </row>
    <row r="609">
      <c r="A609" s="18"/>
      <c r="B609" s="18"/>
      <c r="C609" s="18"/>
      <c r="D609" s="18"/>
      <c r="E609" s="18"/>
      <c r="F609" s="18"/>
      <c r="G609" s="27"/>
    </row>
    <row r="610">
      <c r="A610" s="18"/>
      <c r="B610" s="18"/>
      <c r="C610" s="18"/>
      <c r="D610" s="18"/>
      <c r="E610" s="18"/>
      <c r="F610" s="18"/>
      <c r="G610" s="27"/>
    </row>
    <row r="611">
      <c r="A611" s="18"/>
      <c r="B611" s="18"/>
      <c r="C611" s="18"/>
      <c r="D611" s="18"/>
      <c r="E611" s="18"/>
      <c r="F611" s="18"/>
      <c r="G611" s="27"/>
    </row>
    <row r="612">
      <c r="A612" s="18"/>
      <c r="B612" s="18"/>
      <c r="C612" s="18"/>
      <c r="D612" s="18"/>
      <c r="E612" s="18"/>
      <c r="F612" s="18"/>
      <c r="G612" s="27"/>
    </row>
    <row r="613">
      <c r="A613" s="18"/>
      <c r="B613" s="18"/>
      <c r="C613" s="18"/>
      <c r="D613" s="18"/>
      <c r="E613" s="18"/>
      <c r="F613" s="18"/>
      <c r="G613" s="27"/>
    </row>
    <row r="614">
      <c r="A614" s="18"/>
      <c r="B614" s="18"/>
      <c r="C614" s="18"/>
      <c r="D614" s="18"/>
      <c r="E614" s="18"/>
      <c r="F614" s="18"/>
      <c r="G614" s="27"/>
    </row>
    <row r="615">
      <c r="A615" s="18"/>
      <c r="B615" s="18"/>
      <c r="C615" s="18"/>
      <c r="D615" s="18"/>
      <c r="E615" s="18"/>
      <c r="F615" s="18"/>
      <c r="G615" s="27"/>
    </row>
    <row r="616">
      <c r="A616" s="18"/>
      <c r="B616" s="18"/>
      <c r="C616" s="18"/>
      <c r="D616" s="18"/>
      <c r="E616" s="18"/>
      <c r="F616" s="18"/>
      <c r="G616" s="27"/>
    </row>
    <row r="617">
      <c r="A617" s="18"/>
      <c r="B617" s="18"/>
      <c r="C617" s="18"/>
      <c r="D617" s="18"/>
      <c r="E617" s="18"/>
      <c r="F617" s="18"/>
      <c r="G617" s="27"/>
    </row>
    <row r="618">
      <c r="A618" s="18"/>
      <c r="B618" s="18"/>
      <c r="C618" s="18"/>
      <c r="D618" s="18"/>
      <c r="E618" s="18"/>
      <c r="F618" s="18"/>
      <c r="G618" s="27"/>
    </row>
    <row r="619">
      <c r="A619" s="18"/>
      <c r="B619" s="18"/>
      <c r="C619" s="18"/>
      <c r="D619" s="18"/>
      <c r="E619" s="18"/>
      <c r="F619" s="18"/>
      <c r="G619" s="27"/>
    </row>
    <row r="620">
      <c r="A620" s="18"/>
      <c r="B620" s="18"/>
      <c r="C620" s="18"/>
      <c r="D620" s="18"/>
      <c r="E620" s="18"/>
      <c r="F620" s="18"/>
      <c r="G620" s="27"/>
    </row>
    <row r="621">
      <c r="A621" s="18"/>
      <c r="B621" s="18"/>
      <c r="C621" s="18"/>
      <c r="D621" s="18"/>
      <c r="E621" s="18"/>
      <c r="F621" s="18"/>
      <c r="G621" s="27"/>
    </row>
    <row r="622">
      <c r="A622" s="18"/>
      <c r="B622" s="18"/>
      <c r="C622" s="18"/>
      <c r="D622" s="18"/>
      <c r="E622" s="18"/>
      <c r="F622" s="18"/>
      <c r="G622" s="27"/>
    </row>
    <row r="623">
      <c r="A623" s="18"/>
      <c r="B623" s="18"/>
      <c r="C623" s="18"/>
      <c r="D623" s="18"/>
      <c r="E623" s="18"/>
      <c r="F623" s="18"/>
      <c r="G623" s="27"/>
    </row>
    <row r="624">
      <c r="A624" s="18"/>
      <c r="B624" s="18"/>
      <c r="C624" s="18"/>
      <c r="D624" s="18"/>
      <c r="E624" s="18"/>
      <c r="F624" s="18"/>
      <c r="G624" s="27"/>
    </row>
    <row r="625">
      <c r="A625" s="18"/>
      <c r="B625" s="18"/>
      <c r="C625" s="18"/>
      <c r="D625" s="18"/>
      <c r="E625" s="18"/>
      <c r="F625" s="18"/>
      <c r="G625" s="27"/>
    </row>
    <row r="626">
      <c r="A626" s="18"/>
      <c r="B626" s="18"/>
      <c r="C626" s="18"/>
      <c r="D626" s="18"/>
      <c r="E626" s="18"/>
      <c r="F626" s="18"/>
      <c r="G626" s="27"/>
    </row>
    <row r="627">
      <c r="A627" s="18"/>
      <c r="B627" s="18"/>
      <c r="C627" s="18"/>
      <c r="D627" s="18"/>
      <c r="E627" s="18"/>
      <c r="F627" s="18"/>
      <c r="G627" s="27"/>
    </row>
    <row r="628">
      <c r="A628" s="18"/>
      <c r="B628" s="18"/>
      <c r="C628" s="18"/>
      <c r="D628" s="18"/>
      <c r="E628" s="18"/>
      <c r="F628" s="18"/>
      <c r="G628" s="27"/>
    </row>
    <row r="629">
      <c r="A629" s="18"/>
      <c r="B629" s="18"/>
      <c r="C629" s="18"/>
      <c r="D629" s="18"/>
      <c r="E629" s="18"/>
      <c r="F629" s="18"/>
      <c r="G629" s="27"/>
    </row>
    <row r="630">
      <c r="A630" s="18"/>
      <c r="B630" s="18"/>
      <c r="C630" s="18"/>
      <c r="D630" s="18"/>
      <c r="E630" s="18"/>
      <c r="F630" s="18"/>
      <c r="G630" s="27"/>
    </row>
    <row r="631">
      <c r="A631" s="18"/>
      <c r="B631" s="18"/>
      <c r="C631" s="18"/>
      <c r="D631" s="18"/>
      <c r="E631" s="18"/>
      <c r="F631" s="18"/>
      <c r="G631" s="27"/>
    </row>
    <row r="632">
      <c r="A632" s="18"/>
      <c r="B632" s="18"/>
      <c r="C632" s="18"/>
      <c r="D632" s="18"/>
      <c r="E632" s="18"/>
      <c r="F632" s="18"/>
      <c r="G632" s="27"/>
    </row>
    <row r="633">
      <c r="A633" s="18"/>
      <c r="B633" s="18"/>
      <c r="C633" s="18"/>
      <c r="D633" s="18"/>
      <c r="E633" s="18"/>
      <c r="F633" s="18"/>
      <c r="G633" s="27"/>
    </row>
    <row r="634">
      <c r="A634" s="18"/>
      <c r="B634" s="18"/>
      <c r="C634" s="18"/>
      <c r="D634" s="18"/>
      <c r="E634" s="18"/>
      <c r="F634" s="18"/>
      <c r="G634" s="27"/>
    </row>
    <row r="635">
      <c r="A635" s="18"/>
      <c r="B635" s="18"/>
      <c r="C635" s="18"/>
      <c r="D635" s="18"/>
      <c r="E635" s="18"/>
      <c r="F635" s="18"/>
      <c r="G635" s="27"/>
    </row>
    <row r="636">
      <c r="A636" s="18"/>
      <c r="B636" s="18"/>
      <c r="C636" s="18"/>
      <c r="D636" s="18"/>
      <c r="E636" s="18"/>
      <c r="F636" s="18"/>
      <c r="G636" s="27"/>
    </row>
    <row r="637">
      <c r="A637" s="18"/>
      <c r="B637" s="18"/>
      <c r="C637" s="18"/>
      <c r="D637" s="18"/>
      <c r="E637" s="18"/>
      <c r="F637" s="18"/>
      <c r="G637" s="27"/>
    </row>
    <row r="638">
      <c r="A638" s="18"/>
      <c r="B638" s="18"/>
      <c r="C638" s="18"/>
      <c r="D638" s="18"/>
      <c r="E638" s="18"/>
      <c r="F638" s="18"/>
      <c r="G638" s="27"/>
    </row>
    <row r="639">
      <c r="A639" s="18"/>
      <c r="B639" s="18"/>
      <c r="C639" s="18"/>
      <c r="D639" s="18"/>
      <c r="E639" s="18"/>
      <c r="F639" s="18"/>
      <c r="G639" s="27"/>
    </row>
    <row r="640">
      <c r="A640" s="18"/>
      <c r="B640" s="18"/>
      <c r="C640" s="18"/>
      <c r="D640" s="18"/>
      <c r="E640" s="18"/>
      <c r="F640" s="18"/>
      <c r="G640" s="27"/>
    </row>
    <row r="641">
      <c r="A641" s="18"/>
      <c r="B641" s="18"/>
      <c r="C641" s="18"/>
      <c r="D641" s="18"/>
      <c r="E641" s="18"/>
      <c r="F641" s="18"/>
      <c r="G641" s="27"/>
    </row>
    <row r="642">
      <c r="A642" s="18"/>
      <c r="B642" s="18"/>
      <c r="C642" s="18"/>
      <c r="D642" s="18"/>
      <c r="E642" s="18"/>
      <c r="F642" s="18"/>
      <c r="G642" s="27"/>
    </row>
    <row r="643">
      <c r="A643" s="18"/>
      <c r="B643" s="18"/>
      <c r="C643" s="18"/>
      <c r="D643" s="18"/>
      <c r="E643" s="18"/>
      <c r="F643" s="18"/>
      <c r="G643" s="27"/>
    </row>
    <row r="644">
      <c r="A644" s="18"/>
      <c r="B644" s="18"/>
      <c r="C644" s="18"/>
      <c r="D644" s="18"/>
      <c r="E644" s="18"/>
      <c r="F644" s="18"/>
      <c r="G644" s="27"/>
    </row>
    <row r="645">
      <c r="A645" s="18"/>
      <c r="B645" s="18"/>
      <c r="C645" s="18"/>
      <c r="D645" s="18"/>
      <c r="E645" s="18"/>
      <c r="F645" s="18"/>
      <c r="G645" s="27"/>
    </row>
    <row r="646">
      <c r="A646" s="18"/>
      <c r="B646" s="18"/>
      <c r="C646" s="18"/>
      <c r="D646" s="18"/>
      <c r="E646" s="18"/>
      <c r="F646" s="18"/>
      <c r="G646" s="27"/>
    </row>
    <row r="647">
      <c r="A647" s="18"/>
      <c r="B647" s="18"/>
      <c r="C647" s="18"/>
      <c r="D647" s="18"/>
      <c r="E647" s="18"/>
      <c r="F647" s="18"/>
      <c r="G647" s="27"/>
    </row>
    <row r="648">
      <c r="A648" s="18"/>
      <c r="B648" s="18"/>
      <c r="C648" s="18"/>
      <c r="D648" s="18"/>
      <c r="E648" s="18"/>
      <c r="F648" s="18"/>
      <c r="G648" s="27"/>
    </row>
    <row r="649">
      <c r="A649" s="18"/>
      <c r="B649" s="18"/>
      <c r="C649" s="18"/>
      <c r="D649" s="18"/>
      <c r="E649" s="18"/>
      <c r="F649" s="18"/>
      <c r="G649" s="27"/>
    </row>
    <row r="650">
      <c r="A650" s="18"/>
      <c r="B650" s="18"/>
      <c r="C650" s="18"/>
      <c r="D650" s="18"/>
      <c r="E650" s="18"/>
      <c r="F650" s="18"/>
      <c r="G650" s="27"/>
    </row>
    <row r="651">
      <c r="A651" s="18"/>
      <c r="B651" s="18"/>
      <c r="C651" s="18"/>
      <c r="D651" s="18"/>
      <c r="E651" s="18"/>
      <c r="F651" s="18"/>
      <c r="G651" s="27"/>
    </row>
    <row r="652">
      <c r="A652" s="18"/>
      <c r="B652" s="18"/>
      <c r="C652" s="18"/>
      <c r="D652" s="18"/>
      <c r="E652" s="18"/>
      <c r="F652" s="18"/>
      <c r="G652" s="27"/>
    </row>
    <row r="653">
      <c r="A653" s="18"/>
      <c r="B653" s="18"/>
      <c r="C653" s="18"/>
      <c r="D653" s="18"/>
      <c r="E653" s="18"/>
      <c r="F653" s="18"/>
      <c r="G653" s="27"/>
    </row>
    <row r="654">
      <c r="A654" s="18"/>
      <c r="B654" s="18"/>
      <c r="C654" s="18"/>
      <c r="D654" s="18"/>
      <c r="E654" s="18"/>
      <c r="F654" s="18"/>
      <c r="G654" s="27"/>
    </row>
    <row r="655">
      <c r="A655" s="18"/>
      <c r="B655" s="18"/>
      <c r="C655" s="18"/>
      <c r="D655" s="18"/>
      <c r="E655" s="18"/>
      <c r="F655" s="18"/>
      <c r="G655" s="27"/>
    </row>
    <row r="656">
      <c r="A656" s="18"/>
      <c r="B656" s="18"/>
      <c r="C656" s="18"/>
      <c r="D656" s="18"/>
      <c r="E656" s="18"/>
      <c r="F656" s="18"/>
      <c r="G656" s="27"/>
    </row>
    <row r="657">
      <c r="A657" s="18"/>
      <c r="B657" s="18"/>
      <c r="C657" s="18"/>
      <c r="D657" s="18"/>
      <c r="E657" s="18"/>
      <c r="F657" s="18"/>
      <c r="G657" s="27"/>
    </row>
    <row r="658">
      <c r="A658" s="18"/>
      <c r="B658" s="18"/>
      <c r="C658" s="18"/>
      <c r="D658" s="18"/>
      <c r="E658" s="18"/>
      <c r="F658" s="18"/>
      <c r="G658" s="27"/>
    </row>
    <row r="659">
      <c r="A659" s="18"/>
      <c r="B659" s="18"/>
      <c r="C659" s="18"/>
      <c r="D659" s="18"/>
      <c r="E659" s="18"/>
      <c r="F659" s="18"/>
      <c r="G659" s="27"/>
    </row>
    <row r="660">
      <c r="A660" s="18"/>
      <c r="B660" s="18"/>
      <c r="C660" s="18"/>
      <c r="D660" s="18"/>
      <c r="E660" s="18"/>
      <c r="F660" s="18"/>
      <c r="G660" s="27"/>
    </row>
    <row r="661">
      <c r="A661" s="18"/>
      <c r="B661" s="18"/>
      <c r="C661" s="18"/>
      <c r="D661" s="18"/>
      <c r="E661" s="18"/>
      <c r="F661" s="18"/>
      <c r="G661" s="27"/>
    </row>
    <row r="662">
      <c r="A662" s="18"/>
      <c r="B662" s="18"/>
      <c r="C662" s="18"/>
      <c r="D662" s="18"/>
      <c r="E662" s="18"/>
      <c r="F662" s="18"/>
      <c r="G662" s="27"/>
    </row>
    <row r="663">
      <c r="A663" s="18"/>
      <c r="B663" s="18"/>
      <c r="C663" s="18"/>
      <c r="D663" s="18"/>
      <c r="E663" s="18"/>
      <c r="F663" s="18"/>
      <c r="G663" s="27"/>
    </row>
    <row r="664">
      <c r="A664" s="18"/>
      <c r="B664" s="18"/>
      <c r="C664" s="18"/>
      <c r="D664" s="18"/>
      <c r="E664" s="18"/>
      <c r="F664" s="18"/>
      <c r="G664" s="27"/>
    </row>
    <row r="665">
      <c r="A665" s="18"/>
      <c r="B665" s="18"/>
      <c r="C665" s="18"/>
      <c r="D665" s="18"/>
      <c r="E665" s="18"/>
      <c r="F665" s="18"/>
      <c r="G665" s="27"/>
    </row>
    <row r="666">
      <c r="A666" s="18"/>
      <c r="B666" s="18"/>
      <c r="C666" s="18"/>
      <c r="D666" s="18"/>
      <c r="E666" s="18"/>
      <c r="F666" s="18"/>
      <c r="G666" s="27"/>
    </row>
    <row r="667">
      <c r="A667" s="18"/>
      <c r="B667" s="18"/>
      <c r="C667" s="18"/>
      <c r="D667" s="18"/>
      <c r="E667" s="18"/>
      <c r="F667" s="18"/>
      <c r="G667" s="27"/>
    </row>
    <row r="668">
      <c r="A668" s="18"/>
      <c r="B668" s="18"/>
      <c r="C668" s="18"/>
      <c r="D668" s="18"/>
      <c r="E668" s="18"/>
      <c r="F668" s="18"/>
      <c r="G668" s="27"/>
    </row>
    <row r="669">
      <c r="A669" s="18"/>
      <c r="B669" s="18"/>
      <c r="C669" s="18"/>
      <c r="D669" s="18"/>
      <c r="E669" s="18"/>
      <c r="F669" s="18"/>
      <c r="G669" s="27"/>
    </row>
    <row r="670">
      <c r="A670" s="18"/>
      <c r="B670" s="18"/>
      <c r="C670" s="18"/>
      <c r="D670" s="18"/>
      <c r="E670" s="18"/>
      <c r="F670" s="18"/>
      <c r="G670" s="27"/>
    </row>
    <row r="671">
      <c r="A671" s="18"/>
      <c r="B671" s="18"/>
      <c r="C671" s="18"/>
      <c r="D671" s="18"/>
      <c r="E671" s="18"/>
      <c r="F671" s="18"/>
      <c r="G671" s="27"/>
    </row>
    <row r="672">
      <c r="A672" s="18"/>
      <c r="B672" s="18"/>
      <c r="C672" s="18"/>
      <c r="D672" s="18"/>
      <c r="E672" s="18"/>
      <c r="F672" s="18"/>
      <c r="G672" s="27"/>
    </row>
    <row r="673">
      <c r="A673" s="18"/>
      <c r="B673" s="18"/>
      <c r="C673" s="18"/>
      <c r="D673" s="18"/>
      <c r="E673" s="18"/>
      <c r="F673" s="18"/>
      <c r="G673" s="27"/>
    </row>
    <row r="674">
      <c r="A674" s="18"/>
      <c r="B674" s="18"/>
      <c r="C674" s="18"/>
      <c r="D674" s="18"/>
      <c r="E674" s="18"/>
      <c r="F674" s="18"/>
      <c r="G674" s="27"/>
    </row>
    <row r="675">
      <c r="A675" s="18"/>
      <c r="B675" s="18"/>
      <c r="C675" s="18"/>
      <c r="D675" s="18"/>
      <c r="E675" s="18"/>
      <c r="F675" s="18"/>
      <c r="G675" s="27"/>
    </row>
    <row r="676">
      <c r="A676" s="18"/>
      <c r="B676" s="18"/>
      <c r="C676" s="18"/>
      <c r="D676" s="18"/>
      <c r="E676" s="18"/>
      <c r="F676" s="18"/>
      <c r="G676" s="27"/>
    </row>
    <row r="677">
      <c r="A677" s="18"/>
      <c r="B677" s="18"/>
      <c r="C677" s="18"/>
      <c r="D677" s="18"/>
      <c r="E677" s="18"/>
      <c r="F677" s="18"/>
      <c r="G677" s="27"/>
    </row>
    <row r="678">
      <c r="A678" s="18"/>
      <c r="B678" s="18"/>
      <c r="C678" s="18"/>
      <c r="D678" s="18"/>
      <c r="E678" s="18"/>
      <c r="F678" s="18"/>
      <c r="G678" s="27"/>
    </row>
    <row r="679">
      <c r="A679" s="18"/>
      <c r="B679" s="18"/>
      <c r="C679" s="18"/>
      <c r="D679" s="18"/>
      <c r="E679" s="18"/>
      <c r="F679" s="18"/>
      <c r="G679" s="27"/>
    </row>
    <row r="680">
      <c r="A680" s="18"/>
      <c r="B680" s="18"/>
      <c r="C680" s="18"/>
      <c r="D680" s="18"/>
      <c r="E680" s="18"/>
      <c r="F680" s="18"/>
      <c r="G680" s="27"/>
    </row>
    <row r="681">
      <c r="A681" s="18"/>
      <c r="B681" s="18"/>
      <c r="C681" s="18"/>
      <c r="D681" s="18"/>
      <c r="E681" s="18"/>
      <c r="F681" s="18"/>
      <c r="G681" s="27"/>
    </row>
    <row r="682">
      <c r="A682" s="18"/>
      <c r="B682" s="18"/>
      <c r="C682" s="18"/>
      <c r="D682" s="18"/>
      <c r="E682" s="18"/>
      <c r="F682" s="18"/>
      <c r="G682" s="27"/>
    </row>
    <row r="683">
      <c r="A683" s="18"/>
      <c r="B683" s="18"/>
      <c r="C683" s="18"/>
      <c r="D683" s="18"/>
      <c r="E683" s="18"/>
      <c r="F683" s="18"/>
      <c r="G683" s="27"/>
    </row>
    <row r="684">
      <c r="A684" s="18"/>
      <c r="B684" s="18"/>
      <c r="C684" s="18"/>
      <c r="D684" s="18"/>
      <c r="E684" s="18"/>
      <c r="F684" s="18"/>
      <c r="G684" s="27"/>
    </row>
    <row r="685">
      <c r="A685" s="18"/>
      <c r="B685" s="18"/>
      <c r="C685" s="18"/>
      <c r="D685" s="18"/>
      <c r="E685" s="18"/>
      <c r="F685" s="18"/>
      <c r="G685" s="27"/>
    </row>
    <row r="686">
      <c r="A686" s="18"/>
      <c r="B686" s="18"/>
      <c r="C686" s="18"/>
      <c r="D686" s="18"/>
      <c r="E686" s="18"/>
      <c r="F686" s="18"/>
      <c r="G686" s="27"/>
    </row>
    <row r="687">
      <c r="A687" s="18"/>
      <c r="B687" s="18"/>
      <c r="C687" s="18"/>
      <c r="D687" s="18"/>
      <c r="E687" s="18"/>
      <c r="F687" s="18"/>
      <c r="G687" s="27"/>
    </row>
    <row r="688">
      <c r="A688" s="18"/>
      <c r="B688" s="18"/>
      <c r="C688" s="18"/>
      <c r="D688" s="18"/>
      <c r="E688" s="18"/>
      <c r="F688" s="18"/>
      <c r="G688" s="27"/>
    </row>
    <row r="689">
      <c r="A689" s="18"/>
      <c r="B689" s="18"/>
      <c r="C689" s="18"/>
      <c r="D689" s="18"/>
      <c r="E689" s="18"/>
      <c r="F689" s="18"/>
      <c r="G689" s="27"/>
    </row>
    <row r="690">
      <c r="A690" s="18"/>
      <c r="B690" s="18"/>
      <c r="C690" s="18"/>
      <c r="D690" s="18"/>
      <c r="E690" s="18"/>
      <c r="F690" s="18"/>
      <c r="G690" s="27"/>
    </row>
    <row r="691">
      <c r="A691" s="18"/>
      <c r="B691" s="18"/>
      <c r="C691" s="18"/>
      <c r="D691" s="18"/>
      <c r="E691" s="18"/>
      <c r="F691" s="18"/>
      <c r="G691" s="27"/>
    </row>
    <row r="692">
      <c r="A692" s="18"/>
      <c r="B692" s="18"/>
      <c r="C692" s="18"/>
      <c r="D692" s="18"/>
      <c r="E692" s="18"/>
      <c r="F692" s="18"/>
      <c r="G692" s="27"/>
    </row>
    <row r="693">
      <c r="A693" s="18"/>
      <c r="B693" s="18"/>
      <c r="C693" s="18"/>
      <c r="D693" s="18"/>
      <c r="E693" s="18"/>
      <c r="F693" s="18"/>
      <c r="G693" s="27"/>
    </row>
    <row r="694">
      <c r="A694" s="18"/>
      <c r="B694" s="18"/>
      <c r="C694" s="18"/>
      <c r="D694" s="18"/>
      <c r="E694" s="18"/>
      <c r="F694" s="18"/>
      <c r="G694" s="27"/>
    </row>
    <row r="695">
      <c r="A695" s="18"/>
      <c r="B695" s="18"/>
      <c r="C695" s="18"/>
      <c r="D695" s="18"/>
      <c r="E695" s="18"/>
      <c r="F695" s="18"/>
      <c r="G695" s="27"/>
    </row>
    <row r="696">
      <c r="A696" s="18"/>
      <c r="B696" s="18"/>
      <c r="C696" s="18"/>
      <c r="D696" s="18"/>
      <c r="E696" s="18"/>
      <c r="F696" s="18"/>
      <c r="G696" s="27"/>
    </row>
    <row r="697">
      <c r="A697" s="18"/>
      <c r="B697" s="18"/>
      <c r="C697" s="18"/>
      <c r="D697" s="18"/>
      <c r="E697" s="18"/>
      <c r="F697" s="18"/>
      <c r="G697" s="27"/>
    </row>
    <row r="698">
      <c r="A698" s="18"/>
      <c r="B698" s="18"/>
      <c r="C698" s="18"/>
      <c r="D698" s="18"/>
      <c r="E698" s="18"/>
      <c r="F698" s="18"/>
      <c r="G698" s="27"/>
    </row>
    <row r="699">
      <c r="A699" s="18"/>
      <c r="B699" s="18"/>
      <c r="C699" s="18"/>
      <c r="D699" s="18"/>
      <c r="E699" s="18"/>
      <c r="F699" s="18"/>
      <c r="G699" s="27"/>
    </row>
    <row r="700">
      <c r="A700" s="18"/>
      <c r="B700" s="18"/>
      <c r="C700" s="18"/>
      <c r="D700" s="18"/>
      <c r="E700" s="18"/>
      <c r="F700" s="18"/>
      <c r="G700" s="27"/>
    </row>
    <row r="701">
      <c r="A701" s="18"/>
      <c r="B701" s="18"/>
      <c r="C701" s="18"/>
      <c r="D701" s="18"/>
      <c r="E701" s="18"/>
      <c r="F701" s="18"/>
      <c r="G701" s="27"/>
    </row>
    <row r="702">
      <c r="A702" s="18"/>
      <c r="B702" s="18"/>
      <c r="C702" s="18"/>
      <c r="D702" s="18"/>
      <c r="E702" s="18"/>
      <c r="F702" s="18"/>
      <c r="G702" s="27"/>
    </row>
    <row r="703">
      <c r="A703" s="18"/>
      <c r="B703" s="18"/>
      <c r="C703" s="18"/>
      <c r="D703" s="18"/>
      <c r="E703" s="18"/>
      <c r="F703" s="18"/>
      <c r="G703" s="27"/>
    </row>
    <row r="704">
      <c r="A704" s="18"/>
      <c r="B704" s="18"/>
      <c r="C704" s="18"/>
      <c r="D704" s="18"/>
      <c r="E704" s="18"/>
      <c r="F704" s="18"/>
      <c r="G704" s="27"/>
    </row>
    <row r="705">
      <c r="A705" s="18"/>
      <c r="B705" s="18"/>
      <c r="C705" s="18"/>
      <c r="D705" s="18"/>
      <c r="E705" s="18"/>
      <c r="F705" s="18"/>
      <c r="G705" s="27"/>
    </row>
    <row r="706">
      <c r="A706" s="18"/>
      <c r="B706" s="18"/>
      <c r="C706" s="18"/>
      <c r="D706" s="18"/>
      <c r="E706" s="18"/>
      <c r="F706" s="18"/>
      <c r="G706" s="27"/>
    </row>
    <row r="707">
      <c r="A707" s="18"/>
      <c r="B707" s="18"/>
      <c r="C707" s="18"/>
      <c r="D707" s="18"/>
      <c r="E707" s="18"/>
      <c r="F707" s="18"/>
      <c r="G707" s="27"/>
    </row>
    <row r="708">
      <c r="A708" s="18"/>
      <c r="B708" s="18"/>
      <c r="C708" s="18"/>
      <c r="D708" s="18"/>
      <c r="E708" s="18"/>
      <c r="F708" s="18"/>
      <c r="G708" s="27"/>
    </row>
    <row r="709">
      <c r="A709" s="18"/>
      <c r="B709" s="18"/>
      <c r="C709" s="18"/>
      <c r="D709" s="18"/>
      <c r="E709" s="18"/>
      <c r="F709" s="18"/>
      <c r="G709" s="27"/>
    </row>
    <row r="710">
      <c r="A710" s="18"/>
      <c r="B710" s="18"/>
      <c r="C710" s="18"/>
      <c r="D710" s="18"/>
      <c r="E710" s="18"/>
      <c r="F710" s="18"/>
      <c r="G710" s="27"/>
    </row>
    <row r="711">
      <c r="A711" s="18"/>
      <c r="B711" s="18"/>
      <c r="C711" s="18"/>
      <c r="D711" s="18"/>
      <c r="E711" s="18"/>
      <c r="F711" s="18"/>
      <c r="G711" s="27"/>
    </row>
    <row r="712">
      <c r="A712" s="18"/>
      <c r="B712" s="18"/>
      <c r="C712" s="18"/>
      <c r="D712" s="18"/>
      <c r="E712" s="18"/>
      <c r="F712" s="18"/>
      <c r="G712" s="27"/>
    </row>
    <row r="713">
      <c r="A713" s="18"/>
      <c r="B713" s="18"/>
      <c r="C713" s="18"/>
      <c r="D713" s="18"/>
      <c r="E713" s="18"/>
      <c r="F713" s="18"/>
      <c r="G713" s="27"/>
    </row>
    <row r="714">
      <c r="A714" s="18"/>
      <c r="B714" s="18"/>
      <c r="C714" s="18"/>
      <c r="D714" s="18"/>
      <c r="E714" s="18"/>
      <c r="F714" s="18"/>
      <c r="G714" s="27"/>
    </row>
    <row r="715">
      <c r="A715" s="18"/>
      <c r="B715" s="18"/>
      <c r="C715" s="18"/>
      <c r="D715" s="18"/>
      <c r="E715" s="18"/>
      <c r="F715" s="18"/>
      <c r="G715" s="27"/>
    </row>
    <row r="716">
      <c r="A716" s="18"/>
      <c r="B716" s="18"/>
      <c r="C716" s="18"/>
      <c r="D716" s="18"/>
      <c r="E716" s="18"/>
      <c r="F716" s="18"/>
      <c r="G716" s="27"/>
    </row>
    <row r="717">
      <c r="A717" s="18"/>
      <c r="B717" s="18"/>
      <c r="C717" s="18"/>
      <c r="D717" s="18"/>
      <c r="E717" s="18"/>
      <c r="F717" s="18"/>
      <c r="G717" s="27"/>
    </row>
    <row r="718">
      <c r="A718" s="18"/>
      <c r="B718" s="18"/>
      <c r="C718" s="18"/>
      <c r="D718" s="18"/>
      <c r="E718" s="18"/>
      <c r="F718" s="18"/>
      <c r="G718" s="27"/>
    </row>
    <row r="719">
      <c r="A719" s="18"/>
      <c r="B719" s="18"/>
      <c r="C719" s="18"/>
      <c r="D719" s="18"/>
      <c r="E719" s="18"/>
      <c r="F719" s="18"/>
      <c r="G719" s="27"/>
    </row>
    <row r="720">
      <c r="A720" s="18"/>
      <c r="B720" s="18"/>
      <c r="C720" s="18"/>
      <c r="D720" s="18"/>
      <c r="E720" s="18"/>
      <c r="F720" s="18"/>
      <c r="G720" s="27"/>
    </row>
    <row r="721">
      <c r="A721" s="18"/>
      <c r="B721" s="18"/>
      <c r="C721" s="18"/>
      <c r="D721" s="18"/>
      <c r="E721" s="18"/>
      <c r="F721" s="18"/>
      <c r="G721" s="27"/>
    </row>
    <row r="722">
      <c r="A722" s="18"/>
      <c r="B722" s="18"/>
      <c r="C722" s="18"/>
      <c r="D722" s="18"/>
      <c r="E722" s="18"/>
      <c r="F722" s="18"/>
      <c r="G722" s="27"/>
    </row>
    <row r="723">
      <c r="A723" s="18"/>
      <c r="B723" s="18"/>
      <c r="C723" s="18"/>
      <c r="D723" s="18"/>
      <c r="E723" s="18"/>
      <c r="F723" s="18"/>
      <c r="G723" s="27"/>
    </row>
    <row r="724">
      <c r="A724" s="18"/>
      <c r="B724" s="18"/>
      <c r="C724" s="18"/>
      <c r="D724" s="18"/>
      <c r="E724" s="18"/>
      <c r="F724" s="18"/>
      <c r="G724" s="27"/>
    </row>
    <row r="725">
      <c r="A725" s="18"/>
      <c r="B725" s="18"/>
      <c r="C725" s="18"/>
      <c r="D725" s="18"/>
      <c r="E725" s="18"/>
      <c r="F725" s="18"/>
      <c r="G725" s="27"/>
    </row>
    <row r="726">
      <c r="A726" s="18"/>
      <c r="B726" s="18"/>
      <c r="C726" s="18"/>
      <c r="D726" s="18"/>
      <c r="E726" s="18"/>
      <c r="F726" s="18"/>
      <c r="G726" s="27"/>
    </row>
    <row r="727">
      <c r="A727" s="18"/>
      <c r="B727" s="18"/>
      <c r="C727" s="18"/>
      <c r="D727" s="18"/>
      <c r="E727" s="18"/>
      <c r="F727" s="18"/>
      <c r="G727" s="27"/>
    </row>
    <row r="728">
      <c r="A728" s="18"/>
      <c r="B728" s="18"/>
      <c r="C728" s="18"/>
      <c r="D728" s="18"/>
      <c r="E728" s="18"/>
      <c r="F728" s="18"/>
      <c r="G728" s="27"/>
    </row>
    <row r="729">
      <c r="A729" s="18"/>
      <c r="B729" s="18"/>
      <c r="C729" s="18"/>
      <c r="D729" s="18"/>
      <c r="E729" s="18"/>
      <c r="F729" s="18"/>
      <c r="G729" s="27"/>
    </row>
    <row r="730">
      <c r="A730" s="18"/>
      <c r="B730" s="18"/>
      <c r="C730" s="18"/>
      <c r="D730" s="18"/>
      <c r="E730" s="18"/>
      <c r="F730" s="18"/>
      <c r="G730" s="27"/>
    </row>
    <row r="731">
      <c r="A731" s="18"/>
      <c r="B731" s="18"/>
      <c r="C731" s="18"/>
      <c r="D731" s="18"/>
      <c r="E731" s="18"/>
      <c r="F731" s="18"/>
      <c r="G731" s="27"/>
    </row>
    <row r="732">
      <c r="A732" s="18"/>
      <c r="B732" s="18"/>
      <c r="C732" s="18"/>
      <c r="D732" s="18"/>
      <c r="E732" s="18"/>
      <c r="F732" s="18"/>
      <c r="G732" s="27"/>
    </row>
    <row r="733">
      <c r="A733" s="18"/>
      <c r="B733" s="18"/>
      <c r="C733" s="18"/>
      <c r="D733" s="18"/>
      <c r="E733" s="18"/>
      <c r="F733" s="18"/>
      <c r="G733" s="27"/>
    </row>
    <row r="734">
      <c r="A734" s="18"/>
      <c r="B734" s="18"/>
      <c r="C734" s="18"/>
      <c r="D734" s="18"/>
      <c r="E734" s="18"/>
      <c r="F734" s="18"/>
      <c r="G734" s="27"/>
    </row>
    <row r="735">
      <c r="A735" s="18"/>
      <c r="B735" s="18"/>
      <c r="C735" s="18"/>
      <c r="D735" s="18"/>
      <c r="E735" s="18"/>
      <c r="F735" s="18"/>
      <c r="G735" s="27"/>
    </row>
    <row r="736">
      <c r="A736" s="18"/>
      <c r="B736" s="18"/>
      <c r="C736" s="18"/>
      <c r="D736" s="18"/>
      <c r="E736" s="18"/>
      <c r="F736" s="18"/>
      <c r="G736" s="27"/>
    </row>
    <row r="737">
      <c r="A737" s="18"/>
      <c r="B737" s="18"/>
      <c r="C737" s="18"/>
      <c r="D737" s="18"/>
      <c r="E737" s="18"/>
      <c r="F737" s="18"/>
      <c r="G737" s="27"/>
    </row>
    <row r="738">
      <c r="A738" s="18"/>
      <c r="B738" s="18"/>
      <c r="C738" s="18"/>
      <c r="D738" s="18"/>
      <c r="E738" s="18"/>
      <c r="F738" s="18"/>
      <c r="G738" s="27"/>
    </row>
    <row r="739">
      <c r="A739" s="18"/>
      <c r="B739" s="18"/>
      <c r="C739" s="18"/>
      <c r="D739" s="18"/>
      <c r="E739" s="18"/>
      <c r="F739" s="18"/>
      <c r="G739" s="27"/>
    </row>
    <row r="740">
      <c r="A740" s="18"/>
      <c r="B740" s="18"/>
      <c r="C740" s="18"/>
      <c r="D740" s="18"/>
      <c r="E740" s="18"/>
      <c r="F740" s="18"/>
      <c r="G740" s="27"/>
    </row>
    <row r="741">
      <c r="A741" s="18"/>
      <c r="B741" s="18"/>
      <c r="C741" s="18"/>
      <c r="D741" s="18"/>
      <c r="E741" s="18"/>
      <c r="F741" s="18"/>
      <c r="G741" s="27"/>
    </row>
    <row r="742">
      <c r="A742" s="18"/>
      <c r="B742" s="18"/>
      <c r="C742" s="18"/>
      <c r="D742" s="18"/>
      <c r="E742" s="18"/>
      <c r="F742" s="18"/>
      <c r="G742" s="27"/>
    </row>
    <row r="743">
      <c r="A743" s="18"/>
      <c r="B743" s="18"/>
      <c r="C743" s="18"/>
      <c r="D743" s="18"/>
      <c r="E743" s="18"/>
      <c r="F743" s="18"/>
      <c r="G743" s="27"/>
    </row>
    <row r="744">
      <c r="A744" s="18"/>
      <c r="B744" s="18"/>
      <c r="C744" s="18"/>
      <c r="D744" s="18"/>
      <c r="E744" s="18"/>
      <c r="F744" s="18"/>
      <c r="G744" s="27"/>
    </row>
    <row r="745">
      <c r="A745" s="18"/>
      <c r="B745" s="18"/>
      <c r="C745" s="18"/>
      <c r="D745" s="18"/>
      <c r="E745" s="18"/>
      <c r="F745" s="18"/>
      <c r="G745" s="27"/>
    </row>
    <row r="746">
      <c r="A746" s="18"/>
      <c r="B746" s="18"/>
      <c r="C746" s="18"/>
      <c r="D746" s="18"/>
      <c r="E746" s="18"/>
      <c r="F746" s="18"/>
      <c r="G746" s="27"/>
    </row>
    <row r="747">
      <c r="A747" s="18"/>
      <c r="B747" s="18"/>
      <c r="C747" s="18"/>
      <c r="D747" s="18"/>
      <c r="E747" s="18"/>
      <c r="F747" s="18"/>
      <c r="G747" s="27"/>
    </row>
    <row r="748">
      <c r="A748" s="18"/>
      <c r="B748" s="18"/>
      <c r="C748" s="18"/>
      <c r="D748" s="18"/>
      <c r="E748" s="18"/>
      <c r="F748" s="18"/>
      <c r="G748" s="27"/>
    </row>
    <row r="749">
      <c r="A749" s="18"/>
      <c r="B749" s="18"/>
      <c r="C749" s="18"/>
      <c r="D749" s="18"/>
      <c r="E749" s="18"/>
      <c r="F749" s="18"/>
      <c r="G749" s="27"/>
    </row>
    <row r="750">
      <c r="A750" s="18"/>
      <c r="B750" s="18"/>
      <c r="C750" s="18"/>
      <c r="D750" s="18"/>
      <c r="E750" s="18"/>
      <c r="F750" s="18"/>
      <c r="G750" s="27"/>
    </row>
    <row r="751">
      <c r="A751" s="18"/>
      <c r="B751" s="18"/>
      <c r="C751" s="18"/>
      <c r="D751" s="18"/>
      <c r="E751" s="18"/>
      <c r="F751" s="18"/>
      <c r="G751" s="27"/>
    </row>
    <row r="752">
      <c r="A752" s="18"/>
      <c r="B752" s="18"/>
      <c r="C752" s="18"/>
      <c r="D752" s="18"/>
      <c r="E752" s="18"/>
      <c r="F752" s="18"/>
      <c r="G752" s="27"/>
    </row>
    <row r="753">
      <c r="A753" s="18"/>
      <c r="B753" s="18"/>
      <c r="C753" s="18"/>
      <c r="D753" s="18"/>
      <c r="E753" s="18"/>
      <c r="F753" s="18"/>
      <c r="G753" s="27"/>
    </row>
    <row r="754">
      <c r="A754" s="18"/>
      <c r="B754" s="18"/>
      <c r="C754" s="18"/>
      <c r="D754" s="18"/>
      <c r="E754" s="18"/>
      <c r="F754" s="18"/>
      <c r="G754" s="27"/>
    </row>
    <row r="755">
      <c r="A755" s="18"/>
      <c r="B755" s="18"/>
      <c r="C755" s="18"/>
      <c r="D755" s="18"/>
      <c r="E755" s="18"/>
      <c r="F755" s="18"/>
      <c r="G755" s="27"/>
    </row>
    <row r="756">
      <c r="A756" s="18"/>
      <c r="B756" s="18"/>
      <c r="C756" s="18"/>
      <c r="D756" s="18"/>
      <c r="E756" s="18"/>
      <c r="F756" s="18"/>
      <c r="G756" s="27"/>
    </row>
    <row r="757">
      <c r="A757" s="18"/>
      <c r="B757" s="18"/>
      <c r="C757" s="18"/>
      <c r="D757" s="18"/>
      <c r="E757" s="18"/>
      <c r="F757" s="18"/>
      <c r="G757" s="27"/>
    </row>
    <row r="758">
      <c r="A758" s="18"/>
      <c r="B758" s="18"/>
      <c r="C758" s="18"/>
      <c r="D758" s="18"/>
      <c r="E758" s="18"/>
      <c r="F758" s="18"/>
      <c r="G758" s="27"/>
    </row>
    <row r="759">
      <c r="A759" s="18"/>
      <c r="B759" s="18"/>
      <c r="C759" s="18"/>
      <c r="D759" s="18"/>
      <c r="E759" s="18"/>
      <c r="F759" s="18"/>
      <c r="G759" s="27"/>
    </row>
    <row r="760">
      <c r="A760" s="18"/>
      <c r="B760" s="18"/>
      <c r="C760" s="18"/>
      <c r="D760" s="18"/>
      <c r="E760" s="18"/>
      <c r="F760" s="18"/>
      <c r="G760" s="27"/>
    </row>
    <row r="761">
      <c r="A761" s="18"/>
      <c r="B761" s="18"/>
      <c r="C761" s="18"/>
      <c r="D761" s="18"/>
      <c r="E761" s="18"/>
      <c r="F761" s="18"/>
      <c r="G761" s="27"/>
    </row>
    <row r="762">
      <c r="A762" s="18"/>
      <c r="B762" s="18"/>
      <c r="C762" s="18"/>
      <c r="D762" s="18"/>
      <c r="E762" s="18"/>
      <c r="F762" s="18"/>
      <c r="G762" s="27"/>
    </row>
    <row r="763">
      <c r="A763" s="18"/>
      <c r="B763" s="18"/>
      <c r="C763" s="18"/>
      <c r="D763" s="18"/>
      <c r="E763" s="18"/>
      <c r="F763" s="18"/>
      <c r="G763" s="27"/>
    </row>
    <row r="764">
      <c r="A764" s="18"/>
      <c r="B764" s="18"/>
      <c r="C764" s="18"/>
      <c r="D764" s="18"/>
      <c r="E764" s="18"/>
      <c r="F764" s="18"/>
      <c r="G764" s="27"/>
    </row>
    <row r="765">
      <c r="A765" s="18"/>
      <c r="B765" s="18"/>
      <c r="C765" s="18"/>
      <c r="D765" s="18"/>
      <c r="E765" s="18"/>
      <c r="F765" s="18"/>
      <c r="G765" s="27"/>
    </row>
    <row r="766">
      <c r="A766" s="18"/>
      <c r="B766" s="18"/>
      <c r="C766" s="18"/>
      <c r="D766" s="18"/>
      <c r="E766" s="18"/>
      <c r="F766" s="18"/>
      <c r="G766" s="27"/>
    </row>
    <row r="767">
      <c r="A767" s="18"/>
      <c r="B767" s="18"/>
      <c r="C767" s="18"/>
      <c r="D767" s="18"/>
      <c r="E767" s="18"/>
      <c r="F767" s="18"/>
      <c r="G767" s="27"/>
    </row>
    <row r="768">
      <c r="A768" s="18"/>
      <c r="B768" s="18"/>
      <c r="C768" s="18"/>
      <c r="D768" s="18"/>
      <c r="E768" s="18"/>
      <c r="F768" s="18"/>
      <c r="G768" s="27"/>
    </row>
    <row r="769">
      <c r="A769" s="18"/>
      <c r="B769" s="18"/>
      <c r="C769" s="18"/>
      <c r="D769" s="18"/>
      <c r="E769" s="18"/>
      <c r="F769" s="18"/>
      <c r="G769" s="27"/>
    </row>
    <row r="770">
      <c r="A770" s="18"/>
      <c r="B770" s="18"/>
      <c r="C770" s="18"/>
      <c r="D770" s="18"/>
      <c r="E770" s="18"/>
      <c r="F770" s="18"/>
      <c r="G770" s="27"/>
    </row>
    <row r="771">
      <c r="A771" s="18"/>
      <c r="B771" s="18"/>
      <c r="C771" s="18"/>
      <c r="D771" s="18"/>
      <c r="E771" s="18"/>
      <c r="F771" s="18"/>
      <c r="G771" s="27"/>
    </row>
    <row r="772">
      <c r="A772" s="18"/>
      <c r="B772" s="18"/>
      <c r="C772" s="18"/>
      <c r="D772" s="18"/>
      <c r="E772" s="18"/>
      <c r="F772" s="18"/>
      <c r="G772" s="27"/>
    </row>
    <row r="773">
      <c r="A773" s="18"/>
      <c r="B773" s="18"/>
      <c r="C773" s="18"/>
      <c r="D773" s="18"/>
      <c r="E773" s="18"/>
      <c r="F773" s="18"/>
      <c r="G773" s="27"/>
    </row>
    <row r="774">
      <c r="A774" s="18"/>
      <c r="B774" s="18"/>
      <c r="C774" s="18"/>
      <c r="D774" s="18"/>
      <c r="E774" s="18"/>
      <c r="F774" s="18"/>
      <c r="G774" s="27"/>
    </row>
    <row r="775">
      <c r="A775" s="18"/>
      <c r="B775" s="18"/>
      <c r="C775" s="18"/>
      <c r="D775" s="18"/>
      <c r="E775" s="18"/>
      <c r="F775" s="18"/>
      <c r="G775" s="27"/>
    </row>
    <row r="776">
      <c r="A776" s="18"/>
      <c r="B776" s="18"/>
      <c r="C776" s="18"/>
      <c r="D776" s="18"/>
      <c r="E776" s="18"/>
      <c r="F776" s="18"/>
      <c r="G776" s="27"/>
    </row>
    <row r="777">
      <c r="A777" s="18"/>
      <c r="B777" s="18"/>
      <c r="C777" s="18"/>
      <c r="D777" s="18"/>
      <c r="E777" s="18"/>
      <c r="F777" s="18"/>
      <c r="G777" s="27"/>
    </row>
    <row r="778">
      <c r="A778" s="18"/>
      <c r="B778" s="18"/>
      <c r="C778" s="18"/>
      <c r="D778" s="18"/>
      <c r="E778" s="18"/>
      <c r="F778" s="18"/>
      <c r="G778" s="27"/>
    </row>
    <row r="779">
      <c r="A779" s="18"/>
      <c r="B779" s="18"/>
      <c r="C779" s="18"/>
      <c r="D779" s="18"/>
      <c r="E779" s="18"/>
      <c r="F779" s="18"/>
      <c r="G779" s="27"/>
    </row>
    <row r="780">
      <c r="A780" s="18"/>
      <c r="B780" s="18"/>
      <c r="C780" s="18"/>
      <c r="D780" s="18"/>
      <c r="E780" s="18"/>
      <c r="F780" s="18"/>
      <c r="G780" s="27"/>
    </row>
    <row r="781">
      <c r="A781" s="18"/>
      <c r="B781" s="18"/>
      <c r="C781" s="18"/>
      <c r="D781" s="18"/>
      <c r="E781" s="18"/>
      <c r="F781" s="18"/>
      <c r="G781" s="27"/>
    </row>
    <row r="782">
      <c r="A782" s="18"/>
      <c r="B782" s="18"/>
      <c r="C782" s="18"/>
      <c r="D782" s="18"/>
      <c r="E782" s="18"/>
      <c r="F782" s="18"/>
      <c r="G782" s="27"/>
    </row>
    <row r="783">
      <c r="A783" s="18"/>
      <c r="B783" s="18"/>
      <c r="C783" s="18"/>
      <c r="D783" s="18"/>
      <c r="E783" s="18"/>
      <c r="F783" s="18"/>
      <c r="G783" s="27"/>
    </row>
    <row r="784">
      <c r="A784" s="18"/>
      <c r="B784" s="18"/>
      <c r="C784" s="18"/>
      <c r="D784" s="18"/>
      <c r="E784" s="18"/>
      <c r="F784" s="18"/>
      <c r="G784" s="27"/>
    </row>
    <row r="785">
      <c r="A785" s="18"/>
      <c r="B785" s="18"/>
      <c r="C785" s="18"/>
      <c r="D785" s="18"/>
      <c r="E785" s="18"/>
      <c r="F785" s="18"/>
      <c r="G785" s="27"/>
    </row>
    <row r="786">
      <c r="A786" s="18"/>
      <c r="B786" s="18"/>
      <c r="C786" s="18"/>
      <c r="D786" s="18"/>
      <c r="E786" s="18"/>
      <c r="F786" s="18"/>
      <c r="G786" s="27"/>
    </row>
    <row r="787">
      <c r="A787" s="18"/>
      <c r="B787" s="18"/>
      <c r="C787" s="18"/>
      <c r="D787" s="18"/>
      <c r="E787" s="18"/>
      <c r="F787" s="18"/>
      <c r="G787" s="27"/>
    </row>
    <row r="788">
      <c r="A788" s="18"/>
      <c r="B788" s="18"/>
      <c r="C788" s="18"/>
      <c r="D788" s="18"/>
      <c r="E788" s="18"/>
      <c r="F788" s="18"/>
      <c r="G788" s="27"/>
    </row>
    <row r="789">
      <c r="A789" s="18"/>
      <c r="B789" s="18"/>
      <c r="C789" s="18"/>
      <c r="D789" s="18"/>
      <c r="E789" s="18"/>
      <c r="F789" s="18"/>
      <c r="G789" s="27"/>
    </row>
    <row r="790">
      <c r="A790" s="18"/>
      <c r="B790" s="18"/>
      <c r="C790" s="18"/>
      <c r="D790" s="18"/>
      <c r="E790" s="18"/>
      <c r="F790" s="18"/>
      <c r="G790" s="27"/>
    </row>
    <row r="791">
      <c r="A791" s="18"/>
      <c r="B791" s="18"/>
      <c r="C791" s="18"/>
      <c r="D791" s="18"/>
      <c r="E791" s="18"/>
      <c r="F791" s="18"/>
      <c r="G791" s="27"/>
    </row>
    <row r="792">
      <c r="A792" s="18"/>
      <c r="B792" s="18"/>
      <c r="C792" s="18"/>
      <c r="D792" s="18"/>
      <c r="E792" s="18"/>
      <c r="F792" s="18"/>
      <c r="G792" s="27"/>
    </row>
    <row r="793">
      <c r="A793" s="18"/>
      <c r="B793" s="18"/>
      <c r="C793" s="18"/>
      <c r="D793" s="18"/>
      <c r="E793" s="18"/>
      <c r="F793" s="18"/>
      <c r="G793" s="27"/>
    </row>
    <row r="794">
      <c r="A794" s="18"/>
      <c r="B794" s="18"/>
      <c r="C794" s="18"/>
      <c r="D794" s="18"/>
      <c r="E794" s="18"/>
      <c r="F794" s="18"/>
      <c r="G794" s="27"/>
    </row>
    <row r="795">
      <c r="A795" s="18"/>
      <c r="B795" s="18"/>
      <c r="C795" s="18"/>
      <c r="D795" s="18"/>
      <c r="E795" s="18"/>
      <c r="F795" s="18"/>
      <c r="G795" s="27"/>
    </row>
    <row r="796">
      <c r="A796" s="18"/>
      <c r="B796" s="18"/>
      <c r="C796" s="18"/>
      <c r="D796" s="18"/>
      <c r="E796" s="18"/>
      <c r="F796" s="18"/>
      <c r="G796" s="27"/>
    </row>
    <row r="797">
      <c r="A797" s="18"/>
      <c r="B797" s="18"/>
      <c r="C797" s="18"/>
      <c r="D797" s="18"/>
      <c r="E797" s="18"/>
      <c r="F797" s="18"/>
      <c r="G797" s="27"/>
    </row>
    <row r="798">
      <c r="A798" s="18"/>
      <c r="B798" s="18"/>
      <c r="C798" s="18"/>
      <c r="D798" s="18"/>
      <c r="E798" s="18"/>
      <c r="F798" s="18"/>
      <c r="G798" s="27"/>
    </row>
    <row r="799">
      <c r="A799" s="18"/>
      <c r="B799" s="18"/>
      <c r="C799" s="18"/>
      <c r="D799" s="18"/>
      <c r="E799" s="18"/>
      <c r="F799" s="18"/>
      <c r="G799" s="27"/>
    </row>
    <row r="800">
      <c r="A800" s="18"/>
      <c r="B800" s="18"/>
      <c r="C800" s="18"/>
      <c r="D800" s="18"/>
      <c r="E800" s="18"/>
      <c r="F800" s="18"/>
      <c r="G800" s="27"/>
    </row>
    <row r="801">
      <c r="A801" s="18"/>
      <c r="B801" s="18"/>
      <c r="C801" s="18"/>
      <c r="D801" s="18"/>
      <c r="E801" s="18"/>
      <c r="F801" s="18"/>
      <c r="G801" s="27"/>
    </row>
    <row r="802">
      <c r="A802" s="18"/>
      <c r="B802" s="18"/>
      <c r="C802" s="18"/>
      <c r="D802" s="18"/>
      <c r="E802" s="18"/>
      <c r="F802" s="18"/>
      <c r="G802" s="27"/>
    </row>
    <row r="803">
      <c r="A803" s="18"/>
      <c r="B803" s="18"/>
      <c r="C803" s="18"/>
      <c r="D803" s="18"/>
      <c r="E803" s="18"/>
      <c r="F803" s="18"/>
      <c r="G803" s="27"/>
    </row>
    <row r="804">
      <c r="A804" s="18"/>
      <c r="B804" s="18"/>
      <c r="C804" s="18"/>
      <c r="D804" s="18"/>
      <c r="E804" s="18"/>
      <c r="F804" s="18"/>
      <c r="G804" s="27"/>
    </row>
    <row r="805">
      <c r="A805" s="18"/>
      <c r="B805" s="18"/>
      <c r="C805" s="18"/>
      <c r="D805" s="18"/>
      <c r="E805" s="18"/>
      <c r="F805" s="18"/>
      <c r="G805" s="27"/>
    </row>
    <row r="806">
      <c r="A806" s="18"/>
      <c r="B806" s="18"/>
      <c r="C806" s="18"/>
      <c r="D806" s="18"/>
      <c r="E806" s="18"/>
      <c r="F806" s="18"/>
      <c r="G806" s="27"/>
    </row>
    <row r="807">
      <c r="A807" s="18"/>
      <c r="B807" s="18"/>
      <c r="C807" s="18"/>
      <c r="D807" s="18"/>
      <c r="E807" s="18"/>
      <c r="F807" s="18"/>
      <c r="G807" s="27"/>
    </row>
    <row r="808">
      <c r="A808" s="18"/>
      <c r="B808" s="18"/>
      <c r="C808" s="18"/>
      <c r="D808" s="18"/>
      <c r="E808" s="18"/>
      <c r="F808" s="18"/>
      <c r="G808" s="27"/>
    </row>
    <row r="809">
      <c r="A809" s="18"/>
      <c r="B809" s="18"/>
      <c r="C809" s="18"/>
      <c r="D809" s="18"/>
      <c r="E809" s="18"/>
      <c r="F809" s="18"/>
      <c r="G809" s="27"/>
    </row>
    <row r="810">
      <c r="A810" s="18"/>
      <c r="B810" s="18"/>
      <c r="C810" s="18"/>
      <c r="D810" s="18"/>
      <c r="E810" s="18"/>
      <c r="F810" s="18"/>
      <c r="G810" s="27"/>
    </row>
    <row r="811">
      <c r="A811" s="18"/>
      <c r="B811" s="18"/>
      <c r="C811" s="18"/>
      <c r="D811" s="18"/>
      <c r="E811" s="18"/>
      <c r="F811" s="18"/>
      <c r="G811" s="27"/>
    </row>
    <row r="812">
      <c r="A812" s="18"/>
      <c r="B812" s="18"/>
      <c r="C812" s="18"/>
      <c r="D812" s="18"/>
      <c r="E812" s="18"/>
      <c r="F812" s="18"/>
      <c r="G812" s="27"/>
    </row>
    <row r="813">
      <c r="A813" s="18"/>
      <c r="B813" s="18"/>
      <c r="C813" s="18"/>
      <c r="D813" s="18"/>
      <c r="E813" s="18"/>
      <c r="F813" s="18"/>
      <c r="G813" s="27"/>
    </row>
    <row r="814">
      <c r="A814" s="18"/>
      <c r="B814" s="18"/>
      <c r="C814" s="18"/>
      <c r="D814" s="18"/>
      <c r="E814" s="18"/>
      <c r="F814" s="18"/>
      <c r="G814" s="27"/>
    </row>
    <row r="815">
      <c r="A815" s="18"/>
      <c r="B815" s="18"/>
      <c r="C815" s="18"/>
      <c r="D815" s="18"/>
      <c r="E815" s="18"/>
      <c r="F815" s="18"/>
      <c r="G815" s="27"/>
    </row>
    <row r="816">
      <c r="A816" s="18"/>
      <c r="B816" s="18"/>
      <c r="C816" s="18"/>
      <c r="D816" s="18"/>
      <c r="E816" s="18"/>
      <c r="F816" s="18"/>
      <c r="G816" s="27"/>
    </row>
    <row r="817">
      <c r="A817" s="18"/>
      <c r="B817" s="18"/>
      <c r="C817" s="18"/>
      <c r="D817" s="18"/>
      <c r="E817" s="18"/>
      <c r="F817" s="18"/>
      <c r="G817" s="27"/>
    </row>
    <row r="818">
      <c r="A818" s="18"/>
      <c r="B818" s="18"/>
      <c r="C818" s="18"/>
      <c r="D818" s="18"/>
      <c r="E818" s="18"/>
      <c r="F818" s="18"/>
      <c r="G818" s="27"/>
    </row>
    <row r="819">
      <c r="A819" s="18"/>
      <c r="B819" s="18"/>
      <c r="C819" s="18"/>
      <c r="D819" s="18"/>
      <c r="E819" s="18"/>
      <c r="F819" s="18"/>
      <c r="G819" s="27"/>
    </row>
    <row r="820">
      <c r="A820" s="18"/>
      <c r="B820" s="18"/>
      <c r="C820" s="18"/>
      <c r="D820" s="18"/>
      <c r="E820" s="18"/>
      <c r="F820" s="18"/>
      <c r="G820" s="27"/>
    </row>
    <row r="821">
      <c r="A821" s="18"/>
      <c r="B821" s="18"/>
      <c r="C821" s="18"/>
      <c r="D821" s="18"/>
      <c r="E821" s="18"/>
      <c r="F821" s="18"/>
      <c r="G821" s="27"/>
    </row>
    <row r="822">
      <c r="A822" s="18"/>
      <c r="B822" s="18"/>
      <c r="C822" s="18"/>
      <c r="D822" s="18"/>
      <c r="E822" s="18"/>
      <c r="F822" s="18"/>
      <c r="G822" s="27"/>
    </row>
    <row r="823">
      <c r="A823" s="18"/>
      <c r="B823" s="18"/>
      <c r="C823" s="18"/>
      <c r="D823" s="18"/>
      <c r="E823" s="18"/>
      <c r="F823" s="18"/>
      <c r="G823" s="27"/>
    </row>
    <row r="824">
      <c r="A824" s="18"/>
      <c r="B824" s="18"/>
      <c r="C824" s="18"/>
      <c r="D824" s="18"/>
      <c r="E824" s="18"/>
      <c r="F824" s="18"/>
      <c r="G824" s="27"/>
    </row>
    <row r="825">
      <c r="A825" s="18"/>
      <c r="B825" s="18"/>
      <c r="C825" s="18"/>
      <c r="D825" s="18"/>
      <c r="E825" s="18"/>
      <c r="F825" s="18"/>
      <c r="G825" s="27"/>
    </row>
    <row r="826">
      <c r="A826" s="18"/>
      <c r="B826" s="18"/>
      <c r="C826" s="18"/>
      <c r="D826" s="18"/>
      <c r="E826" s="18"/>
      <c r="F826" s="18"/>
      <c r="G826" s="27"/>
    </row>
    <row r="827">
      <c r="A827" s="18"/>
      <c r="B827" s="18"/>
      <c r="C827" s="18"/>
      <c r="D827" s="18"/>
      <c r="E827" s="18"/>
      <c r="F827" s="18"/>
      <c r="G827" s="27"/>
    </row>
    <row r="828">
      <c r="A828" s="18"/>
      <c r="B828" s="18"/>
      <c r="C828" s="18"/>
      <c r="D828" s="18"/>
      <c r="E828" s="18"/>
      <c r="F828" s="18"/>
      <c r="G828" s="27"/>
    </row>
    <row r="829">
      <c r="A829" s="18"/>
      <c r="B829" s="18"/>
      <c r="C829" s="18"/>
      <c r="D829" s="18"/>
      <c r="E829" s="18"/>
      <c r="F829" s="18"/>
      <c r="G829" s="27"/>
    </row>
    <row r="830">
      <c r="A830" s="18"/>
      <c r="B830" s="18"/>
      <c r="C830" s="18"/>
      <c r="D830" s="18"/>
      <c r="E830" s="18"/>
      <c r="F830" s="18"/>
      <c r="G830" s="27"/>
    </row>
    <row r="831">
      <c r="A831" s="18"/>
      <c r="B831" s="18"/>
      <c r="C831" s="18"/>
      <c r="D831" s="18"/>
      <c r="E831" s="18"/>
      <c r="F831" s="18"/>
      <c r="G831" s="27"/>
    </row>
    <row r="832">
      <c r="A832" s="18"/>
      <c r="B832" s="18"/>
      <c r="C832" s="18"/>
      <c r="D832" s="18"/>
      <c r="E832" s="18"/>
      <c r="F832" s="18"/>
      <c r="G832" s="27"/>
    </row>
    <row r="833">
      <c r="A833" s="18"/>
      <c r="B833" s="18"/>
      <c r="C833" s="18"/>
      <c r="D833" s="18"/>
      <c r="E833" s="18"/>
      <c r="F833" s="18"/>
      <c r="G833" s="27"/>
    </row>
    <row r="834">
      <c r="A834" s="18"/>
      <c r="B834" s="18"/>
      <c r="C834" s="18"/>
      <c r="D834" s="18"/>
      <c r="E834" s="18"/>
      <c r="F834" s="18"/>
      <c r="G834" s="27"/>
    </row>
    <row r="835">
      <c r="A835" s="18"/>
      <c r="B835" s="18"/>
      <c r="C835" s="18"/>
      <c r="D835" s="18"/>
      <c r="E835" s="18"/>
      <c r="F835" s="18"/>
      <c r="G835" s="27"/>
    </row>
    <row r="836">
      <c r="A836" s="18"/>
      <c r="B836" s="18"/>
      <c r="C836" s="18"/>
      <c r="D836" s="18"/>
      <c r="E836" s="18"/>
      <c r="F836" s="18"/>
      <c r="G836" s="27"/>
    </row>
    <row r="837">
      <c r="A837" s="18"/>
      <c r="B837" s="18"/>
      <c r="C837" s="18"/>
      <c r="D837" s="18"/>
      <c r="E837" s="18"/>
      <c r="F837" s="18"/>
      <c r="G837" s="27"/>
    </row>
    <row r="838">
      <c r="A838" s="18"/>
      <c r="B838" s="18"/>
      <c r="C838" s="18"/>
      <c r="D838" s="18"/>
      <c r="E838" s="18"/>
      <c r="F838" s="18"/>
      <c r="G838" s="27"/>
    </row>
    <row r="839">
      <c r="A839" s="18"/>
      <c r="B839" s="18"/>
      <c r="C839" s="18"/>
      <c r="D839" s="18"/>
      <c r="E839" s="18"/>
      <c r="F839" s="18"/>
      <c r="G839" s="27"/>
    </row>
    <row r="840">
      <c r="A840" s="18"/>
      <c r="B840" s="18"/>
      <c r="C840" s="18"/>
      <c r="D840" s="18"/>
      <c r="E840" s="18"/>
      <c r="F840" s="18"/>
      <c r="G840" s="27"/>
    </row>
    <row r="841">
      <c r="A841" s="18"/>
      <c r="B841" s="18"/>
      <c r="C841" s="18"/>
      <c r="D841" s="18"/>
      <c r="E841" s="18"/>
      <c r="F841" s="18"/>
      <c r="G841" s="27"/>
    </row>
    <row r="842">
      <c r="A842" s="18"/>
      <c r="B842" s="18"/>
      <c r="C842" s="18"/>
      <c r="D842" s="18"/>
      <c r="E842" s="18"/>
      <c r="F842" s="18"/>
      <c r="G842" s="27"/>
    </row>
    <row r="843">
      <c r="A843" s="18"/>
      <c r="B843" s="18"/>
      <c r="C843" s="18"/>
      <c r="D843" s="18"/>
      <c r="E843" s="18"/>
      <c r="F843" s="18"/>
      <c r="G843" s="27"/>
    </row>
    <row r="844">
      <c r="A844" s="18"/>
      <c r="B844" s="18"/>
      <c r="C844" s="18"/>
      <c r="D844" s="18"/>
      <c r="E844" s="18"/>
      <c r="F844" s="18"/>
      <c r="G844" s="27"/>
    </row>
    <row r="845">
      <c r="A845" s="18"/>
      <c r="B845" s="18"/>
      <c r="C845" s="18"/>
      <c r="D845" s="18"/>
      <c r="E845" s="18"/>
      <c r="F845" s="18"/>
      <c r="G845" s="27"/>
    </row>
    <row r="846">
      <c r="A846" s="18"/>
      <c r="B846" s="18"/>
      <c r="C846" s="18"/>
      <c r="D846" s="18"/>
      <c r="E846" s="18"/>
      <c r="F846" s="18"/>
      <c r="G846" s="27"/>
    </row>
    <row r="847">
      <c r="A847" s="18"/>
      <c r="B847" s="18"/>
      <c r="C847" s="18"/>
      <c r="D847" s="18"/>
      <c r="E847" s="18"/>
      <c r="F847" s="18"/>
      <c r="G847" s="27"/>
    </row>
    <row r="848">
      <c r="A848" s="18"/>
      <c r="B848" s="18"/>
      <c r="C848" s="18"/>
      <c r="D848" s="18"/>
      <c r="E848" s="18"/>
      <c r="F848" s="18"/>
      <c r="G848" s="27"/>
    </row>
    <row r="849">
      <c r="A849" s="18"/>
      <c r="B849" s="18"/>
      <c r="C849" s="18"/>
      <c r="D849" s="18"/>
      <c r="E849" s="18"/>
      <c r="F849" s="18"/>
      <c r="G849" s="27"/>
    </row>
    <row r="850">
      <c r="A850" s="18"/>
      <c r="B850" s="18"/>
      <c r="C850" s="18"/>
      <c r="D850" s="18"/>
      <c r="E850" s="18"/>
      <c r="F850" s="18"/>
      <c r="G850" s="27"/>
    </row>
    <row r="851">
      <c r="A851" s="18"/>
      <c r="B851" s="18"/>
      <c r="C851" s="18"/>
      <c r="D851" s="18"/>
      <c r="E851" s="18"/>
      <c r="F851" s="18"/>
      <c r="G851" s="27"/>
    </row>
    <row r="852">
      <c r="A852" s="18"/>
      <c r="B852" s="18"/>
      <c r="C852" s="18"/>
      <c r="D852" s="18"/>
      <c r="E852" s="18"/>
      <c r="F852" s="18"/>
      <c r="G852" s="27"/>
    </row>
    <row r="853">
      <c r="A853" s="18"/>
      <c r="B853" s="18"/>
      <c r="C853" s="18"/>
      <c r="D853" s="18"/>
      <c r="E853" s="18"/>
      <c r="F853" s="18"/>
      <c r="G853" s="27"/>
    </row>
    <row r="854">
      <c r="A854" s="18"/>
      <c r="B854" s="18"/>
      <c r="C854" s="18"/>
      <c r="D854" s="18"/>
      <c r="E854" s="18"/>
      <c r="F854" s="18"/>
      <c r="G854" s="27"/>
    </row>
    <row r="855">
      <c r="A855" s="18"/>
      <c r="B855" s="18"/>
      <c r="C855" s="18"/>
      <c r="D855" s="18"/>
      <c r="E855" s="18"/>
      <c r="F855" s="18"/>
      <c r="G855" s="27"/>
    </row>
    <row r="856">
      <c r="A856" s="18"/>
      <c r="B856" s="18"/>
      <c r="C856" s="18"/>
      <c r="D856" s="18"/>
      <c r="E856" s="18"/>
      <c r="F856" s="18"/>
      <c r="G856" s="27"/>
    </row>
    <row r="857">
      <c r="A857" s="18"/>
      <c r="B857" s="18"/>
      <c r="C857" s="18"/>
      <c r="D857" s="18"/>
      <c r="E857" s="18"/>
      <c r="F857" s="18"/>
      <c r="G857" s="27"/>
    </row>
    <row r="858">
      <c r="A858" s="18"/>
      <c r="B858" s="18"/>
      <c r="C858" s="18"/>
      <c r="D858" s="18"/>
      <c r="E858" s="18"/>
      <c r="F858" s="18"/>
      <c r="G858" s="27"/>
    </row>
    <row r="859">
      <c r="A859" s="18"/>
      <c r="B859" s="18"/>
      <c r="C859" s="18"/>
      <c r="D859" s="18"/>
      <c r="E859" s="18"/>
      <c r="F859" s="18"/>
      <c r="G859" s="27"/>
    </row>
    <row r="860">
      <c r="A860" s="18"/>
      <c r="B860" s="18"/>
      <c r="C860" s="18"/>
      <c r="D860" s="18"/>
      <c r="E860" s="18"/>
      <c r="F860" s="18"/>
      <c r="G860" s="27"/>
    </row>
    <row r="861">
      <c r="A861" s="18"/>
      <c r="B861" s="18"/>
      <c r="C861" s="18"/>
      <c r="D861" s="18"/>
      <c r="E861" s="18"/>
      <c r="F861" s="18"/>
      <c r="G861" s="27"/>
    </row>
    <row r="862">
      <c r="A862" s="18"/>
      <c r="B862" s="18"/>
      <c r="C862" s="18"/>
      <c r="D862" s="18"/>
      <c r="E862" s="18"/>
      <c r="F862" s="18"/>
      <c r="G862" s="27"/>
    </row>
    <row r="863">
      <c r="A863" s="18"/>
      <c r="B863" s="18"/>
      <c r="C863" s="18"/>
      <c r="D863" s="18"/>
      <c r="E863" s="18"/>
      <c r="F863" s="18"/>
      <c r="G863" s="27"/>
    </row>
    <row r="864">
      <c r="A864" s="18"/>
      <c r="B864" s="18"/>
      <c r="C864" s="18"/>
      <c r="D864" s="18"/>
      <c r="E864" s="18"/>
      <c r="F864" s="18"/>
      <c r="G864" s="27"/>
    </row>
    <row r="865">
      <c r="A865" s="18"/>
      <c r="B865" s="18"/>
      <c r="C865" s="18"/>
      <c r="D865" s="18"/>
      <c r="E865" s="18"/>
      <c r="F865" s="18"/>
      <c r="G865" s="27"/>
    </row>
    <row r="866">
      <c r="A866" s="18"/>
      <c r="B866" s="18"/>
      <c r="C866" s="18"/>
      <c r="D866" s="18"/>
      <c r="E866" s="18"/>
      <c r="F866" s="18"/>
      <c r="G866" s="27"/>
    </row>
    <row r="867">
      <c r="A867" s="18"/>
      <c r="B867" s="18"/>
      <c r="C867" s="18"/>
      <c r="D867" s="18"/>
      <c r="E867" s="18"/>
      <c r="F867" s="18"/>
      <c r="G867" s="27"/>
    </row>
    <row r="868">
      <c r="A868" s="18"/>
      <c r="B868" s="18"/>
      <c r="C868" s="18"/>
      <c r="D868" s="18"/>
      <c r="E868" s="18"/>
      <c r="F868" s="18"/>
      <c r="G868" s="27"/>
    </row>
    <row r="869">
      <c r="A869" s="18"/>
      <c r="B869" s="18"/>
      <c r="C869" s="18"/>
      <c r="D869" s="18"/>
      <c r="E869" s="18"/>
      <c r="F869" s="18"/>
      <c r="G869" s="27"/>
    </row>
    <row r="870">
      <c r="A870" s="18"/>
      <c r="B870" s="18"/>
      <c r="C870" s="18"/>
      <c r="D870" s="18"/>
      <c r="E870" s="18"/>
      <c r="F870" s="18"/>
      <c r="G870" s="27"/>
    </row>
    <row r="871">
      <c r="A871" s="18"/>
      <c r="B871" s="18"/>
      <c r="C871" s="18"/>
      <c r="D871" s="18"/>
      <c r="E871" s="18"/>
      <c r="F871" s="18"/>
      <c r="G871" s="27"/>
    </row>
    <row r="872">
      <c r="A872" s="18"/>
      <c r="B872" s="18"/>
      <c r="C872" s="18"/>
      <c r="D872" s="18"/>
      <c r="E872" s="18"/>
      <c r="F872" s="18"/>
      <c r="G872" s="27"/>
    </row>
    <row r="873">
      <c r="A873" s="18"/>
      <c r="B873" s="18"/>
      <c r="C873" s="18"/>
      <c r="D873" s="18"/>
      <c r="E873" s="18"/>
      <c r="F873" s="18"/>
      <c r="G873" s="27"/>
    </row>
    <row r="874">
      <c r="A874" s="18"/>
      <c r="B874" s="18"/>
      <c r="C874" s="18"/>
      <c r="D874" s="18"/>
      <c r="E874" s="18"/>
      <c r="F874" s="18"/>
      <c r="G874" s="27"/>
    </row>
    <row r="875">
      <c r="A875" s="18"/>
      <c r="B875" s="18"/>
      <c r="C875" s="18"/>
      <c r="D875" s="18"/>
      <c r="E875" s="18"/>
      <c r="F875" s="18"/>
      <c r="G875" s="27"/>
    </row>
    <row r="876">
      <c r="A876" s="18"/>
      <c r="B876" s="18"/>
      <c r="C876" s="18"/>
      <c r="D876" s="18"/>
      <c r="E876" s="18"/>
      <c r="F876" s="18"/>
      <c r="G876" s="27"/>
    </row>
    <row r="877">
      <c r="A877" s="18"/>
      <c r="B877" s="18"/>
      <c r="C877" s="18"/>
      <c r="D877" s="18"/>
      <c r="E877" s="18"/>
      <c r="F877" s="18"/>
      <c r="G877" s="27"/>
    </row>
    <row r="878">
      <c r="A878" s="18"/>
      <c r="B878" s="18"/>
      <c r="C878" s="18"/>
      <c r="D878" s="18"/>
      <c r="E878" s="18"/>
      <c r="F878" s="18"/>
      <c r="G878" s="27"/>
    </row>
    <row r="879">
      <c r="A879" s="18"/>
      <c r="B879" s="18"/>
      <c r="C879" s="18"/>
      <c r="D879" s="18"/>
      <c r="E879" s="18"/>
      <c r="F879" s="18"/>
      <c r="G879" s="27"/>
    </row>
    <row r="880">
      <c r="A880" s="18"/>
      <c r="B880" s="18"/>
      <c r="C880" s="18"/>
      <c r="D880" s="18"/>
      <c r="E880" s="18"/>
      <c r="F880" s="18"/>
      <c r="G880" s="27"/>
    </row>
    <row r="881">
      <c r="A881" s="18"/>
      <c r="B881" s="18"/>
      <c r="C881" s="18"/>
      <c r="D881" s="18"/>
      <c r="E881" s="18"/>
      <c r="F881" s="18"/>
      <c r="G881" s="27"/>
    </row>
    <row r="882">
      <c r="A882" s="18"/>
      <c r="B882" s="18"/>
      <c r="C882" s="18"/>
      <c r="D882" s="18"/>
      <c r="E882" s="18"/>
      <c r="F882" s="18"/>
      <c r="G882" s="27"/>
    </row>
    <row r="883">
      <c r="A883" s="18"/>
      <c r="B883" s="18"/>
      <c r="C883" s="18"/>
      <c r="D883" s="18"/>
      <c r="E883" s="18"/>
      <c r="F883" s="18"/>
      <c r="G883" s="27"/>
    </row>
    <row r="884">
      <c r="A884" s="18"/>
      <c r="B884" s="18"/>
      <c r="C884" s="18"/>
      <c r="D884" s="18"/>
      <c r="E884" s="18"/>
      <c r="F884" s="18"/>
      <c r="G884" s="27"/>
    </row>
    <row r="885">
      <c r="A885" s="18"/>
      <c r="B885" s="18"/>
      <c r="C885" s="18"/>
      <c r="D885" s="18"/>
      <c r="E885" s="18"/>
      <c r="F885" s="18"/>
      <c r="G885" s="27"/>
    </row>
    <row r="886">
      <c r="A886" s="18"/>
      <c r="B886" s="18"/>
      <c r="C886" s="18"/>
      <c r="D886" s="18"/>
      <c r="E886" s="18"/>
      <c r="F886" s="18"/>
      <c r="G886" s="27"/>
    </row>
    <row r="887">
      <c r="A887" s="18"/>
      <c r="B887" s="18"/>
      <c r="C887" s="18"/>
      <c r="D887" s="18"/>
      <c r="E887" s="18"/>
      <c r="F887" s="18"/>
      <c r="G887" s="27"/>
    </row>
    <row r="888">
      <c r="A888" s="18"/>
      <c r="B888" s="18"/>
      <c r="C888" s="18"/>
      <c r="D888" s="18"/>
      <c r="E888" s="18"/>
      <c r="F888" s="18"/>
      <c r="G888" s="27"/>
    </row>
    <row r="889">
      <c r="A889" s="18"/>
      <c r="B889" s="18"/>
      <c r="C889" s="18"/>
      <c r="D889" s="18"/>
      <c r="E889" s="18"/>
      <c r="F889" s="18"/>
      <c r="G889" s="27"/>
    </row>
    <row r="890">
      <c r="A890" s="18"/>
      <c r="B890" s="18"/>
      <c r="C890" s="18"/>
      <c r="D890" s="18"/>
      <c r="E890" s="18"/>
      <c r="F890" s="18"/>
      <c r="G890" s="27"/>
    </row>
    <row r="891">
      <c r="A891" s="18"/>
      <c r="B891" s="18"/>
      <c r="C891" s="18"/>
      <c r="D891" s="18"/>
      <c r="E891" s="18"/>
      <c r="F891" s="18"/>
      <c r="G891" s="27"/>
    </row>
    <row r="892">
      <c r="A892" s="18"/>
      <c r="B892" s="18"/>
      <c r="C892" s="18"/>
      <c r="D892" s="18"/>
      <c r="E892" s="18"/>
      <c r="F892" s="18"/>
      <c r="G892" s="27"/>
    </row>
    <row r="893">
      <c r="A893" s="18"/>
      <c r="B893" s="18"/>
      <c r="C893" s="18"/>
      <c r="D893" s="18"/>
      <c r="E893" s="18"/>
      <c r="F893" s="18"/>
      <c r="G893" s="27"/>
    </row>
    <row r="894">
      <c r="A894" s="18"/>
      <c r="B894" s="18"/>
      <c r="C894" s="18"/>
      <c r="D894" s="18"/>
      <c r="E894" s="18"/>
      <c r="F894" s="18"/>
      <c r="G894" s="27"/>
    </row>
    <row r="895">
      <c r="A895" s="18"/>
      <c r="B895" s="18"/>
      <c r="C895" s="18"/>
      <c r="D895" s="18"/>
      <c r="E895" s="18"/>
      <c r="F895" s="18"/>
      <c r="G895" s="27"/>
    </row>
    <row r="896">
      <c r="A896" s="18"/>
      <c r="B896" s="18"/>
      <c r="C896" s="18"/>
      <c r="D896" s="18"/>
      <c r="E896" s="18"/>
      <c r="F896" s="18"/>
      <c r="G896" s="27"/>
    </row>
    <row r="897">
      <c r="A897" s="18"/>
      <c r="B897" s="18"/>
      <c r="C897" s="18"/>
      <c r="D897" s="18"/>
      <c r="E897" s="18"/>
      <c r="F897" s="18"/>
      <c r="G897" s="27"/>
    </row>
    <row r="898">
      <c r="A898" s="18"/>
      <c r="B898" s="18"/>
      <c r="C898" s="18"/>
      <c r="D898" s="18"/>
      <c r="E898" s="18"/>
      <c r="F898" s="18"/>
      <c r="G898" s="27"/>
    </row>
    <row r="899">
      <c r="A899" s="18"/>
      <c r="B899" s="18"/>
      <c r="C899" s="18"/>
      <c r="D899" s="18"/>
      <c r="E899" s="18"/>
      <c r="F899" s="18"/>
      <c r="G899" s="27"/>
    </row>
    <row r="900">
      <c r="A900" s="18"/>
      <c r="B900" s="18"/>
      <c r="C900" s="18"/>
      <c r="D900" s="18"/>
      <c r="E900" s="18"/>
      <c r="F900" s="18"/>
      <c r="G900" s="27"/>
    </row>
    <row r="901">
      <c r="A901" s="18"/>
      <c r="B901" s="18"/>
      <c r="C901" s="18"/>
      <c r="D901" s="18"/>
      <c r="E901" s="18"/>
      <c r="F901" s="18"/>
      <c r="G901" s="27"/>
    </row>
    <row r="902">
      <c r="A902" s="18"/>
      <c r="B902" s="18"/>
      <c r="C902" s="18"/>
      <c r="D902" s="18"/>
      <c r="E902" s="18"/>
      <c r="F902" s="18"/>
      <c r="G902" s="27"/>
    </row>
    <row r="903">
      <c r="A903" s="18"/>
      <c r="B903" s="18"/>
      <c r="C903" s="18"/>
      <c r="D903" s="18"/>
      <c r="E903" s="18"/>
      <c r="F903" s="18"/>
      <c r="G903" s="27"/>
    </row>
    <row r="904">
      <c r="A904" s="18"/>
      <c r="B904" s="18"/>
      <c r="C904" s="18"/>
      <c r="D904" s="18"/>
      <c r="E904" s="18"/>
      <c r="F904" s="18"/>
      <c r="G904" s="27"/>
    </row>
    <row r="905">
      <c r="A905" s="18"/>
      <c r="B905" s="18"/>
      <c r="C905" s="18"/>
      <c r="D905" s="18"/>
      <c r="E905" s="18"/>
      <c r="F905" s="18"/>
      <c r="G905" s="27"/>
    </row>
    <row r="906">
      <c r="A906" s="18"/>
      <c r="B906" s="18"/>
      <c r="C906" s="18"/>
      <c r="D906" s="18"/>
      <c r="E906" s="18"/>
      <c r="F906" s="18"/>
      <c r="G906" s="27"/>
    </row>
    <row r="907">
      <c r="A907" s="18"/>
      <c r="B907" s="18"/>
      <c r="C907" s="18"/>
      <c r="D907" s="18"/>
      <c r="E907" s="18"/>
      <c r="F907" s="18"/>
      <c r="G907" s="27"/>
    </row>
    <row r="908">
      <c r="A908" s="18"/>
      <c r="B908" s="18"/>
      <c r="C908" s="18"/>
      <c r="D908" s="18"/>
      <c r="E908" s="18"/>
      <c r="F908" s="18"/>
      <c r="G908" s="27"/>
    </row>
    <row r="909">
      <c r="A909" s="18"/>
      <c r="B909" s="18"/>
      <c r="C909" s="18"/>
      <c r="D909" s="18"/>
      <c r="E909" s="18"/>
      <c r="F909" s="18"/>
      <c r="G909" s="27"/>
    </row>
    <row r="910">
      <c r="A910" s="18"/>
      <c r="B910" s="18"/>
      <c r="C910" s="18"/>
      <c r="D910" s="18"/>
      <c r="E910" s="18"/>
      <c r="F910" s="18"/>
      <c r="G910" s="27"/>
    </row>
    <row r="911">
      <c r="A911" s="18"/>
      <c r="B911" s="18"/>
      <c r="C911" s="18"/>
      <c r="D911" s="18"/>
      <c r="E911" s="18"/>
      <c r="F911" s="18"/>
      <c r="G911" s="27"/>
    </row>
    <row r="912">
      <c r="A912" s="18"/>
      <c r="B912" s="18"/>
      <c r="C912" s="18"/>
      <c r="D912" s="18"/>
      <c r="E912" s="18"/>
      <c r="F912" s="18"/>
      <c r="G912" s="27"/>
    </row>
    <row r="913">
      <c r="A913" s="18"/>
      <c r="B913" s="18"/>
      <c r="C913" s="18"/>
      <c r="D913" s="18"/>
      <c r="E913" s="18"/>
      <c r="F913" s="18"/>
      <c r="G913" s="27"/>
    </row>
    <row r="914">
      <c r="A914" s="18"/>
      <c r="B914" s="18"/>
      <c r="C914" s="18"/>
      <c r="D914" s="18"/>
      <c r="E914" s="18"/>
      <c r="F914" s="18"/>
      <c r="G914" s="27"/>
    </row>
    <row r="915">
      <c r="A915" s="18"/>
      <c r="B915" s="18"/>
      <c r="C915" s="18"/>
      <c r="D915" s="18"/>
      <c r="E915" s="18"/>
      <c r="F915" s="18"/>
      <c r="G915" s="27"/>
    </row>
    <row r="916">
      <c r="A916" s="18"/>
      <c r="B916" s="18"/>
      <c r="C916" s="18"/>
      <c r="D916" s="18"/>
      <c r="E916" s="18"/>
      <c r="F916" s="18"/>
      <c r="G916" s="27"/>
    </row>
    <row r="917">
      <c r="A917" s="18"/>
      <c r="B917" s="18"/>
      <c r="C917" s="18"/>
      <c r="D917" s="18"/>
      <c r="E917" s="18"/>
      <c r="F917" s="18"/>
      <c r="G917" s="27"/>
    </row>
    <row r="918">
      <c r="A918" s="18"/>
      <c r="B918" s="18"/>
      <c r="C918" s="18"/>
      <c r="D918" s="18"/>
      <c r="E918" s="18"/>
      <c r="F918" s="18"/>
      <c r="G918" s="27"/>
    </row>
    <row r="919">
      <c r="A919" s="18"/>
      <c r="B919" s="18"/>
      <c r="C919" s="18"/>
      <c r="D919" s="18"/>
      <c r="E919" s="18"/>
      <c r="F919" s="18"/>
      <c r="G919" s="27"/>
    </row>
    <row r="920">
      <c r="A920" s="18"/>
      <c r="B920" s="18"/>
      <c r="C920" s="18"/>
      <c r="D920" s="18"/>
      <c r="E920" s="18"/>
      <c r="F920" s="18"/>
      <c r="G920" s="27"/>
    </row>
    <row r="921">
      <c r="A921" s="18"/>
      <c r="B921" s="18"/>
      <c r="C921" s="18"/>
      <c r="D921" s="18"/>
      <c r="E921" s="18"/>
      <c r="F921" s="18"/>
      <c r="G921" s="27"/>
    </row>
    <row r="922">
      <c r="A922" s="18"/>
      <c r="B922" s="18"/>
      <c r="C922" s="18"/>
      <c r="D922" s="18"/>
      <c r="E922" s="18"/>
      <c r="F922" s="18"/>
      <c r="G922" s="27"/>
    </row>
    <row r="923">
      <c r="A923" s="18"/>
      <c r="B923" s="18"/>
      <c r="C923" s="18"/>
      <c r="D923" s="18"/>
      <c r="E923" s="18"/>
      <c r="F923" s="18"/>
      <c r="G923" s="27"/>
    </row>
    <row r="924">
      <c r="A924" s="18"/>
      <c r="B924" s="18"/>
      <c r="C924" s="18"/>
      <c r="D924" s="18"/>
      <c r="E924" s="18"/>
      <c r="F924" s="18"/>
      <c r="G924" s="27"/>
    </row>
    <row r="925">
      <c r="A925" s="18"/>
      <c r="B925" s="18"/>
      <c r="C925" s="18"/>
      <c r="D925" s="18"/>
      <c r="E925" s="18"/>
      <c r="F925" s="18"/>
      <c r="G925" s="27"/>
    </row>
    <row r="926">
      <c r="A926" s="18"/>
      <c r="B926" s="18"/>
      <c r="C926" s="18"/>
      <c r="D926" s="18"/>
      <c r="E926" s="18"/>
      <c r="F926" s="18"/>
      <c r="G926" s="27"/>
    </row>
    <row r="927">
      <c r="A927" s="18"/>
      <c r="B927" s="18"/>
      <c r="C927" s="18"/>
      <c r="D927" s="18"/>
      <c r="E927" s="18"/>
      <c r="F927" s="18"/>
      <c r="G927" s="27"/>
    </row>
    <row r="928">
      <c r="A928" s="18"/>
      <c r="B928" s="18"/>
      <c r="C928" s="18"/>
      <c r="D928" s="18"/>
      <c r="E928" s="18"/>
      <c r="F928" s="18"/>
      <c r="G928" s="27"/>
    </row>
    <row r="929">
      <c r="A929" s="18"/>
      <c r="B929" s="18"/>
      <c r="C929" s="18"/>
      <c r="D929" s="18"/>
      <c r="E929" s="18"/>
      <c r="F929" s="18"/>
      <c r="G929" s="27"/>
    </row>
    <row r="930">
      <c r="A930" s="18"/>
      <c r="B930" s="18"/>
      <c r="C930" s="18"/>
      <c r="D930" s="18"/>
      <c r="E930" s="18"/>
      <c r="F930" s="18"/>
      <c r="G930" s="27"/>
    </row>
    <row r="931">
      <c r="A931" s="18"/>
      <c r="B931" s="18"/>
      <c r="C931" s="18"/>
      <c r="D931" s="18"/>
      <c r="E931" s="18"/>
      <c r="F931" s="18"/>
      <c r="G931" s="27"/>
    </row>
    <row r="932">
      <c r="A932" s="18"/>
      <c r="B932" s="18"/>
      <c r="C932" s="18"/>
      <c r="D932" s="18"/>
      <c r="E932" s="18"/>
      <c r="F932" s="18"/>
      <c r="G932" s="27"/>
    </row>
    <row r="933">
      <c r="A933" s="18"/>
      <c r="B933" s="18"/>
      <c r="C933" s="18"/>
      <c r="D933" s="18"/>
      <c r="E933" s="18"/>
      <c r="F933" s="18"/>
      <c r="G933" s="27"/>
    </row>
    <row r="934">
      <c r="A934" s="18"/>
      <c r="B934" s="18"/>
      <c r="C934" s="18"/>
      <c r="D934" s="18"/>
      <c r="E934" s="18"/>
      <c r="F934" s="18"/>
      <c r="G934" s="27"/>
    </row>
    <row r="935">
      <c r="A935" s="18"/>
      <c r="B935" s="18"/>
      <c r="C935" s="18"/>
      <c r="D935" s="18"/>
      <c r="E935" s="18"/>
      <c r="F935" s="18"/>
      <c r="G935" s="27"/>
    </row>
    <row r="936">
      <c r="A936" s="18"/>
      <c r="B936" s="18"/>
      <c r="C936" s="18"/>
      <c r="D936" s="18"/>
      <c r="E936" s="18"/>
      <c r="F936" s="18"/>
      <c r="G936" s="27"/>
    </row>
    <row r="937">
      <c r="A937" s="18"/>
      <c r="B937" s="18"/>
      <c r="C937" s="18"/>
      <c r="D937" s="18"/>
      <c r="E937" s="18"/>
      <c r="F937" s="18"/>
      <c r="G937" s="27"/>
    </row>
    <row r="938">
      <c r="A938" s="18"/>
      <c r="B938" s="18"/>
      <c r="C938" s="18"/>
      <c r="D938" s="18"/>
      <c r="E938" s="18"/>
      <c r="F938" s="18"/>
      <c r="G938" s="27"/>
    </row>
    <row r="939">
      <c r="A939" s="18"/>
      <c r="B939" s="18"/>
      <c r="C939" s="18"/>
      <c r="D939" s="18"/>
      <c r="E939" s="18"/>
      <c r="F939" s="18"/>
      <c r="G939" s="27"/>
    </row>
    <row r="940">
      <c r="A940" s="18"/>
      <c r="B940" s="18"/>
      <c r="C940" s="18"/>
      <c r="D940" s="18"/>
      <c r="E940" s="18"/>
      <c r="F940" s="18"/>
      <c r="G940" s="27"/>
    </row>
    <row r="941">
      <c r="A941" s="18"/>
      <c r="B941" s="18"/>
      <c r="C941" s="18"/>
      <c r="D941" s="18"/>
      <c r="E941" s="18"/>
      <c r="F941" s="18"/>
      <c r="G941" s="27"/>
    </row>
    <row r="942">
      <c r="A942" s="18"/>
      <c r="B942" s="18"/>
      <c r="C942" s="18"/>
      <c r="D942" s="18"/>
      <c r="E942" s="18"/>
      <c r="F942" s="18"/>
      <c r="G942" s="27"/>
    </row>
    <row r="943">
      <c r="A943" s="18"/>
      <c r="B943" s="18"/>
      <c r="C943" s="18"/>
      <c r="D943" s="18"/>
      <c r="E943" s="18"/>
      <c r="F943" s="18"/>
      <c r="G943" s="27"/>
    </row>
    <row r="944">
      <c r="A944" s="18"/>
      <c r="B944" s="18"/>
      <c r="C944" s="18"/>
      <c r="D944" s="18"/>
      <c r="E944" s="18"/>
      <c r="F944" s="18"/>
      <c r="G944" s="27"/>
    </row>
    <row r="945">
      <c r="A945" s="18"/>
      <c r="B945" s="18"/>
      <c r="C945" s="18"/>
      <c r="D945" s="18"/>
      <c r="E945" s="18"/>
      <c r="F945" s="18"/>
      <c r="G945" s="27"/>
    </row>
    <row r="946">
      <c r="A946" s="18"/>
      <c r="B946" s="18"/>
      <c r="C946" s="18"/>
      <c r="D946" s="18"/>
      <c r="E946" s="18"/>
      <c r="F946" s="18"/>
      <c r="G946" s="27"/>
    </row>
    <row r="947">
      <c r="A947" s="18"/>
      <c r="B947" s="18"/>
      <c r="C947" s="18"/>
      <c r="D947" s="18"/>
      <c r="E947" s="18"/>
      <c r="F947" s="18"/>
      <c r="G947" s="27"/>
    </row>
    <row r="948">
      <c r="A948" s="18"/>
      <c r="B948" s="18"/>
      <c r="C948" s="18"/>
      <c r="D948" s="18"/>
      <c r="E948" s="18"/>
      <c r="F948" s="18"/>
      <c r="G948" s="27"/>
    </row>
    <row r="949">
      <c r="A949" s="18"/>
      <c r="B949" s="18"/>
      <c r="C949" s="18"/>
      <c r="D949" s="18"/>
      <c r="E949" s="18"/>
      <c r="F949" s="18"/>
      <c r="G949" s="27"/>
    </row>
    <row r="950">
      <c r="A950" s="18"/>
      <c r="B950" s="18"/>
      <c r="C950" s="18"/>
      <c r="D950" s="18"/>
      <c r="E950" s="18"/>
      <c r="F950" s="18"/>
      <c r="G950" s="27"/>
    </row>
    <row r="951">
      <c r="A951" s="18"/>
      <c r="B951" s="18"/>
      <c r="C951" s="18"/>
      <c r="D951" s="18"/>
      <c r="E951" s="18"/>
      <c r="F951" s="18"/>
      <c r="G951" s="27"/>
    </row>
    <row r="952">
      <c r="A952" s="18"/>
      <c r="B952" s="18"/>
      <c r="C952" s="18"/>
      <c r="D952" s="18"/>
      <c r="E952" s="18"/>
      <c r="F952" s="18"/>
      <c r="G952" s="27"/>
    </row>
    <row r="953">
      <c r="A953" s="18"/>
      <c r="B953" s="18"/>
      <c r="C953" s="18"/>
      <c r="D953" s="18"/>
      <c r="E953" s="18"/>
      <c r="F953" s="18"/>
      <c r="G953" s="27"/>
    </row>
    <row r="954">
      <c r="A954" s="18"/>
      <c r="B954" s="18"/>
      <c r="C954" s="18"/>
      <c r="D954" s="18"/>
      <c r="E954" s="18"/>
      <c r="F954" s="18"/>
      <c r="G954" s="27"/>
    </row>
    <row r="955">
      <c r="A955" s="18"/>
      <c r="B955" s="18"/>
      <c r="C955" s="18"/>
      <c r="D955" s="18"/>
      <c r="E955" s="18"/>
      <c r="F955" s="18"/>
      <c r="G955" s="27"/>
    </row>
    <row r="956">
      <c r="A956" s="18"/>
      <c r="B956" s="18"/>
      <c r="C956" s="18"/>
      <c r="D956" s="18"/>
      <c r="E956" s="18"/>
      <c r="F956" s="18"/>
      <c r="G956" s="27"/>
    </row>
    <row r="957">
      <c r="A957" s="18"/>
      <c r="B957" s="18"/>
      <c r="C957" s="18"/>
      <c r="D957" s="18"/>
      <c r="E957" s="18"/>
      <c r="F957" s="18"/>
      <c r="G957" s="27"/>
    </row>
    <row r="958">
      <c r="A958" s="18"/>
      <c r="B958" s="18"/>
      <c r="C958" s="18"/>
      <c r="D958" s="18"/>
      <c r="E958" s="18"/>
      <c r="F958" s="18"/>
      <c r="G958" s="27"/>
    </row>
    <row r="959">
      <c r="A959" s="18"/>
      <c r="B959" s="18"/>
      <c r="C959" s="18"/>
      <c r="D959" s="18"/>
      <c r="E959" s="18"/>
      <c r="F959" s="18"/>
      <c r="G959" s="27"/>
    </row>
    <row r="960">
      <c r="A960" s="18"/>
      <c r="B960" s="18"/>
      <c r="C960" s="18"/>
      <c r="D960" s="18"/>
      <c r="E960" s="18"/>
      <c r="F960" s="18"/>
      <c r="G960" s="27"/>
    </row>
    <row r="961">
      <c r="A961" s="18"/>
      <c r="B961" s="18"/>
      <c r="C961" s="18"/>
      <c r="D961" s="18"/>
      <c r="E961" s="18"/>
      <c r="F961" s="18"/>
      <c r="G961" s="27"/>
    </row>
    <row r="962">
      <c r="A962" s="18"/>
      <c r="B962" s="18"/>
      <c r="C962" s="18"/>
      <c r="D962" s="18"/>
      <c r="E962" s="18"/>
      <c r="F962" s="18"/>
      <c r="G962" s="27"/>
    </row>
    <row r="963">
      <c r="A963" s="18"/>
      <c r="B963" s="18"/>
      <c r="C963" s="18"/>
      <c r="D963" s="18"/>
      <c r="E963" s="18"/>
      <c r="F963" s="18"/>
      <c r="G963" s="27"/>
    </row>
    <row r="964">
      <c r="A964" s="18"/>
      <c r="B964" s="18"/>
      <c r="C964" s="18"/>
      <c r="D964" s="18"/>
      <c r="E964" s="18"/>
      <c r="F964" s="18"/>
      <c r="G964" s="27"/>
    </row>
    <row r="965">
      <c r="A965" s="18"/>
      <c r="B965" s="18"/>
      <c r="C965" s="18"/>
      <c r="D965" s="18"/>
      <c r="E965" s="18"/>
      <c r="F965" s="18"/>
      <c r="G965" s="27"/>
    </row>
    <row r="966">
      <c r="A966" s="18"/>
      <c r="B966" s="18"/>
      <c r="C966" s="18"/>
      <c r="D966" s="18"/>
      <c r="E966" s="18"/>
      <c r="F966" s="18"/>
      <c r="G966" s="27"/>
    </row>
    <row r="967">
      <c r="A967" s="18"/>
      <c r="B967" s="18"/>
      <c r="C967" s="18"/>
      <c r="D967" s="18"/>
      <c r="E967" s="18"/>
      <c r="F967" s="18"/>
      <c r="G967" s="27"/>
    </row>
    <row r="968">
      <c r="A968" s="18"/>
      <c r="B968" s="18"/>
      <c r="C968" s="18"/>
      <c r="D968" s="18"/>
      <c r="E968" s="18"/>
      <c r="F968" s="18"/>
      <c r="G968" s="27"/>
    </row>
    <row r="969">
      <c r="A969" s="18"/>
      <c r="B969" s="18"/>
      <c r="C969" s="18"/>
      <c r="D969" s="18"/>
      <c r="E969" s="18"/>
      <c r="F969" s="18"/>
      <c r="G969" s="27"/>
    </row>
    <row r="970">
      <c r="A970" s="18"/>
      <c r="B970" s="18"/>
      <c r="C970" s="18"/>
      <c r="D970" s="18"/>
      <c r="E970" s="18"/>
      <c r="F970" s="18"/>
      <c r="G970" s="27"/>
    </row>
    <row r="971">
      <c r="A971" s="18"/>
      <c r="B971" s="18"/>
      <c r="C971" s="18"/>
      <c r="D971" s="18"/>
      <c r="E971" s="18"/>
      <c r="F971" s="18"/>
      <c r="G971" s="27"/>
    </row>
    <row r="972">
      <c r="A972" s="18"/>
      <c r="B972" s="18"/>
      <c r="C972" s="18"/>
      <c r="D972" s="18"/>
      <c r="E972" s="18"/>
      <c r="F972" s="18"/>
      <c r="G972" s="27"/>
    </row>
    <row r="973">
      <c r="A973" s="18"/>
      <c r="B973" s="18"/>
      <c r="C973" s="18"/>
      <c r="D973" s="18"/>
      <c r="E973" s="18"/>
      <c r="F973" s="18"/>
      <c r="G973" s="27"/>
    </row>
    <row r="974">
      <c r="A974" s="18"/>
      <c r="B974" s="18"/>
      <c r="C974" s="18"/>
      <c r="D974" s="18"/>
      <c r="E974" s="18"/>
      <c r="F974" s="18"/>
      <c r="G974" s="27"/>
    </row>
    <row r="975">
      <c r="A975" s="18"/>
      <c r="B975" s="18"/>
      <c r="C975" s="18"/>
      <c r="D975" s="18"/>
      <c r="E975" s="18"/>
      <c r="F975" s="18"/>
      <c r="G975" s="27"/>
    </row>
    <row r="976">
      <c r="A976" s="18"/>
      <c r="B976" s="18"/>
      <c r="C976" s="18"/>
      <c r="D976" s="18"/>
      <c r="E976" s="18"/>
      <c r="F976" s="18"/>
      <c r="G976" s="27"/>
    </row>
    <row r="977">
      <c r="A977" s="18"/>
      <c r="B977" s="18"/>
      <c r="C977" s="18"/>
      <c r="D977" s="18"/>
      <c r="E977" s="18"/>
      <c r="F977" s="18"/>
      <c r="G977" s="27"/>
    </row>
    <row r="978">
      <c r="A978" s="18"/>
      <c r="B978" s="18"/>
      <c r="C978" s="18"/>
      <c r="D978" s="18"/>
      <c r="E978" s="18"/>
      <c r="F978" s="18"/>
      <c r="G978" s="27"/>
    </row>
    <row r="979">
      <c r="A979" s="18"/>
      <c r="B979" s="18"/>
      <c r="C979" s="18"/>
      <c r="D979" s="18"/>
      <c r="E979" s="18"/>
      <c r="F979" s="18"/>
      <c r="G979" s="27"/>
    </row>
    <row r="980">
      <c r="A980" s="18"/>
      <c r="B980" s="18"/>
      <c r="C980" s="18"/>
      <c r="D980" s="18"/>
      <c r="E980" s="18"/>
      <c r="F980" s="18"/>
      <c r="G980" s="27"/>
    </row>
    <row r="981">
      <c r="A981" s="18"/>
      <c r="B981" s="18"/>
      <c r="C981" s="18"/>
      <c r="D981" s="18"/>
      <c r="E981" s="18"/>
      <c r="F981" s="18"/>
      <c r="G981" s="27"/>
    </row>
    <row r="982">
      <c r="A982" s="18"/>
      <c r="B982" s="18"/>
      <c r="C982" s="18"/>
      <c r="D982" s="18"/>
      <c r="E982" s="18"/>
      <c r="F982" s="18"/>
      <c r="G982" s="27"/>
    </row>
    <row r="983">
      <c r="A983" s="18"/>
      <c r="B983" s="18"/>
      <c r="C983" s="18"/>
      <c r="D983" s="18"/>
      <c r="E983" s="18"/>
      <c r="F983" s="18"/>
      <c r="G983" s="27"/>
    </row>
    <row r="984">
      <c r="A984" s="18"/>
      <c r="B984" s="18"/>
      <c r="C984" s="18"/>
      <c r="D984" s="18"/>
      <c r="E984" s="18"/>
      <c r="F984" s="18"/>
      <c r="G984" s="27"/>
    </row>
    <row r="985">
      <c r="A985" s="18"/>
      <c r="B985" s="18"/>
      <c r="C985" s="18"/>
      <c r="D985" s="18"/>
      <c r="E985" s="18"/>
      <c r="F985" s="18"/>
      <c r="G985" s="27"/>
    </row>
    <row r="986">
      <c r="A986" s="18"/>
      <c r="B986" s="18"/>
      <c r="C986" s="18"/>
      <c r="D986" s="18"/>
      <c r="E986" s="18"/>
      <c r="F986" s="18"/>
      <c r="G986" s="27"/>
    </row>
    <row r="987">
      <c r="A987" s="18"/>
      <c r="B987" s="18"/>
      <c r="C987" s="18"/>
      <c r="D987" s="18"/>
      <c r="E987" s="18"/>
      <c r="F987" s="18"/>
      <c r="G987" s="27"/>
    </row>
    <row r="988">
      <c r="A988" s="18"/>
      <c r="B988" s="18"/>
      <c r="C988" s="18"/>
      <c r="D988" s="18"/>
      <c r="E988" s="18"/>
      <c r="F988" s="18"/>
      <c r="G988" s="27"/>
    </row>
    <row r="989">
      <c r="A989" s="18"/>
      <c r="B989" s="18"/>
      <c r="C989" s="18"/>
      <c r="D989" s="18"/>
      <c r="E989" s="18"/>
      <c r="F989" s="18"/>
      <c r="G989" s="27"/>
    </row>
    <row r="990">
      <c r="A990" s="18"/>
      <c r="B990" s="18"/>
      <c r="C990" s="18"/>
      <c r="D990" s="18"/>
      <c r="E990" s="18"/>
      <c r="F990" s="18"/>
      <c r="G990" s="27"/>
    </row>
    <row r="991">
      <c r="A991" s="18"/>
      <c r="B991" s="18"/>
      <c r="C991" s="18"/>
      <c r="D991" s="18"/>
      <c r="E991" s="18"/>
      <c r="F991" s="18"/>
      <c r="G991" s="27"/>
    </row>
    <row r="992">
      <c r="A992" s="18"/>
      <c r="B992" s="18"/>
      <c r="C992" s="18"/>
      <c r="D992" s="18"/>
      <c r="E992" s="18"/>
      <c r="F992" s="18"/>
      <c r="G992" s="27"/>
    </row>
    <row r="993">
      <c r="A993" s="18"/>
      <c r="B993" s="18"/>
      <c r="C993" s="18"/>
      <c r="D993" s="18"/>
      <c r="E993" s="18"/>
      <c r="F993" s="18"/>
      <c r="G993" s="27"/>
    </row>
    <row r="994">
      <c r="A994" s="18"/>
      <c r="B994" s="18"/>
      <c r="C994" s="18"/>
      <c r="D994" s="18"/>
      <c r="E994" s="18"/>
      <c r="F994" s="18"/>
      <c r="G994" s="27"/>
    </row>
  </sheetData>
  <dataValidations>
    <dataValidation type="list" allowBlank="1" showErrorMessage="1" sqref="C1:C994">
      <formula1>"Bintaro,Buah Batu,Cawang,Cilandak Barat,Ciledug,Cimahi,Ciputat Jombang,Ciputat Juanda,Citraland,Ciumbuleuit,Jatinangor,Kalimalang,Karawaci,Kayu Putih,Kemang Utara,Kiara Artha,Kota Wisata,Kranggan,Lebak Bulus,Lenteng Agung,Margonda,Margorejo,Melong,Metro,P"&amp;"amulang,Pekayon,Pengumben,Peta,Setu Cipayung,Ujung Berung,   Ujung Berung,  Bintaro,  Buah Batu,  Cawang,  Cilandak Barat,  Ciledug,  Cimahi,  Ciputat Jombang,  Ciputat Juanda,  Citraland,  Ciumbuleuit,  Jatinangor,  Kalimalang,  Karawaci,  Kayu Putih,  K"&amp;"emang Utara,  Kiara Artha,  Kota Wisata,  Kranggan,  Lebak Bulus,  Lenteng Agung,  Margonda,  Margorejo,  Metro,  Pamulang,  Pekayon,  Pengumben,  Peta,  Setu Cipayung, Bintaro, Buah Batu, Cawang, Cilandak, Ciledug, Cimahi, Ciputat Jombang, Ciputat Juanda"&amp;", Citraland, Ciumbuleuit, Dago, Jatinangor, Kalimalang, Karawaci, Kayu Putih, Kemang Utara, Kiara Artha, Kota Wisata, Kranggan, Lebak Bulus, Margonda, Margorejo, Melong, Metro, Pamulang, Pekayon, Pengumben, Peta, Setu Cipayung, Ujung Berung Baru,Store"</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row>
    <row r="2">
      <c r="A2" s="16" t="s">
        <v>151</v>
      </c>
      <c r="B2" s="16" t="s">
        <v>302</v>
      </c>
      <c r="C2" s="16" t="s">
        <v>303</v>
      </c>
      <c r="D2" s="16" t="s">
        <v>302</v>
      </c>
      <c r="E2" s="16" t="s">
        <v>303</v>
      </c>
      <c r="F2" s="16" t="s">
        <v>302</v>
      </c>
      <c r="G2" s="16" t="s">
        <v>303</v>
      </c>
      <c r="H2" s="16" t="s">
        <v>302</v>
      </c>
      <c r="I2" s="16" t="s">
        <v>303</v>
      </c>
      <c r="J2" s="16" t="s">
        <v>302</v>
      </c>
      <c r="K2" s="16" t="s">
        <v>303</v>
      </c>
      <c r="L2" s="16" t="s">
        <v>302</v>
      </c>
      <c r="M2" s="16" t="s">
        <v>303</v>
      </c>
      <c r="O2" s="47"/>
    </row>
    <row r="3">
      <c r="A3" s="18" t="s">
        <v>140</v>
      </c>
      <c r="B3" s="28">
        <v>2439.0</v>
      </c>
      <c r="C3" s="18">
        <v>3.0</v>
      </c>
      <c r="D3" s="28">
        <v>1930.0</v>
      </c>
      <c r="E3" s="28">
        <v>2.0</v>
      </c>
      <c r="F3" s="17">
        <v>1921.0</v>
      </c>
      <c r="G3" s="18">
        <v>4.0</v>
      </c>
      <c r="H3" s="18"/>
      <c r="I3" s="18"/>
      <c r="J3" s="18"/>
      <c r="K3" s="18"/>
      <c r="L3" s="18"/>
      <c r="M3" s="18"/>
      <c r="O3" s="47"/>
    </row>
    <row r="4">
      <c r="A4" s="18" t="s">
        <v>131</v>
      </c>
      <c r="B4" s="28">
        <v>5271.0</v>
      </c>
      <c r="C4" s="18">
        <v>4.0</v>
      </c>
      <c r="D4" s="28">
        <v>4583.0</v>
      </c>
      <c r="E4" s="28">
        <v>1.0</v>
      </c>
      <c r="F4" s="17">
        <v>5239.0</v>
      </c>
      <c r="G4" s="18">
        <v>6.0</v>
      </c>
      <c r="H4" s="18"/>
      <c r="I4" s="18"/>
      <c r="J4" s="18"/>
      <c r="K4" s="18"/>
      <c r="L4" s="18"/>
      <c r="M4" s="18"/>
      <c r="O4" s="47"/>
    </row>
    <row r="5">
      <c r="A5" s="18" t="s">
        <v>136</v>
      </c>
      <c r="B5" s="28">
        <v>3866.0</v>
      </c>
      <c r="C5" s="17">
        <v>5.0</v>
      </c>
      <c r="D5" s="28">
        <v>2887.0</v>
      </c>
      <c r="E5" s="18">
        <v>1.0</v>
      </c>
      <c r="F5" s="17">
        <v>3487.0</v>
      </c>
      <c r="G5" s="17">
        <v>0.0</v>
      </c>
      <c r="H5" s="18"/>
      <c r="I5" s="18"/>
      <c r="J5" s="18"/>
      <c r="K5" s="18"/>
      <c r="L5" s="18"/>
      <c r="M5" s="18"/>
      <c r="O5" s="47"/>
    </row>
    <row r="6">
      <c r="A6" s="18" t="s">
        <v>135</v>
      </c>
      <c r="B6" s="28">
        <v>1622.0</v>
      </c>
      <c r="C6" s="18">
        <v>1.0</v>
      </c>
      <c r="D6" s="28">
        <v>1255.0</v>
      </c>
      <c r="E6" s="28">
        <v>2.0</v>
      </c>
      <c r="F6" s="17">
        <v>1426.0</v>
      </c>
      <c r="G6" s="17">
        <v>0.0</v>
      </c>
      <c r="H6" s="18"/>
      <c r="I6" s="18"/>
      <c r="J6" s="18"/>
      <c r="K6" s="18"/>
      <c r="L6" s="18"/>
      <c r="M6" s="18"/>
      <c r="O6" s="47"/>
    </row>
    <row r="7">
      <c r="A7" s="18" t="s">
        <v>122</v>
      </c>
      <c r="B7" s="28">
        <v>5504.0</v>
      </c>
      <c r="C7" s="18">
        <v>4.0</v>
      </c>
      <c r="D7" s="28">
        <v>4215.0</v>
      </c>
      <c r="E7" s="28">
        <v>0.0</v>
      </c>
      <c r="F7" s="17">
        <v>5091.0</v>
      </c>
      <c r="G7" s="18">
        <v>1.0</v>
      </c>
      <c r="H7" s="18"/>
      <c r="I7" s="18"/>
      <c r="J7" s="18"/>
      <c r="K7" s="18"/>
      <c r="L7" s="18"/>
      <c r="M7" s="18"/>
      <c r="O7" s="47"/>
    </row>
    <row r="8">
      <c r="A8" s="18" t="s">
        <v>116</v>
      </c>
      <c r="B8" s="28">
        <v>6043.0</v>
      </c>
      <c r="C8" s="18">
        <v>0.0</v>
      </c>
      <c r="D8" s="28">
        <v>5152.0</v>
      </c>
      <c r="E8" s="28">
        <v>5.0</v>
      </c>
      <c r="F8" s="17">
        <v>6406.0</v>
      </c>
      <c r="G8" s="17">
        <v>0.0</v>
      </c>
      <c r="H8" s="18"/>
      <c r="I8" s="18"/>
      <c r="J8" s="18"/>
      <c r="K8" s="18"/>
      <c r="L8" s="18"/>
      <c r="M8" s="18"/>
      <c r="O8" s="47"/>
    </row>
    <row r="9">
      <c r="A9" s="18" t="s">
        <v>133</v>
      </c>
      <c r="B9" s="28">
        <v>3602.0</v>
      </c>
      <c r="C9" s="18">
        <v>2.0</v>
      </c>
      <c r="D9" s="28">
        <v>2948.0</v>
      </c>
      <c r="E9" s="18">
        <v>1.0</v>
      </c>
      <c r="F9" s="17">
        <v>3693.0</v>
      </c>
      <c r="G9" s="18">
        <v>5.0</v>
      </c>
      <c r="H9" s="18"/>
      <c r="I9" s="18"/>
      <c r="J9" s="18"/>
      <c r="K9" s="18"/>
      <c r="L9" s="18"/>
      <c r="M9" s="18"/>
      <c r="O9" s="47"/>
    </row>
    <row r="10">
      <c r="A10" s="18" t="s">
        <v>138</v>
      </c>
      <c r="B10" s="28">
        <v>2829.0</v>
      </c>
      <c r="C10" s="17">
        <v>2.0</v>
      </c>
      <c r="D10" s="28">
        <v>2424.0</v>
      </c>
      <c r="E10" s="18">
        <v>7.0</v>
      </c>
      <c r="F10" s="17">
        <v>2353.0</v>
      </c>
      <c r="G10" s="18">
        <v>7.0</v>
      </c>
      <c r="H10" s="18"/>
      <c r="I10" s="18"/>
      <c r="J10" s="18"/>
      <c r="K10" s="18"/>
      <c r="L10" s="18"/>
      <c r="M10" s="18"/>
      <c r="O10" s="47"/>
    </row>
    <row r="11">
      <c r="A11" s="18" t="s">
        <v>143</v>
      </c>
      <c r="B11" s="28">
        <v>3993.0</v>
      </c>
      <c r="C11" s="18">
        <v>4.0</v>
      </c>
      <c r="D11" s="28">
        <v>3182.0</v>
      </c>
      <c r="E11" s="28">
        <v>1.0</v>
      </c>
      <c r="F11" s="17">
        <v>3512.0</v>
      </c>
      <c r="G11" s="18">
        <v>3.0</v>
      </c>
      <c r="H11" s="18"/>
      <c r="I11" s="18"/>
      <c r="J11" s="18"/>
      <c r="K11" s="18"/>
      <c r="L11" s="18"/>
      <c r="M11" s="18"/>
      <c r="O11" s="47"/>
    </row>
    <row r="12">
      <c r="A12" s="18" t="s">
        <v>137</v>
      </c>
      <c r="B12" s="28">
        <v>4863.0</v>
      </c>
      <c r="C12" s="18">
        <v>0.0</v>
      </c>
      <c r="D12" s="28">
        <v>3767.0</v>
      </c>
      <c r="E12" s="28">
        <v>1.0</v>
      </c>
      <c r="F12" s="17">
        <v>4784.0</v>
      </c>
      <c r="G12" s="18">
        <v>2.0</v>
      </c>
      <c r="H12" s="18"/>
      <c r="I12" s="18"/>
      <c r="J12" s="18"/>
      <c r="K12" s="18"/>
      <c r="L12" s="18"/>
      <c r="M12" s="18"/>
      <c r="O12" s="47"/>
    </row>
    <row r="13">
      <c r="A13" s="18" t="s">
        <v>128</v>
      </c>
      <c r="B13" s="28">
        <v>2598.0</v>
      </c>
      <c r="C13" s="18">
        <v>1.0</v>
      </c>
      <c r="D13" s="28">
        <v>2559.0</v>
      </c>
      <c r="E13" s="18">
        <v>0.0</v>
      </c>
      <c r="F13" s="17">
        <v>3347.0</v>
      </c>
      <c r="G13" s="18">
        <v>1.0</v>
      </c>
      <c r="H13" s="18"/>
      <c r="I13" s="18"/>
      <c r="J13" s="18"/>
      <c r="K13" s="18"/>
      <c r="L13" s="18"/>
      <c r="M13" s="18"/>
      <c r="O13" s="47"/>
    </row>
    <row r="14">
      <c r="A14" s="18" t="s">
        <v>121</v>
      </c>
      <c r="B14" s="28">
        <v>7408.0</v>
      </c>
      <c r="C14" s="18">
        <v>8.0</v>
      </c>
      <c r="D14" s="28">
        <v>5449.0</v>
      </c>
      <c r="E14" s="18">
        <v>4.0</v>
      </c>
      <c r="F14" s="17">
        <v>6083.0</v>
      </c>
      <c r="G14" s="18">
        <v>4.0</v>
      </c>
      <c r="H14" s="18"/>
      <c r="I14" s="18"/>
      <c r="J14" s="18"/>
      <c r="K14" s="18"/>
      <c r="L14" s="18"/>
      <c r="M14" s="18"/>
      <c r="O14" s="47"/>
    </row>
    <row r="15">
      <c r="A15" s="18" t="s">
        <v>139</v>
      </c>
      <c r="B15" s="28">
        <v>2773.0</v>
      </c>
      <c r="C15" s="17">
        <v>3.0</v>
      </c>
      <c r="D15" s="28">
        <v>2285.0</v>
      </c>
      <c r="E15" s="18">
        <v>1.0</v>
      </c>
      <c r="F15" s="17">
        <v>2354.0</v>
      </c>
      <c r="G15" s="18">
        <v>7.0</v>
      </c>
      <c r="H15" s="18"/>
      <c r="I15" s="18"/>
      <c r="J15" s="18"/>
      <c r="K15" s="18"/>
      <c r="L15" s="18"/>
      <c r="M15" s="18"/>
      <c r="O15" s="47"/>
    </row>
    <row r="16">
      <c r="A16" s="18" t="s">
        <v>142</v>
      </c>
      <c r="B16" s="28">
        <v>2991.0</v>
      </c>
      <c r="C16" s="18">
        <v>3.0</v>
      </c>
      <c r="D16" s="28">
        <v>2283.0</v>
      </c>
      <c r="E16" s="28">
        <v>15.0</v>
      </c>
      <c r="F16" s="17">
        <v>2326.0</v>
      </c>
      <c r="G16" s="18">
        <v>28.0</v>
      </c>
      <c r="H16" s="18"/>
      <c r="I16" s="18"/>
      <c r="J16" s="18"/>
      <c r="K16" s="18"/>
      <c r="L16" s="18"/>
      <c r="M16" s="18"/>
      <c r="O16" s="47"/>
    </row>
    <row r="17">
      <c r="A17" s="18" t="s">
        <v>132</v>
      </c>
      <c r="B17" s="28">
        <v>5867.0</v>
      </c>
      <c r="C17" s="18">
        <v>4.0</v>
      </c>
      <c r="D17" s="28">
        <v>4624.0</v>
      </c>
      <c r="E17" s="28">
        <v>0.0</v>
      </c>
      <c r="F17" s="17">
        <v>5197.0</v>
      </c>
      <c r="G17" s="18">
        <v>4.0</v>
      </c>
      <c r="H17" s="18"/>
      <c r="I17" s="18"/>
      <c r="J17" s="18"/>
      <c r="K17" s="18"/>
      <c r="L17" s="18"/>
      <c r="M17" s="18"/>
      <c r="O17" s="47"/>
    </row>
    <row r="18">
      <c r="A18" s="18" t="s">
        <v>114</v>
      </c>
      <c r="B18" s="28">
        <v>3705.0</v>
      </c>
      <c r="C18" s="18">
        <v>1.0</v>
      </c>
      <c r="D18" s="28">
        <v>2866.0</v>
      </c>
      <c r="E18" s="28">
        <v>1.0</v>
      </c>
      <c r="F18" s="17">
        <v>4356.0</v>
      </c>
      <c r="G18" s="18">
        <v>3.0</v>
      </c>
      <c r="H18" s="18"/>
      <c r="I18" s="18"/>
      <c r="J18" s="18"/>
      <c r="K18" s="18"/>
      <c r="L18" s="18"/>
      <c r="M18" s="18"/>
      <c r="O18" s="47"/>
    </row>
    <row r="19">
      <c r="A19" s="18" t="s">
        <v>111</v>
      </c>
      <c r="B19" s="28">
        <v>3015.0</v>
      </c>
      <c r="C19" s="18">
        <v>5.0</v>
      </c>
      <c r="D19" s="28">
        <v>2427.0</v>
      </c>
      <c r="E19" s="28">
        <v>6.0</v>
      </c>
      <c r="F19" s="17">
        <v>2834.0</v>
      </c>
      <c r="G19" s="18">
        <v>3.0</v>
      </c>
      <c r="H19" s="18"/>
      <c r="I19" s="18"/>
      <c r="J19" s="18"/>
      <c r="K19" s="18"/>
      <c r="L19" s="18"/>
      <c r="M19" s="18"/>
      <c r="O19" s="47"/>
    </row>
    <row r="20">
      <c r="A20" s="18" t="s">
        <v>109</v>
      </c>
      <c r="B20" s="28">
        <v>5398.0</v>
      </c>
      <c r="C20" s="18">
        <v>4.0</v>
      </c>
      <c r="D20" s="28">
        <v>4577.0</v>
      </c>
      <c r="E20" s="18">
        <v>1.0</v>
      </c>
      <c r="F20" s="17">
        <v>5439.0</v>
      </c>
      <c r="G20" s="17">
        <v>0.0</v>
      </c>
      <c r="H20" s="18"/>
      <c r="I20" s="18"/>
      <c r="J20" s="18"/>
      <c r="K20" s="18"/>
      <c r="L20" s="18"/>
      <c r="M20" s="18"/>
      <c r="O20" s="47"/>
    </row>
    <row r="21">
      <c r="A21" s="18" t="s">
        <v>124</v>
      </c>
      <c r="B21" s="28">
        <v>2692.0</v>
      </c>
      <c r="C21" s="18">
        <v>1.0</v>
      </c>
      <c r="D21" s="28">
        <v>2172.0</v>
      </c>
      <c r="E21" s="28">
        <v>4.0</v>
      </c>
      <c r="F21" s="17">
        <v>2651.0</v>
      </c>
      <c r="G21" s="18">
        <v>1.0</v>
      </c>
      <c r="H21" s="18"/>
      <c r="I21" s="18"/>
      <c r="J21" s="18"/>
      <c r="K21" s="18"/>
      <c r="L21" s="18"/>
      <c r="M21" s="18"/>
      <c r="O21" s="47"/>
    </row>
    <row r="22">
      <c r="A22" s="18" t="s">
        <v>127</v>
      </c>
      <c r="B22" s="28">
        <v>4447.0</v>
      </c>
      <c r="C22" s="18">
        <v>1.0</v>
      </c>
      <c r="D22" s="28">
        <v>3622.0</v>
      </c>
      <c r="E22" s="28">
        <v>0.0</v>
      </c>
      <c r="F22" s="17">
        <v>4099.0</v>
      </c>
      <c r="G22" s="18">
        <v>1.0</v>
      </c>
      <c r="H22" s="18"/>
      <c r="I22" s="18"/>
      <c r="J22" s="18"/>
      <c r="K22" s="18"/>
      <c r="L22" s="18"/>
      <c r="M22" s="18"/>
      <c r="O22" s="47"/>
    </row>
    <row r="23">
      <c r="A23" s="18" t="s">
        <v>130</v>
      </c>
      <c r="B23" s="28">
        <v>4658.0</v>
      </c>
      <c r="C23" s="18">
        <v>1.0</v>
      </c>
      <c r="D23" s="28">
        <v>4037.0</v>
      </c>
      <c r="E23" s="28">
        <v>0.0</v>
      </c>
      <c r="F23" s="17">
        <v>4751.0</v>
      </c>
      <c r="G23" s="18">
        <v>10.0</v>
      </c>
      <c r="H23" s="18"/>
      <c r="I23" s="18"/>
      <c r="J23" s="18"/>
      <c r="K23" s="18"/>
      <c r="L23" s="18"/>
      <c r="M23" s="18"/>
      <c r="O23" s="47"/>
    </row>
    <row r="24">
      <c r="A24" s="18" t="s">
        <v>141</v>
      </c>
      <c r="B24" s="28">
        <v>1603.0</v>
      </c>
      <c r="C24" s="18">
        <v>0.0</v>
      </c>
      <c r="D24" s="28">
        <v>1264.0</v>
      </c>
      <c r="E24" s="28">
        <v>2.0</v>
      </c>
      <c r="F24" s="17">
        <v>1286.0</v>
      </c>
      <c r="G24" s="18">
        <v>1.0</v>
      </c>
      <c r="H24" s="18"/>
      <c r="I24" s="18"/>
      <c r="J24" s="18"/>
      <c r="K24" s="18"/>
      <c r="L24" s="18"/>
      <c r="M24" s="18"/>
      <c r="O24" s="47"/>
    </row>
    <row r="25">
      <c r="A25" s="18" t="s">
        <v>123</v>
      </c>
      <c r="B25" s="28">
        <v>3100.0</v>
      </c>
      <c r="C25" s="18">
        <v>0.0</v>
      </c>
      <c r="D25" s="28">
        <v>2774.0</v>
      </c>
      <c r="E25" s="28">
        <v>2.0</v>
      </c>
      <c r="F25" s="17">
        <v>3622.0</v>
      </c>
      <c r="G25" s="17">
        <v>0.0</v>
      </c>
      <c r="H25" s="18"/>
      <c r="I25" s="18"/>
      <c r="J25" s="18"/>
      <c r="K25" s="18"/>
      <c r="L25" s="18"/>
      <c r="M25" s="18"/>
      <c r="O25" s="47"/>
    </row>
    <row r="26">
      <c r="A26" s="18" t="s">
        <v>112</v>
      </c>
      <c r="B26" s="28">
        <v>2715.0</v>
      </c>
      <c r="C26" s="18">
        <v>1.0</v>
      </c>
      <c r="D26" s="28">
        <v>2427.0</v>
      </c>
      <c r="E26" s="18">
        <v>1.0</v>
      </c>
      <c r="F26" s="17">
        <v>3228.0</v>
      </c>
      <c r="G26" s="18">
        <v>2.0</v>
      </c>
      <c r="H26" s="18"/>
      <c r="I26" s="18"/>
      <c r="J26" s="18"/>
      <c r="K26" s="18"/>
      <c r="L26" s="18"/>
      <c r="M26" s="18"/>
      <c r="O26" s="47"/>
    </row>
    <row r="27">
      <c r="A27" s="18" t="s">
        <v>134</v>
      </c>
      <c r="B27" s="28">
        <v>2912.0</v>
      </c>
      <c r="C27" s="18">
        <v>1.0</v>
      </c>
      <c r="D27" s="28">
        <v>2203.0</v>
      </c>
      <c r="E27" s="18">
        <v>1.0</v>
      </c>
      <c r="F27" s="17">
        <v>3195.0</v>
      </c>
      <c r="G27" s="18">
        <v>7.0</v>
      </c>
      <c r="H27" s="18"/>
      <c r="I27" s="18"/>
      <c r="J27" s="18"/>
      <c r="K27" s="18"/>
      <c r="L27" s="18"/>
      <c r="M27" s="18"/>
      <c r="O27" s="47"/>
    </row>
    <row r="28">
      <c r="A28" s="18" t="s">
        <v>125</v>
      </c>
      <c r="B28" s="28">
        <v>3570.0</v>
      </c>
      <c r="C28" s="18">
        <v>3.0</v>
      </c>
      <c r="D28" s="28">
        <v>2827.0</v>
      </c>
      <c r="E28" s="18">
        <v>6.0</v>
      </c>
      <c r="F28" s="17">
        <v>3656.0</v>
      </c>
      <c r="G28" s="18">
        <v>3.0</v>
      </c>
      <c r="H28" s="18"/>
      <c r="I28" s="18"/>
      <c r="J28" s="18"/>
      <c r="K28" s="18"/>
      <c r="L28" s="18"/>
      <c r="M28" s="18"/>
      <c r="O28" s="47"/>
    </row>
    <row r="29">
      <c r="A29" s="18" t="s">
        <v>129</v>
      </c>
      <c r="B29" s="28">
        <v>3599.0</v>
      </c>
      <c r="C29" s="18">
        <v>4.0</v>
      </c>
      <c r="D29" s="28">
        <v>2958.0</v>
      </c>
      <c r="E29" s="28">
        <v>4.0</v>
      </c>
      <c r="F29" s="17">
        <v>3780.0</v>
      </c>
      <c r="G29" s="18">
        <v>2.0</v>
      </c>
      <c r="H29" s="18"/>
      <c r="I29" s="18"/>
      <c r="J29" s="18"/>
      <c r="K29" s="18"/>
      <c r="L29" s="18"/>
      <c r="M29" s="18"/>
      <c r="O29" s="47"/>
    </row>
    <row r="30">
      <c r="A30" s="18" t="s">
        <v>120</v>
      </c>
      <c r="B30" s="28">
        <v>5488.0</v>
      </c>
      <c r="C30" s="18">
        <v>3.0</v>
      </c>
      <c r="D30" s="28">
        <v>4605.0</v>
      </c>
      <c r="E30" s="18">
        <v>5.0</v>
      </c>
      <c r="F30" s="17">
        <v>5924.0</v>
      </c>
      <c r="G30" s="18">
        <v>8.0</v>
      </c>
      <c r="H30" s="18"/>
      <c r="I30" s="18"/>
      <c r="J30" s="18"/>
      <c r="K30" s="18"/>
      <c r="L30" s="18"/>
      <c r="M30" s="18"/>
      <c r="O30" s="47"/>
    </row>
    <row r="31">
      <c r="A31" s="18" t="s">
        <v>126</v>
      </c>
      <c r="B31" s="28">
        <v>3968.0</v>
      </c>
      <c r="C31" s="18">
        <v>0.0</v>
      </c>
      <c r="D31" s="28">
        <v>2942.0</v>
      </c>
      <c r="E31" s="18">
        <v>3.0</v>
      </c>
      <c r="F31" s="17">
        <v>3668.0</v>
      </c>
      <c r="G31" s="18">
        <v>3.0</v>
      </c>
      <c r="H31" s="18"/>
      <c r="I31" s="18"/>
      <c r="J31" s="18"/>
      <c r="K31" s="18"/>
      <c r="L31" s="18"/>
      <c r="M31" s="18"/>
      <c r="O31" s="47"/>
    </row>
    <row r="32">
      <c r="A32" s="18" t="s">
        <v>118</v>
      </c>
      <c r="B32" s="28">
        <v>4744.0</v>
      </c>
      <c r="C32" s="18">
        <v>7.0</v>
      </c>
      <c r="D32" s="28">
        <v>3904.0</v>
      </c>
      <c r="E32" s="18">
        <v>1.0</v>
      </c>
      <c r="F32" s="17">
        <v>5122.0</v>
      </c>
      <c r="G32" s="18">
        <v>1.0</v>
      </c>
      <c r="H32" s="18"/>
      <c r="I32" s="18"/>
      <c r="J32" s="18"/>
      <c r="K32" s="18"/>
      <c r="L32" s="18"/>
      <c r="M32" s="18"/>
    </row>
    <row r="33">
      <c r="C33" s="118">
        <f>SUM(C3:C32)</f>
        <v>76</v>
      </c>
      <c r="D33" s="18"/>
      <c r="E33" s="119">
        <v>78.0</v>
      </c>
      <c r="G33" s="118">
        <f>SUM(G3:G32)</f>
        <v>117</v>
      </c>
    </row>
  </sheetData>
  <mergeCells count="6">
    <mergeCell ref="B1:C1"/>
    <mergeCell ref="D1:E1"/>
    <mergeCell ref="F1:G1"/>
    <mergeCell ref="H1:I1"/>
    <mergeCell ref="J1:K1"/>
    <mergeCell ref="L1:M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3.63"/>
  </cols>
  <sheetData>
    <row r="1">
      <c r="A1" s="16" t="s">
        <v>0</v>
      </c>
      <c r="B1" s="21" t="s">
        <v>145</v>
      </c>
      <c r="C1" s="3"/>
      <c r="D1" s="21" t="s">
        <v>146</v>
      </c>
      <c r="E1" s="3"/>
      <c r="F1" s="21" t="s">
        <v>147</v>
      </c>
      <c r="G1" s="3"/>
      <c r="H1" s="21" t="s">
        <v>148</v>
      </c>
      <c r="I1" s="3"/>
      <c r="J1" s="21" t="s">
        <v>149</v>
      </c>
      <c r="K1" s="3"/>
      <c r="L1" s="21" t="s">
        <v>150</v>
      </c>
      <c r="M1" s="3"/>
    </row>
    <row r="2">
      <c r="A2" s="16" t="s">
        <v>151</v>
      </c>
      <c r="B2" s="16" t="s">
        <v>304</v>
      </c>
      <c r="C2" s="16" t="s">
        <v>305</v>
      </c>
      <c r="D2" s="16" t="s">
        <v>304</v>
      </c>
      <c r="E2" s="16" t="s">
        <v>305</v>
      </c>
      <c r="F2" s="16" t="s">
        <v>304</v>
      </c>
      <c r="G2" s="16" t="s">
        <v>305</v>
      </c>
      <c r="H2" s="16" t="s">
        <v>304</v>
      </c>
      <c r="I2" s="16" t="s">
        <v>305</v>
      </c>
      <c r="J2" s="16" t="s">
        <v>304</v>
      </c>
      <c r="K2" s="16" t="s">
        <v>305</v>
      </c>
      <c r="L2" s="16" t="s">
        <v>304</v>
      </c>
      <c r="M2" s="16" t="s">
        <v>305</v>
      </c>
      <c r="O2" s="120"/>
      <c r="P2" s="121"/>
    </row>
    <row r="3">
      <c r="A3" s="18" t="s">
        <v>140</v>
      </c>
      <c r="B3" s="18">
        <v>6.0</v>
      </c>
      <c r="C3" s="17">
        <v>1.0</v>
      </c>
      <c r="D3" s="17">
        <v>7.0</v>
      </c>
      <c r="E3" s="17">
        <v>0.0</v>
      </c>
      <c r="F3" s="18">
        <v>9.0</v>
      </c>
      <c r="G3" s="17">
        <v>2.0</v>
      </c>
      <c r="H3" s="18"/>
      <c r="I3" s="18"/>
      <c r="J3" s="18"/>
      <c r="K3" s="18"/>
      <c r="L3" s="18"/>
      <c r="M3" s="18"/>
      <c r="O3" s="122"/>
      <c r="P3" s="123"/>
    </row>
    <row r="4">
      <c r="A4" s="18" t="s">
        <v>131</v>
      </c>
      <c r="B4" s="18">
        <v>17.0</v>
      </c>
      <c r="C4" s="17">
        <v>1.0</v>
      </c>
      <c r="D4" s="17">
        <v>17.0</v>
      </c>
      <c r="E4" s="17">
        <v>0.0</v>
      </c>
      <c r="F4" s="18">
        <v>15.0</v>
      </c>
      <c r="G4" s="17">
        <v>5.0</v>
      </c>
      <c r="H4" s="18"/>
      <c r="I4" s="18"/>
      <c r="J4" s="18"/>
      <c r="K4" s="18"/>
      <c r="L4" s="18"/>
      <c r="M4" s="18"/>
      <c r="O4" s="122"/>
      <c r="P4" s="124"/>
    </row>
    <row r="5">
      <c r="A5" s="18" t="s">
        <v>136</v>
      </c>
      <c r="B5" s="18">
        <v>13.0</v>
      </c>
      <c r="C5" s="17">
        <v>0.0</v>
      </c>
      <c r="D5" s="17">
        <v>12.0</v>
      </c>
      <c r="E5" s="17">
        <v>0.0</v>
      </c>
      <c r="F5" s="18">
        <v>10.0</v>
      </c>
      <c r="G5" s="17">
        <v>3.0</v>
      </c>
      <c r="H5" s="18"/>
      <c r="I5" s="18"/>
      <c r="J5" s="18"/>
      <c r="K5" s="18"/>
      <c r="L5" s="18"/>
      <c r="M5" s="18"/>
      <c r="O5" s="122"/>
      <c r="P5" s="123"/>
    </row>
    <row r="6">
      <c r="A6" s="18" t="s">
        <v>135</v>
      </c>
      <c r="B6" s="18">
        <v>10.0</v>
      </c>
      <c r="C6" s="17">
        <v>0.0</v>
      </c>
      <c r="D6" s="17">
        <v>8.0</v>
      </c>
      <c r="E6" s="17">
        <v>1.0</v>
      </c>
      <c r="F6" s="18">
        <v>7.0</v>
      </c>
      <c r="G6" s="17">
        <v>0.0</v>
      </c>
      <c r="H6" s="18"/>
      <c r="I6" s="18"/>
      <c r="J6" s="18"/>
      <c r="K6" s="18"/>
      <c r="L6" s="18"/>
      <c r="M6" s="18"/>
      <c r="O6" s="122"/>
      <c r="P6" s="124"/>
    </row>
    <row r="7">
      <c r="A7" s="18" t="s">
        <v>122</v>
      </c>
      <c r="B7" s="18">
        <v>14.0</v>
      </c>
      <c r="C7" s="17">
        <v>1.0</v>
      </c>
      <c r="D7" s="17">
        <v>14.0</v>
      </c>
      <c r="E7" s="17">
        <v>2.0</v>
      </c>
      <c r="F7" s="18">
        <v>12.0</v>
      </c>
      <c r="G7" s="17">
        <v>0.0</v>
      </c>
      <c r="H7" s="18"/>
      <c r="I7" s="18"/>
      <c r="J7" s="18"/>
      <c r="K7" s="18"/>
      <c r="L7" s="18"/>
      <c r="M7" s="18"/>
      <c r="O7" s="122"/>
      <c r="P7" s="123"/>
    </row>
    <row r="8">
      <c r="A8" s="18" t="s">
        <v>116</v>
      </c>
      <c r="B8" s="18">
        <v>15.0</v>
      </c>
      <c r="C8" s="17">
        <v>1.0</v>
      </c>
      <c r="D8" s="17">
        <v>15.0</v>
      </c>
      <c r="E8" s="17">
        <v>2.0</v>
      </c>
      <c r="F8" s="18">
        <v>15.0</v>
      </c>
      <c r="G8" s="17">
        <v>1.0</v>
      </c>
      <c r="H8" s="18"/>
      <c r="I8" s="18"/>
      <c r="J8" s="18"/>
      <c r="K8" s="18"/>
      <c r="L8" s="18"/>
      <c r="M8" s="18"/>
      <c r="O8" s="122"/>
      <c r="P8" s="124"/>
    </row>
    <row r="9">
      <c r="A9" s="18" t="s">
        <v>133</v>
      </c>
      <c r="B9" s="18">
        <v>11.0</v>
      </c>
      <c r="C9" s="17">
        <v>0.0</v>
      </c>
      <c r="D9" s="17">
        <v>11.0</v>
      </c>
      <c r="E9" s="17">
        <v>1.0</v>
      </c>
      <c r="F9" s="18">
        <v>11.0</v>
      </c>
      <c r="G9" s="17">
        <v>1.0</v>
      </c>
      <c r="H9" s="18"/>
      <c r="I9" s="18"/>
      <c r="J9" s="18"/>
      <c r="K9" s="18"/>
      <c r="L9" s="18"/>
      <c r="M9" s="18"/>
      <c r="O9" s="122"/>
      <c r="P9" s="123"/>
    </row>
    <row r="10">
      <c r="A10" s="18" t="s">
        <v>138</v>
      </c>
      <c r="B10" s="18">
        <v>13.0</v>
      </c>
      <c r="C10" s="17">
        <v>0.0</v>
      </c>
      <c r="D10" s="17">
        <v>13.0</v>
      </c>
      <c r="E10" s="17">
        <v>1.0</v>
      </c>
      <c r="F10" s="18">
        <v>11.0</v>
      </c>
      <c r="G10" s="17">
        <v>1.0</v>
      </c>
      <c r="H10" s="18"/>
      <c r="I10" s="18"/>
      <c r="J10" s="18"/>
      <c r="K10" s="18"/>
      <c r="L10" s="18"/>
      <c r="M10" s="18"/>
      <c r="O10" s="122"/>
      <c r="P10" s="124"/>
    </row>
    <row r="11">
      <c r="A11" s="18" t="s">
        <v>143</v>
      </c>
      <c r="B11" s="18">
        <v>13.0</v>
      </c>
      <c r="C11" s="17">
        <v>0.0</v>
      </c>
      <c r="D11" s="17">
        <v>12.0</v>
      </c>
      <c r="E11" s="17">
        <v>2.0</v>
      </c>
      <c r="F11" s="18">
        <v>12.0</v>
      </c>
      <c r="G11" s="17">
        <v>0.0</v>
      </c>
      <c r="H11" s="18"/>
      <c r="I11" s="18"/>
      <c r="J11" s="18"/>
      <c r="K11" s="18"/>
      <c r="L11" s="18"/>
      <c r="M11" s="18"/>
      <c r="O11" s="122"/>
      <c r="P11" s="123"/>
    </row>
    <row r="12">
      <c r="A12" s="18" t="s">
        <v>137</v>
      </c>
      <c r="B12" s="18">
        <v>13.0</v>
      </c>
      <c r="C12" s="17">
        <v>3.0</v>
      </c>
      <c r="D12" s="17">
        <v>12.0</v>
      </c>
      <c r="E12" s="17">
        <v>1.0</v>
      </c>
      <c r="F12" s="18">
        <v>12.0</v>
      </c>
      <c r="G12" s="17">
        <v>3.0</v>
      </c>
      <c r="H12" s="18"/>
      <c r="I12" s="18"/>
      <c r="J12" s="18"/>
      <c r="K12" s="18"/>
      <c r="L12" s="18"/>
      <c r="M12" s="18"/>
      <c r="O12" s="122"/>
      <c r="P12" s="124"/>
    </row>
    <row r="13">
      <c r="A13" s="18" t="s">
        <v>128</v>
      </c>
      <c r="B13" s="18">
        <v>13.0</v>
      </c>
      <c r="C13" s="17">
        <v>1.0</v>
      </c>
      <c r="D13" s="17">
        <v>14.0</v>
      </c>
      <c r="E13" s="17">
        <v>2.0</v>
      </c>
      <c r="F13" s="18">
        <v>13.0</v>
      </c>
      <c r="G13" s="17">
        <v>0.0</v>
      </c>
      <c r="H13" s="18"/>
      <c r="I13" s="18"/>
      <c r="J13" s="18"/>
      <c r="K13" s="18"/>
      <c r="L13" s="18"/>
      <c r="M13" s="18"/>
      <c r="O13" s="122"/>
      <c r="P13" s="123"/>
    </row>
    <row r="14">
      <c r="A14" s="18" t="s">
        <v>121</v>
      </c>
      <c r="B14" s="18">
        <v>15.0</v>
      </c>
      <c r="C14" s="17">
        <v>0.0</v>
      </c>
      <c r="D14" s="17">
        <v>18.0</v>
      </c>
      <c r="E14" s="17">
        <v>0.0</v>
      </c>
      <c r="F14" s="18">
        <v>18.0</v>
      </c>
      <c r="G14" s="17">
        <v>3.0</v>
      </c>
      <c r="H14" s="18"/>
      <c r="I14" s="18"/>
      <c r="J14" s="18"/>
      <c r="K14" s="18"/>
      <c r="L14" s="18"/>
      <c r="M14" s="18"/>
      <c r="O14" s="122"/>
      <c r="P14" s="124"/>
    </row>
    <row r="15">
      <c r="A15" s="18" t="s">
        <v>139</v>
      </c>
      <c r="B15" s="18">
        <v>12.0</v>
      </c>
      <c r="C15" s="17">
        <v>2.0</v>
      </c>
      <c r="D15" s="17">
        <v>10.0</v>
      </c>
      <c r="E15" s="17">
        <v>5.0</v>
      </c>
      <c r="F15" s="18">
        <v>9.0</v>
      </c>
      <c r="G15" s="17">
        <v>2.0</v>
      </c>
      <c r="H15" s="18"/>
      <c r="I15" s="18"/>
      <c r="J15" s="18"/>
      <c r="K15" s="18"/>
      <c r="L15" s="18"/>
      <c r="M15" s="18"/>
      <c r="O15" s="122"/>
      <c r="P15" s="123"/>
    </row>
    <row r="16">
      <c r="A16" s="18" t="s">
        <v>142</v>
      </c>
      <c r="B16" s="18">
        <v>8.0</v>
      </c>
      <c r="C16" s="17">
        <v>0.0</v>
      </c>
      <c r="D16" s="17">
        <v>8.0</v>
      </c>
      <c r="E16" s="17">
        <v>3.0</v>
      </c>
      <c r="F16" s="18">
        <v>5.0</v>
      </c>
      <c r="G16" s="17">
        <v>0.0</v>
      </c>
      <c r="H16" s="18"/>
      <c r="I16" s="18"/>
      <c r="J16" s="18"/>
      <c r="K16" s="18"/>
      <c r="L16" s="18"/>
      <c r="M16" s="18"/>
      <c r="O16" s="122"/>
      <c r="P16" s="124"/>
    </row>
    <row r="17">
      <c r="A17" s="18" t="s">
        <v>132</v>
      </c>
      <c r="B17" s="18">
        <v>16.0</v>
      </c>
      <c r="C17" s="17">
        <v>0.0</v>
      </c>
      <c r="D17" s="17">
        <v>14.0</v>
      </c>
      <c r="E17" s="17">
        <v>0.0</v>
      </c>
      <c r="F17" s="18">
        <v>14.0</v>
      </c>
      <c r="G17" s="17">
        <v>1.0</v>
      </c>
      <c r="H17" s="18"/>
      <c r="I17" s="18"/>
      <c r="J17" s="18"/>
      <c r="K17" s="18"/>
      <c r="L17" s="18"/>
      <c r="M17" s="18"/>
      <c r="O17" s="122"/>
      <c r="P17" s="123"/>
    </row>
    <row r="18">
      <c r="A18" s="18" t="s">
        <v>114</v>
      </c>
      <c r="B18" s="18">
        <v>12.0</v>
      </c>
      <c r="C18" s="17">
        <v>1.0</v>
      </c>
      <c r="D18" s="17">
        <v>10.0</v>
      </c>
      <c r="E18" s="17">
        <v>1.0</v>
      </c>
      <c r="F18" s="18">
        <v>10.0</v>
      </c>
      <c r="G18" s="17">
        <v>3.0</v>
      </c>
      <c r="H18" s="18"/>
      <c r="I18" s="18"/>
      <c r="J18" s="18"/>
      <c r="K18" s="18"/>
      <c r="L18" s="18"/>
      <c r="M18" s="18"/>
      <c r="O18" s="122"/>
      <c r="P18" s="124"/>
    </row>
    <row r="19">
      <c r="A19" s="18" t="s">
        <v>111</v>
      </c>
      <c r="B19" s="18">
        <v>10.0</v>
      </c>
      <c r="C19" s="17">
        <v>0.0</v>
      </c>
      <c r="D19" s="17">
        <v>8.0</v>
      </c>
      <c r="E19" s="17">
        <v>0.0</v>
      </c>
      <c r="F19" s="18">
        <v>9.0</v>
      </c>
      <c r="G19" s="17">
        <v>0.0</v>
      </c>
      <c r="H19" s="18"/>
      <c r="I19" s="18"/>
      <c r="J19" s="18"/>
      <c r="K19" s="18"/>
      <c r="L19" s="18"/>
      <c r="M19" s="18"/>
      <c r="O19" s="122"/>
      <c r="P19" s="123"/>
    </row>
    <row r="20">
      <c r="A20" s="18" t="s">
        <v>109</v>
      </c>
      <c r="B20" s="18">
        <v>16.0</v>
      </c>
      <c r="C20" s="17">
        <v>0.0</v>
      </c>
      <c r="D20" s="17">
        <v>15.0</v>
      </c>
      <c r="E20" s="17">
        <v>0.0</v>
      </c>
      <c r="F20" s="18">
        <v>15.0</v>
      </c>
      <c r="G20" s="17">
        <v>0.0</v>
      </c>
      <c r="H20" s="18"/>
      <c r="I20" s="18"/>
      <c r="J20" s="18"/>
      <c r="K20" s="18"/>
      <c r="L20" s="18"/>
      <c r="M20" s="18"/>
      <c r="O20" s="122"/>
      <c r="P20" s="124"/>
    </row>
    <row r="21">
      <c r="A21" s="18" t="s">
        <v>124</v>
      </c>
      <c r="B21" s="18">
        <v>9.0</v>
      </c>
      <c r="C21" s="17">
        <v>0.0</v>
      </c>
      <c r="D21" s="17">
        <v>11.0</v>
      </c>
      <c r="E21" s="17">
        <v>0.0</v>
      </c>
      <c r="F21" s="18">
        <v>10.0</v>
      </c>
      <c r="G21" s="17">
        <v>0.0</v>
      </c>
      <c r="H21" s="18"/>
      <c r="I21" s="18"/>
      <c r="J21" s="18"/>
      <c r="K21" s="18"/>
      <c r="L21" s="18"/>
      <c r="M21" s="18"/>
      <c r="O21" s="122"/>
      <c r="P21" s="123"/>
    </row>
    <row r="22">
      <c r="A22" s="18" t="s">
        <v>127</v>
      </c>
      <c r="B22" s="18">
        <v>12.0</v>
      </c>
      <c r="C22" s="17">
        <v>1.0</v>
      </c>
      <c r="D22" s="17">
        <v>12.0</v>
      </c>
      <c r="E22" s="17">
        <v>0.0</v>
      </c>
      <c r="F22" s="18">
        <v>12.0</v>
      </c>
      <c r="G22" s="17">
        <v>1.0</v>
      </c>
      <c r="H22" s="18"/>
      <c r="I22" s="18"/>
      <c r="J22" s="18"/>
      <c r="K22" s="18"/>
      <c r="L22" s="18"/>
      <c r="M22" s="18"/>
      <c r="O22" s="122"/>
      <c r="P22" s="124"/>
    </row>
    <row r="23">
      <c r="A23" s="18" t="s">
        <v>130</v>
      </c>
      <c r="B23" s="18">
        <v>13.0</v>
      </c>
      <c r="C23" s="17">
        <v>0.0</v>
      </c>
      <c r="D23" s="17">
        <v>12.0</v>
      </c>
      <c r="E23" s="17">
        <v>0.0</v>
      </c>
      <c r="F23" s="18">
        <v>12.0</v>
      </c>
      <c r="G23" s="17">
        <v>4.0</v>
      </c>
      <c r="H23" s="18"/>
      <c r="I23" s="18"/>
      <c r="J23" s="18"/>
      <c r="K23" s="18"/>
      <c r="L23" s="18"/>
      <c r="M23" s="18"/>
      <c r="O23" s="122"/>
      <c r="P23" s="123"/>
    </row>
    <row r="24">
      <c r="A24" s="18" t="s">
        <v>141</v>
      </c>
      <c r="B24" s="18">
        <v>6.0</v>
      </c>
      <c r="C24" s="17">
        <v>0.0</v>
      </c>
      <c r="D24" s="17">
        <v>7.0</v>
      </c>
      <c r="E24" s="17">
        <v>1.0</v>
      </c>
      <c r="F24" s="18">
        <v>7.0</v>
      </c>
      <c r="G24" s="17">
        <v>0.0</v>
      </c>
      <c r="H24" s="18"/>
      <c r="I24" s="18"/>
      <c r="J24" s="18"/>
      <c r="K24" s="18"/>
      <c r="L24" s="18"/>
      <c r="M24" s="18"/>
      <c r="O24" s="122"/>
      <c r="P24" s="124"/>
    </row>
    <row r="25">
      <c r="A25" s="18" t="s">
        <v>123</v>
      </c>
      <c r="B25" s="18">
        <v>8.0</v>
      </c>
      <c r="C25" s="17">
        <v>0.0</v>
      </c>
      <c r="D25" s="17">
        <v>8.0</v>
      </c>
      <c r="E25" s="17">
        <v>0.0</v>
      </c>
      <c r="F25" s="18">
        <v>8.0</v>
      </c>
      <c r="G25" s="17">
        <v>1.0</v>
      </c>
      <c r="H25" s="18"/>
      <c r="I25" s="18"/>
      <c r="J25" s="18"/>
      <c r="K25" s="18"/>
      <c r="L25" s="18"/>
      <c r="M25" s="18"/>
      <c r="O25" s="122"/>
      <c r="P25" s="123"/>
    </row>
    <row r="26">
      <c r="A26" s="18" t="s">
        <v>112</v>
      </c>
      <c r="B26" s="18">
        <v>7.0</v>
      </c>
      <c r="C26" s="17">
        <v>0.0</v>
      </c>
      <c r="D26" s="17">
        <v>7.0</v>
      </c>
      <c r="E26" s="17">
        <v>1.0</v>
      </c>
      <c r="F26" s="18">
        <v>7.0</v>
      </c>
      <c r="G26" s="17">
        <v>4.0</v>
      </c>
      <c r="H26" s="18"/>
      <c r="I26" s="18"/>
      <c r="J26" s="18"/>
      <c r="K26" s="18"/>
      <c r="L26" s="18"/>
      <c r="M26" s="18"/>
      <c r="O26" s="122"/>
      <c r="P26" s="124"/>
    </row>
    <row r="27">
      <c r="A27" s="18" t="s">
        <v>134</v>
      </c>
      <c r="B27" s="18">
        <v>12.0</v>
      </c>
      <c r="C27" s="17">
        <v>0.0</v>
      </c>
      <c r="D27" s="17">
        <v>12.0</v>
      </c>
      <c r="E27" s="17">
        <v>1.0</v>
      </c>
      <c r="F27" s="18">
        <v>12.0</v>
      </c>
      <c r="G27" s="17">
        <v>0.0</v>
      </c>
      <c r="H27" s="18"/>
      <c r="I27" s="18"/>
      <c r="J27" s="18"/>
      <c r="K27" s="18"/>
      <c r="L27" s="18"/>
      <c r="M27" s="18"/>
      <c r="O27" s="122"/>
      <c r="P27" s="123"/>
    </row>
    <row r="28">
      <c r="A28" s="18" t="s">
        <v>125</v>
      </c>
      <c r="B28" s="18">
        <v>13.0</v>
      </c>
      <c r="C28" s="17">
        <v>0.0</v>
      </c>
      <c r="D28" s="17">
        <v>13.0</v>
      </c>
      <c r="E28" s="17">
        <v>2.0</v>
      </c>
      <c r="F28" s="18">
        <v>13.0</v>
      </c>
      <c r="G28" s="17">
        <v>2.0</v>
      </c>
      <c r="H28" s="18"/>
      <c r="I28" s="18"/>
      <c r="J28" s="18"/>
      <c r="K28" s="18"/>
      <c r="L28" s="18"/>
      <c r="M28" s="18"/>
      <c r="O28" s="122"/>
      <c r="P28" s="124"/>
    </row>
    <row r="29">
      <c r="A29" s="18" t="s">
        <v>129</v>
      </c>
      <c r="B29" s="18">
        <v>10.0</v>
      </c>
      <c r="C29" s="17">
        <v>0.0</v>
      </c>
      <c r="D29" s="17">
        <v>11.0</v>
      </c>
      <c r="E29" s="17">
        <v>3.0</v>
      </c>
      <c r="F29" s="18">
        <v>9.0</v>
      </c>
      <c r="G29" s="17">
        <v>2.0</v>
      </c>
      <c r="H29" s="18"/>
      <c r="I29" s="18"/>
      <c r="J29" s="18"/>
      <c r="K29" s="18"/>
      <c r="L29" s="18"/>
      <c r="M29" s="18"/>
      <c r="O29" s="122"/>
      <c r="P29" s="123"/>
    </row>
    <row r="30">
      <c r="A30" s="18" t="s">
        <v>120</v>
      </c>
      <c r="B30" s="18">
        <v>16.0</v>
      </c>
      <c r="C30" s="17">
        <v>0.0</v>
      </c>
      <c r="D30" s="17">
        <v>16.0</v>
      </c>
      <c r="E30" s="17">
        <v>0.0</v>
      </c>
      <c r="F30" s="18">
        <v>14.0</v>
      </c>
      <c r="G30" s="17">
        <v>1.0</v>
      </c>
      <c r="H30" s="18"/>
      <c r="I30" s="18"/>
      <c r="J30" s="18"/>
      <c r="K30" s="18"/>
      <c r="L30" s="18"/>
      <c r="M30" s="18"/>
      <c r="O30" s="122"/>
      <c r="P30" s="124"/>
    </row>
    <row r="31">
      <c r="A31" s="18" t="s">
        <v>126</v>
      </c>
      <c r="B31" s="18">
        <v>14.0</v>
      </c>
      <c r="C31" s="17">
        <v>0.0</v>
      </c>
      <c r="D31" s="17">
        <v>14.0</v>
      </c>
      <c r="E31" s="17">
        <v>2.0</v>
      </c>
      <c r="F31" s="18">
        <v>14.0</v>
      </c>
      <c r="G31" s="17">
        <v>2.0</v>
      </c>
      <c r="H31" s="18"/>
      <c r="I31" s="18"/>
      <c r="J31" s="18"/>
      <c r="K31" s="18"/>
      <c r="L31" s="18"/>
      <c r="M31" s="18"/>
      <c r="O31" s="122"/>
      <c r="P31" s="123"/>
    </row>
    <row r="32">
      <c r="A32" s="18" t="s">
        <v>118</v>
      </c>
      <c r="B32" s="18">
        <v>14.0</v>
      </c>
      <c r="C32" s="17">
        <v>1.0</v>
      </c>
      <c r="D32" s="17">
        <v>15.0</v>
      </c>
      <c r="E32" s="17">
        <v>2.0</v>
      </c>
      <c r="F32" s="18">
        <v>15.0</v>
      </c>
      <c r="G32" s="17">
        <v>2.0</v>
      </c>
      <c r="H32" s="18"/>
      <c r="I32" s="18"/>
      <c r="J32" s="18"/>
      <c r="K32" s="18"/>
      <c r="L32" s="18"/>
      <c r="M32" s="18"/>
      <c r="O32" s="122"/>
      <c r="P32" s="124"/>
    </row>
    <row r="33">
      <c r="O33" s="122"/>
      <c r="P33" s="123"/>
    </row>
    <row r="34">
      <c r="O34" s="122"/>
      <c r="P34" s="124"/>
    </row>
    <row r="35">
      <c r="O35" s="122"/>
      <c r="P35" s="123"/>
    </row>
    <row r="36">
      <c r="O36" s="122"/>
      <c r="P36" s="124"/>
    </row>
    <row r="37">
      <c r="P37" s="9"/>
    </row>
    <row r="38">
      <c r="P38" s="9"/>
    </row>
    <row r="39">
      <c r="P39" s="9"/>
    </row>
    <row r="40">
      <c r="P40" s="9"/>
    </row>
    <row r="41">
      <c r="P41" s="9"/>
    </row>
    <row r="42">
      <c r="P42" s="9"/>
    </row>
    <row r="43">
      <c r="P43" s="9"/>
    </row>
    <row r="44">
      <c r="P44" s="9"/>
    </row>
    <row r="45">
      <c r="P45" s="9"/>
    </row>
    <row r="46">
      <c r="P46" s="9"/>
    </row>
    <row r="47">
      <c r="P47" s="9"/>
    </row>
    <row r="48">
      <c r="P48" s="9"/>
    </row>
    <row r="49">
      <c r="P49" s="9"/>
    </row>
    <row r="50">
      <c r="P50" s="9"/>
    </row>
    <row r="51">
      <c r="P51" s="9"/>
    </row>
    <row r="52">
      <c r="P52" s="9"/>
    </row>
    <row r="53">
      <c r="P53" s="9"/>
    </row>
    <row r="54">
      <c r="P54" s="9"/>
    </row>
    <row r="55">
      <c r="P55" s="9"/>
    </row>
    <row r="56">
      <c r="P56" s="9"/>
    </row>
    <row r="57">
      <c r="P57" s="9"/>
    </row>
    <row r="58">
      <c r="P58" s="9"/>
    </row>
    <row r="59">
      <c r="P59" s="9"/>
    </row>
    <row r="60">
      <c r="P60" s="9"/>
    </row>
    <row r="61">
      <c r="P61" s="9"/>
    </row>
    <row r="62">
      <c r="P62" s="9"/>
    </row>
    <row r="63">
      <c r="P63" s="9"/>
    </row>
    <row r="64">
      <c r="P64" s="9"/>
    </row>
    <row r="65">
      <c r="P65" s="9"/>
    </row>
    <row r="66">
      <c r="P66" s="9"/>
    </row>
    <row r="67">
      <c r="P67" s="9"/>
    </row>
    <row r="68">
      <c r="P68" s="9"/>
    </row>
    <row r="69">
      <c r="P69" s="9"/>
    </row>
    <row r="70">
      <c r="P70" s="9"/>
    </row>
    <row r="71">
      <c r="P71" s="9"/>
    </row>
    <row r="72">
      <c r="P72" s="9"/>
    </row>
    <row r="73">
      <c r="P73" s="9"/>
    </row>
    <row r="74">
      <c r="P74" s="9"/>
    </row>
    <row r="75">
      <c r="P75" s="9"/>
    </row>
    <row r="76">
      <c r="P76" s="9"/>
    </row>
    <row r="77">
      <c r="P77" s="9"/>
    </row>
    <row r="78">
      <c r="P78" s="9"/>
    </row>
    <row r="79">
      <c r="P79" s="9"/>
    </row>
    <row r="80">
      <c r="P80" s="9"/>
    </row>
    <row r="81">
      <c r="P81" s="9"/>
    </row>
    <row r="82">
      <c r="P82" s="9"/>
    </row>
    <row r="83">
      <c r="P83" s="9"/>
    </row>
    <row r="84">
      <c r="P84" s="9"/>
    </row>
    <row r="85">
      <c r="P85" s="9"/>
    </row>
    <row r="86">
      <c r="P86" s="9"/>
    </row>
    <row r="87">
      <c r="P87" s="9"/>
    </row>
    <row r="88">
      <c r="P88" s="9"/>
    </row>
    <row r="89">
      <c r="P89" s="9"/>
    </row>
    <row r="90">
      <c r="P90" s="9"/>
    </row>
    <row r="91">
      <c r="P91" s="9"/>
    </row>
    <row r="92">
      <c r="P92" s="9"/>
    </row>
    <row r="93">
      <c r="P93" s="9"/>
    </row>
    <row r="94">
      <c r="P94" s="9"/>
    </row>
    <row r="95">
      <c r="P95" s="9"/>
    </row>
    <row r="96">
      <c r="P96" s="9"/>
    </row>
    <row r="97">
      <c r="P97" s="9"/>
    </row>
    <row r="98">
      <c r="P98" s="9"/>
    </row>
    <row r="99">
      <c r="P99" s="9"/>
    </row>
    <row r="100">
      <c r="P100" s="9"/>
    </row>
    <row r="101">
      <c r="P101" s="9"/>
    </row>
    <row r="102">
      <c r="P102" s="9"/>
    </row>
    <row r="103">
      <c r="P103" s="9"/>
    </row>
    <row r="104">
      <c r="P104" s="9"/>
    </row>
    <row r="105">
      <c r="P105" s="9"/>
    </row>
    <row r="106">
      <c r="P106" s="9"/>
    </row>
    <row r="107">
      <c r="P107" s="9"/>
    </row>
    <row r="108">
      <c r="P108" s="9"/>
    </row>
    <row r="109">
      <c r="P109" s="9"/>
    </row>
    <row r="110">
      <c r="P110" s="9"/>
    </row>
    <row r="111">
      <c r="P111" s="9"/>
    </row>
    <row r="112">
      <c r="P112" s="9"/>
    </row>
    <row r="113">
      <c r="P113" s="9"/>
    </row>
    <row r="114">
      <c r="P114" s="9"/>
    </row>
    <row r="115">
      <c r="P115" s="9"/>
    </row>
    <row r="116">
      <c r="P116" s="9"/>
    </row>
    <row r="117">
      <c r="P117" s="9"/>
    </row>
    <row r="118">
      <c r="P118" s="9"/>
    </row>
    <row r="119">
      <c r="P119" s="9"/>
    </row>
    <row r="120">
      <c r="P120" s="9"/>
    </row>
    <row r="121">
      <c r="P121" s="9"/>
    </row>
    <row r="122">
      <c r="P122" s="9"/>
    </row>
    <row r="123">
      <c r="P123" s="9"/>
    </row>
    <row r="124">
      <c r="P124" s="9"/>
    </row>
    <row r="125">
      <c r="P125" s="9"/>
    </row>
    <row r="126">
      <c r="P126" s="9"/>
    </row>
    <row r="127">
      <c r="P127" s="9"/>
    </row>
    <row r="128">
      <c r="P128" s="9"/>
    </row>
    <row r="129">
      <c r="P129" s="9"/>
    </row>
    <row r="130">
      <c r="P130" s="9"/>
    </row>
    <row r="131">
      <c r="P131" s="9"/>
    </row>
    <row r="132">
      <c r="P132" s="9"/>
    </row>
    <row r="133">
      <c r="P133" s="9"/>
    </row>
    <row r="134">
      <c r="P134" s="9"/>
    </row>
    <row r="135">
      <c r="P135" s="9"/>
    </row>
    <row r="136">
      <c r="P136" s="9"/>
    </row>
    <row r="137">
      <c r="P137" s="9"/>
    </row>
    <row r="138">
      <c r="P138" s="9"/>
    </row>
    <row r="139">
      <c r="P139" s="9"/>
    </row>
    <row r="140">
      <c r="P140" s="9"/>
    </row>
    <row r="141">
      <c r="P141" s="9"/>
    </row>
    <row r="142">
      <c r="P142" s="9"/>
    </row>
    <row r="143">
      <c r="P143" s="9"/>
    </row>
    <row r="144">
      <c r="P144" s="9"/>
    </row>
    <row r="145">
      <c r="P145" s="9"/>
    </row>
    <row r="146">
      <c r="P146" s="9"/>
    </row>
    <row r="147">
      <c r="P147" s="9"/>
    </row>
    <row r="148">
      <c r="P148" s="9"/>
    </row>
    <row r="149">
      <c r="P149" s="9"/>
    </row>
    <row r="150">
      <c r="P150" s="9"/>
    </row>
    <row r="151">
      <c r="P151" s="9"/>
    </row>
    <row r="152">
      <c r="P152" s="9"/>
    </row>
    <row r="153">
      <c r="P153" s="9"/>
    </row>
    <row r="154">
      <c r="P154" s="9"/>
    </row>
    <row r="155">
      <c r="P155" s="9"/>
    </row>
    <row r="156">
      <c r="P156" s="9"/>
    </row>
    <row r="157">
      <c r="P157" s="9"/>
    </row>
    <row r="158">
      <c r="P158" s="9"/>
    </row>
    <row r="159">
      <c r="P159" s="9"/>
    </row>
    <row r="160">
      <c r="P160" s="9"/>
    </row>
    <row r="161">
      <c r="P161" s="9"/>
    </row>
    <row r="162">
      <c r="P162" s="9"/>
    </row>
    <row r="163">
      <c r="P163" s="9"/>
    </row>
    <row r="164">
      <c r="P164" s="9"/>
    </row>
    <row r="165">
      <c r="P165" s="9"/>
    </row>
    <row r="166">
      <c r="P166" s="9"/>
    </row>
    <row r="167">
      <c r="P167" s="9"/>
    </row>
    <row r="168">
      <c r="P168" s="9"/>
    </row>
    <row r="169">
      <c r="P169" s="9"/>
    </row>
    <row r="170">
      <c r="P170" s="9"/>
    </row>
    <row r="171">
      <c r="P171" s="9"/>
    </row>
    <row r="172">
      <c r="P172" s="9"/>
    </row>
    <row r="173">
      <c r="P173" s="9"/>
    </row>
    <row r="174">
      <c r="P174" s="9"/>
    </row>
    <row r="175">
      <c r="P175" s="9"/>
    </row>
    <row r="176">
      <c r="P176" s="9"/>
    </row>
    <row r="177">
      <c r="P177" s="9"/>
    </row>
    <row r="178">
      <c r="P178" s="9"/>
    </row>
    <row r="179">
      <c r="P179" s="9"/>
    </row>
    <row r="180">
      <c r="P180" s="9"/>
    </row>
    <row r="181">
      <c r="P181" s="9"/>
    </row>
    <row r="182">
      <c r="P182" s="9"/>
    </row>
    <row r="183">
      <c r="P183" s="9"/>
    </row>
    <row r="184">
      <c r="P184" s="9"/>
    </row>
    <row r="185">
      <c r="P185" s="9"/>
    </row>
    <row r="186">
      <c r="P186" s="9"/>
    </row>
    <row r="187">
      <c r="P187" s="9"/>
    </row>
    <row r="188">
      <c r="P188" s="9"/>
    </row>
    <row r="189">
      <c r="P189" s="9"/>
    </row>
    <row r="190">
      <c r="P190" s="9"/>
    </row>
    <row r="191">
      <c r="P191" s="9"/>
    </row>
    <row r="192">
      <c r="P192" s="9"/>
    </row>
    <row r="193">
      <c r="P193" s="9"/>
    </row>
    <row r="194">
      <c r="P194" s="9"/>
    </row>
    <row r="195">
      <c r="P195" s="9"/>
    </row>
    <row r="196">
      <c r="P196" s="9"/>
    </row>
    <row r="197">
      <c r="P197" s="9"/>
    </row>
    <row r="198">
      <c r="P198" s="9"/>
    </row>
    <row r="199">
      <c r="P199" s="9"/>
    </row>
    <row r="200">
      <c r="P200" s="9"/>
    </row>
    <row r="201">
      <c r="P201" s="9"/>
    </row>
    <row r="202">
      <c r="P202" s="9"/>
    </row>
    <row r="203">
      <c r="P203" s="9"/>
    </row>
    <row r="204">
      <c r="P204" s="9"/>
    </row>
    <row r="205">
      <c r="P205" s="9"/>
    </row>
    <row r="206">
      <c r="P206" s="9"/>
    </row>
    <row r="207">
      <c r="P207" s="9"/>
    </row>
    <row r="208">
      <c r="P208" s="9"/>
    </row>
    <row r="209">
      <c r="P209" s="9"/>
    </row>
    <row r="210">
      <c r="P210" s="9"/>
    </row>
    <row r="211">
      <c r="P211" s="9"/>
    </row>
    <row r="212">
      <c r="P212" s="9"/>
    </row>
    <row r="213">
      <c r="P213" s="9"/>
    </row>
    <row r="214">
      <c r="P214" s="9"/>
    </row>
    <row r="215">
      <c r="P215" s="9"/>
    </row>
    <row r="216">
      <c r="P216" s="9"/>
    </row>
    <row r="217">
      <c r="P217" s="9"/>
    </row>
    <row r="218">
      <c r="P218" s="9"/>
    </row>
    <row r="219">
      <c r="P219" s="9"/>
    </row>
    <row r="220">
      <c r="P220" s="9"/>
    </row>
    <row r="221">
      <c r="P221" s="9"/>
    </row>
    <row r="222">
      <c r="P222" s="9"/>
    </row>
    <row r="223">
      <c r="P223" s="9"/>
    </row>
    <row r="224">
      <c r="P224" s="9"/>
    </row>
    <row r="225">
      <c r="P225" s="9"/>
    </row>
    <row r="226">
      <c r="P226" s="9"/>
    </row>
    <row r="227">
      <c r="P227" s="9"/>
    </row>
    <row r="228">
      <c r="P228" s="9"/>
    </row>
    <row r="229">
      <c r="P229" s="9"/>
    </row>
    <row r="230">
      <c r="P230" s="9"/>
    </row>
    <row r="231">
      <c r="P231" s="9"/>
    </row>
    <row r="232">
      <c r="P232" s="9"/>
    </row>
    <row r="233">
      <c r="P233" s="9"/>
    </row>
    <row r="234">
      <c r="P234" s="9"/>
    </row>
    <row r="235">
      <c r="P235" s="9"/>
    </row>
    <row r="236">
      <c r="P236" s="9"/>
    </row>
    <row r="237">
      <c r="P237" s="9"/>
    </row>
    <row r="238">
      <c r="P238" s="9"/>
    </row>
    <row r="239">
      <c r="P239" s="9"/>
    </row>
    <row r="240">
      <c r="P240" s="9"/>
    </row>
    <row r="241">
      <c r="P241" s="9"/>
    </row>
    <row r="242">
      <c r="P242" s="9"/>
    </row>
    <row r="243">
      <c r="P243" s="9"/>
    </row>
    <row r="244">
      <c r="P244" s="9"/>
    </row>
    <row r="245">
      <c r="P245" s="9"/>
    </row>
    <row r="246">
      <c r="P246" s="9"/>
    </row>
    <row r="247">
      <c r="P247" s="9"/>
    </row>
    <row r="248">
      <c r="P248" s="9"/>
    </row>
    <row r="249">
      <c r="P249" s="9"/>
    </row>
    <row r="250">
      <c r="P250" s="9"/>
    </row>
    <row r="251">
      <c r="P251" s="9"/>
    </row>
    <row r="252">
      <c r="P252" s="9"/>
    </row>
    <row r="253">
      <c r="P253" s="9"/>
    </row>
    <row r="254">
      <c r="P254" s="9"/>
    </row>
    <row r="255">
      <c r="P255" s="9"/>
    </row>
    <row r="256">
      <c r="P256" s="9"/>
    </row>
    <row r="257">
      <c r="P257" s="9"/>
    </row>
    <row r="258">
      <c r="P258" s="9"/>
    </row>
    <row r="259">
      <c r="P259" s="9"/>
    </row>
    <row r="260">
      <c r="P260" s="9"/>
    </row>
    <row r="261">
      <c r="P261" s="9"/>
    </row>
    <row r="262">
      <c r="P262" s="9"/>
    </row>
    <row r="263">
      <c r="P263" s="9"/>
    </row>
    <row r="264">
      <c r="P264" s="9"/>
    </row>
    <row r="265">
      <c r="P265" s="9"/>
    </row>
    <row r="266">
      <c r="P266" s="9"/>
    </row>
    <row r="267">
      <c r="P267" s="9"/>
    </row>
    <row r="268">
      <c r="P268" s="9"/>
    </row>
    <row r="269">
      <c r="P269" s="9"/>
    </row>
    <row r="270">
      <c r="P270" s="9"/>
    </row>
    <row r="271">
      <c r="P271" s="9"/>
    </row>
    <row r="272">
      <c r="P272" s="9"/>
    </row>
    <row r="273">
      <c r="P273" s="9"/>
    </row>
    <row r="274">
      <c r="P274" s="9"/>
    </row>
    <row r="275">
      <c r="P275" s="9"/>
    </row>
    <row r="276">
      <c r="P276" s="9"/>
    </row>
    <row r="277">
      <c r="P277" s="9"/>
    </row>
    <row r="278">
      <c r="P278" s="9"/>
    </row>
    <row r="279">
      <c r="P279" s="9"/>
    </row>
    <row r="280">
      <c r="P280" s="9"/>
    </row>
    <row r="281">
      <c r="P281" s="9"/>
    </row>
    <row r="282">
      <c r="P282" s="9"/>
    </row>
    <row r="283">
      <c r="P283" s="9"/>
    </row>
    <row r="284">
      <c r="P284" s="9"/>
    </row>
    <row r="285">
      <c r="P285" s="9"/>
    </row>
    <row r="286">
      <c r="P286" s="9"/>
    </row>
    <row r="287">
      <c r="P287" s="9"/>
    </row>
    <row r="288">
      <c r="P288" s="9"/>
    </row>
    <row r="289">
      <c r="P289" s="9"/>
    </row>
    <row r="290">
      <c r="P290" s="9"/>
    </row>
    <row r="291">
      <c r="P291" s="9"/>
    </row>
    <row r="292">
      <c r="P292" s="9"/>
    </row>
    <row r="293">
      <c r="P293" s="9"/>
    </row>
    <row r="294">
      <c r="P294" s="9"/>
    </row>
    <row r="295">
      <c r="P295" s="9"/>
    </row>
    <row r="296">
      <c r="P296" s="9"/>
    </row>
    <row r="297">
      <c r="P297" s="9"/>
    </row>
    <row r="298">
      <c r="P298" s="9"/>
    </row>
    <row r="299">
      <c r="P299" s="9"/>
    </row>
    <row r="300">
      <c r="P300" s="9"/>
    </row>
    <row r="301">
      <c r="P301" s="9"/>
    </row>
    <row r="302">
      <c r="P302" s="9"/>
    </row>
    <row r="303">
      <c r="P303" s="9"/>
    </row>
    <row r="304">
      <c r="P304" s="9"/>
    </row>
    <row r="305">
      <c r="P305" s="9"/>
    </row>
    <row r="306">
      <c r="P306" s="9"/>
    </row>
    <row r="307">
      <c r="P307" s="9"/>
    </row>
    <row r="308">
      <c r="P308" s="9"/>
    </row>
    <row r="309">
      <c r="P309" s="9"/>
    </row>
    <row r="310">
      <c r="P310" s="9"/>
    </row>
    <row r="311">
      <c r="P311" s="9"/>
    </row>
    <row r="312">
      <c r="P312" s="9"/>
    </row>
    <row r="313">
      <c r="P313" s="9"/>
    </row>
    <row r="314">
      <c r="P314" s="9"/>
    </row>
    <row r="315">
      <c r="P315" s="9"/>
    </row>
    <row r="316">
      <c r="P316" s="9"/>
    </row>
    <row r="317">
      <c r="P317" s="9"/>
    </row>
    <row r="318">
      <c r="P318" s="9"/>
    </row>
    <row r="319">
      <c r="P319" s="9"/>
    </row>
    <row r="320">
      <c r="P320" s="9"/>
    </row>
    <row r="321">
      <c r="P321" s="9"/>
    </row>
    <row r="322">
      <c r="P322" s="9"/>
    </row>
    <row r="323">
      <c r="P323" s="9"/>
    </row>
    <row r="324">
      <c r="P324" s="9"/>
    </row>
    <row r="325">
      <c r="P325" s="9"/>
    </row>
    <row r="326">
      <c r="P326" s="9"/>
    </row>
    <row r="327">
      <c r="P327" s="9"/>
    </row>
    <row r="328">
      <c r="P328" s="9"/>
    </row>
    <row r="329">
      <c r="P329" s="9"/>
    </row>
    <row r="330">
      <c r="P330" s="9"/>
    </row>
    <row r="331">
      <c r="P331" s="9"/>
    </row>
    <row r="332">
      <c r="P332" s="9"/>
    </row>
    <row r="333">
      <c r="P333" s="9"/>
    </row>
    <row r="334">
      <c r="P334" s="9"/>
    </row>
    <row r="335">
      <c r="P335" s="9"/>
    </row>
    <row r="336">
      <c r="P336" s="9"/>
    </row>
    <row r="337">
      <c r="P337" s="9"/>
    </row>
    <row r="338">
      <c r="P338" s="9"/>
    </row>
    <row r="339">
      <c r="P339" s="9"/>
    </row>
    <row r="340">
      <c r="P340" s="9"/>
    </row>
    <row r="341">
      <c r="P341" s="9"/>
    </row>
    <row r="342">
      <c r="P342" s="9"/>
    </row>
    <row r="343">
      <c r="P343" s="9"/>
    </row>
    <row r="344">
      <c r="P344" s="9"/>
    </row>
    <row r="345">
      <c r="P345" s="9"/>
    </row>
    <row r="346">
      <c r="P346" s="9"/>
    </row>
    <row r="347">
      <c r="P347" s="9"/>
    </row>
    <row r="348">
      <c r="P348" s="9"/>
    </row>
    <row r="349">
      <c r="P349" s="9"/>
    </row>
    <row r="350">
      <c r="P350" s="9"/>
    </row>
    <row r="351">
      <c r="P351" s="9"/>
    </row>
    <row r="352">
      <c r="P352" s="9"/>
    </row>
    <row r="353">
      <c r="P353" s="9"/>
    </row>
    <row r="354">
      <c r="P354" s="9"/>
    </row>
    <row r="355">
      <c r="P355" s="9"/>
    </row>
    <row r="356">
      <c r="P356" s="9"/>
    </row>
    <row r="357">
      <c r="P357" s="9"/>
    </row>
    <row r="358">
      <c r="P358" s="9"/>
    </row>
    <row r="359">
      <c r="P359" s="9"/>
    </row>
    <row r="360">
      <c r="P360" s="9"/>
    </row>
    <row r="361">
      <c r="P361" s="9"/>
    </row>
    <row r="362">
      <c r="P362" s="9"/>
    </row>
    <row r="363">
      <c r="P363" s="9"/>
    </row>
    <row r="364">
      <c r="P364" s="9"/>
    </row>
    <row r="365">
      <c r="P365" s="9"/>
    </row>
    <row r="366">
      <c r="P366" s="9"/>
    </row>
    <row r="367">
      <c r="P367" s="9"/>
    </row>
    <row r="368">
      <c r="P368" s="9"/>
    </row>
    <row r="369">
      <c r="P369" s="9"/>
    </row>
    <row r="370">
      <c r="P370" s="9"/>
    </row>
    <row r="371">
      <c r="P371" s="9"/>
    </row>
    <row r="372">
      <c r="P372" s="9"/>
    </row>
    <row r="373">
      <c r="P373" s="9"/>
    </row>
    <row r="374">
      <c r="P374" s="9"/>
    </row>
    <row r="375">
      <c r="P375" s="9"/>
    </row>
    <row r="376">
      <c r="P376" s="9"/>
    </row>
    <row r="377">
      <c r="P377" s="9"/>
    </row>
    <row r="378">
      <c r="P378" s="9"/>
    </row>
    <row r="379">
      <c r="P379" s="9"/>
    </row>
    <row r="380">
      <c r="P380" s="9"/>
    </row>
    <row r="381">
      <c r="P381" s="9"/>
    </row>
    <row r="382">
      <c r="P382" s="9"/>
    </row>
    <row r="383">
      <c r="P383" s="9"/>
    </row>
    <row r="384">
      <c r="P384" s="9"/>
    </row>
    <row r="385">
      <c r="P385" s="9"/>
    </row>
    <row r="386">
      <c r="P386" s="9"/>
    </row>
    <row r="387">
      <c r="P387" s="9"/>
    </row>
    <row r="388">
      <c r="P388" s="9"/>
    </row>
    <row r="389">
      <c r="P389" s="9"/>
    </row>
    <row r="390">
      <c r="P390" s="9"/>
    </row>
    <row r="391">
      <c r="P391" s="9"/>
    </row>
    <row r="392">
      <c r="P392" s="9"/>
    </row>
    <row r="393">
      <c r="P393" s="9"/>
    </row>
    <row r="394">
      <c r="P394" s="9"/>
    </row>
    <row r="395">
      <c r="P395" s="9"/>
    </row>
    <row r="396">
      <c r="P396" s="9"/>
    </row>
    <row r="397">
      <c r="P397" s="9"/>
    </row>
    <row r="398">
      <c r="P398" s="9"/>
    </row>
    <row r="399">
      <c r="P399" s="9"/>
    </row>
    <row r="400">
      <c r="P400" s="9"/>
    </row>
    <row r="401">
      <c r="P401" s="9"/>
    </row>
    <row r="402">
      <c r="P402" s="9"/>
    </row>
    <row r="403">
      <c r="P403" s="9"/>
    </row>
    <row r="404">
      <c r="P404" s="9"/>
    </row>
    <row r="405">
      <c r="P405" s="9"/>
    </row>
    <row r="406">
      <c r="P406" s="9"/>
    </row>
    <row r="407">
      <c r="P407" s="9"/>
    </row>
    <row r="408">
      <c r="P408" s="9"/>
    </row>
    <row r="409">
      <c r="P409" s="9"/>
    </row>
    <row r="410">
      <c r="P410" s="9"/>
    </row>
    <row r="411">
      <c r="P411" s="9"/>
    </row>
    <row r="412">
      <c r="P412" s="9"/>
    </row>
    <row r="413">
      <c r="P413" s="9"/>
    </row>
    <row r="414">
      <c r="P414" s="9"/>
    </row>
    <row r="415">
      <c r="P415" s="9"/>
    </row>
    <row r="416">
      <c r="P416" s="9"/>
    </row>
    <row r="417">
      <c r="P417" s="9"/>
    </row>
    <row r="418">
      <c r="P418" s="9"/>
    </row>
    <row r="419">
      <c r="P419" s="9"/>
    </row>
    <row r="420">
      <c r="P420" s="9"/>
    </row>
    <row r="421">
      <c r="P421" s="9"/>
    </row>
    <row r="422">
      <c r="P422" s="9"/>
    </row>
    <row r="423">
      <c r="P423" s="9"/>
    </row>
    <row r="424">
      <c r="P424" s="9"/>
    </row>
    <row r="425">
      <c r="P425" s="9"/>
    </row>
    <row r="426">
      <c r="P426" s="9"/>
    </row>
    <row r="427">
      <c r="P427" s="9"/>
    </row>
    <row r="428">
      <c r="P428" s="9"/>
    </row>
    <row r="429">
      <c r="P429" s="9"/>
    </row>
    <row r="430">
      <c r="P430" s="9"/>
    </row>
    <row r="431">
      <c r="P431" s="9"/>
    </row>
    <row r="432">
      <c r="P432" s="9"/>
    </row>
    <row r="433">
      <c r="P433" s="9"/>
    </row>
    <row r="434">
      <c r="P434" s="9"/>
    </row>
    <row r="435">
      <c r="P435" s="9"/>
    </row>
    <row r="436">
      <c r="P436" s="9"/>
    </row>
    <row r="437">
      <c r="P437" s="9"/>
    </row>
    <row r="438">
      <c r="P438" s="9"/>
    </row>
    <row r="439">
      <c r="P439" s="9"/>
    </row>
    <row r="440">
      <c r="P440" s="9"/>
    </row>
    <row r="441">
      <c r="P441" s="9"/>
    </row>
    <row r="442">
      <c r="P442" s="9"/>
    </row>
    <row r="443">
      <c r="P443" s="9"/>
    </row>
    <row r="444">
      <c r="P444" s="9"/>
    </row>
    <row r="445">
      <c r="P445" s="9"/>
    </row>
    <row r="446">
      <c r="P446" s="9"/>
    </row>
    <row r="447">
      <c r="P447" s="9"/>
    </row>
    <row r="448">
      <c r="P448" s="9"/>
    </row>
    <row r="449">
      <c r="P449" s="9"/>
    </row>
    <row r="450">
      <c r="P450" s="9"/>
    </row>
    <row r="451">
      <c r="P451" s="9"/>
    </row>
    <row r="452">
      <c r="P452" s="9"/>
    </row>
    <row r="453">
      <c r="P453" s="9"/>
    </row>
    <row r="454">
      <c r="P454" s="9"/>
    </row>
    <row r="455">
      <c r="P455" s="9"/>
    </row>
    <row r="456">
      <c r="P456" s="9"/>
    </row>
    <row r="457">
      <c r="P457" s="9"/>
    </row>
    <row r="458">
      <c r="P458" s="9"/>
    </row>
    <row r="459">
      <c r="P459" s="9"/>
    </row>
    <row r="460">
      <c r="P460" s="9"/>
    </row>
    <row r="461">
      <c r="P461" s="9"/>
    </row>
    <row r="462">
      <c r="P462" s="9"/>
    </row>
    <row r="463">
      <c r="P463" s="9"/>
    </row>
    <row r="464">
      <c r="P464" s="9"/>
    </row>
    <row r="465">
      <c r="P465" s="9"/>
    </row>
    <row r="466">
      <c r="P466" s="9"/>
    </row>
    <row r="467">
      <c r="P467" s="9"/>
    </row>
    <row r="468">
      <c r="P468" s="9"/>
    </row>
    <row r="469">
      <c r="P469" s="9"/>
    </row>
    <row r="470">
      <c r="P470" s="9"/>
    </row>
    <row r="471">
      <c r="P471" s="9"/>
    </row>
    <row r="472">
      <c r="P472" s="9"/>
    </row>
    <row r="473">
      <c r="P473" s="9"/>
    </row>
    <row r="474">
      <c r="P474" s="9"/>
    </row>
    <row r="475">
      <c r="P475" s="9"/>
    </row>
    <row r="476">
      <c r="P476" s="9"/>
    </row>
    <row r="477">
      <c r="P477" s="9"/>
    </row>
    <row r="478">
      <c r="P478" s="9"/>
    </row>
    <row r="479">
      <c r="P479" s="9"/>
    </row>
    <row r="480">
      <c r="P480" s="9"/>
    </row>
    <row r="481">
      <c r="P481" s="9"/>
    </row>
    <row r="482">
      <c r="P482" s="9"/>
    </row>
    <row r="483">
      <c r="P483" s="9"/>
    </row>
    <row r="484">
      <c r="P484" s="9"/>
    </row>
    <row r="485">
      <c r="P485" s="9"/>
    </row>
    <row r="486">
      <c r="P486" s="9"/>
    </row>
    <row r="487">
      <c r="P487" s="9"/>
    </row>
    <row r="488">
      <c r="P488" s="9"/>
    </row>
    <row r="489">
      <c r="P489" s="9"/>
    </row>
    <row r="490">
      <c r="P490" s="9"/>
    </row>
    <row r="491">
      <c r="P491" s="9"/>
    </row>
    <row r="492">
      <c r="P492" s="9"/>
    </row>
    <row r="493">
      <c r="P493" s="9"/>
    </row>
    <row r="494">
      <c r="P494" s="9"/>
    </row>
    <row r="495">
      <c r="P495" s="9"/>
    </row>
    <row r="496">
      <c r="P496" s="9"/>
    </row>
    <row r="497">
      <c r="P497" s="9"/>
    </row>
    <row r="498">
      <c r="P498" s="9"/>
    </row>
    <row r="499">
      <c r="P499" s="9"/>
    </row>
    <row r="500">
      <c r="P500" s="9"/>
    </row>
    <row r="501">
      <c r="P501" s="9"/>
    </row>
    <row r="502">
      <c r="P502" s="9"/>
    </row>
    <row r="503">
      <c r="P503" s="9"/>
    </row>
    <row r="504">
      <c r="P504" s="9"/>
    </row>
    <row r="505">
      <c r="P505" s="9"/>
    </row>
    <row r="506">
      <c r="P506" s="9"/>
    </row>
    <row r="507">
      <c r="P507" s="9"/>
    </row>
    <row r="508">
      <c r="P508" s="9"/>
    </row>
    <row r="509">
      <c r="P509" s="9"/>
    </row>
    <row r="510">
      <c r="P510" s="9"/>
    </row>
    <row r="511">
      <c r="P511" s="9"/>
    </row>
    <row r="512">
      <c r="P512" s="9"/>
    </row>
    <row r="513">
      <c r="P513" s="9"/>
    </row>
    <row r="514">
      <c r="P514" s="9"/>
    </row>
    <row r="515">
      <c r="P515" s="9"/>
    </row>
    <row r="516">
      <c r="P516" s="9"/>
    </row>
    <row r="517">
      <c r="P517" s="9"/>
    </row>
    <row r="518">
      <c r="P518" s="9"/>
    </row>
    <row r="519">
      <c r="P519" s="9"/>
    </row>
    <row r="520">
      <c r="P520" s="9"/>
    </row>
    <row r="521">
      <c r="P521" s="9"/>
    </row>
    <row r="522">
      <c r="P522" s="9"/>
    </row>
    <row r="523">
      <c r="P523" s="9"/>
    </row>
    <row r="524">
      <c r="P524" s="9"/>
    </row>
    <row r="525">
      <c r="P525" s="9"/>
    </row>
    <row r="526">
      <c r="P526" s="9"/>
    </row>
    <row r="527">
      <c r="P527" s="9"/>
    </row>
    <row r="528">
      <c r="P528" s="9"/>
    </row>
    <row r="529">
      <c r="P529" s="9"/>
    </row>
    <row r="530">
      <c r="P530" s="9"/>
    </row>
    <row r="531">
      <c r="P531" s="9"/>
    </row>
    <row r="532">
      <c r="P532" s="9"/>
    </row>
    <row r="533">
      <c r="P533" s="9"/>
    </row>
    <row r="534">
      <c r="P534" s="9"/>
    </row>
    <row r="535">
      <c r="P535" s="9"/>
    </row>
    <row r="536">
      <c r="P536" s="9"/>
    </row>
    <row r="537">
      <c r="P537" s="9"/>
    </row>
    <row r="538">
      <c r="P538" s="9"/>
    </row>
    <row r="539">
      <c r="P539" s="9"/>
    </row>
    <row r="540">
      <c r="P540" s="9"/>
    </row>
    <row r="541">
      <c r="P541" s="9"/>
    </row>
    <row r="542">
      <c r="P542" s="9"/>
    </row>
    <row r="543">
      <c r="P543" s="9"/>
    </row>
    <row r="544">
      <c r="P544" s="9"/>
    </row>
    <row r="545">
      <c r="P545" s="9"/>
    </row>
    <row r="546">
      <c r="P546" s="9"/>
    </row>
    <row r="547">
      <c r="P547" s="9"/>
    </row>
    <row r="548">
      <c r="P548" s="9"/>
    </row>
    <row r="549">
      <c r="P549" s="9"/>
    </row>
    <row r="550">
      <c r="P550" s="9"/>
    </row>
    <row r="551">
      <c r="P551" s="9"/>
    </row>
    <row r="552">
      <c r="P552" s="9"/>
    </row>
    <row r="553">
      <c r="P553" s="9"/>
    </row>
    <row r="554">
      <c r="P554" s="9"/>
    </row>
    <row r="555">
      <c r="P555" s="9"/>
    </row>
    <row r="556">
      <c r="P556" s="9"/>
    </row>
    <row r="557">
      <c r="P557" s="9"/>
    </row>
    <row r="558">
      <c r="P558" s="9"/>
    </row>
    <row r="559">
      <c r="P559" s="9"/>
    </row>
    <row r="560">
      <c r="P560" s="9"/>
    </row>
    <row r="561">
      <c r="P561" s="9"/>
    </row>
    <row r="562">
      <c r="P562" s="9"/>
    </row>
    <row r="563">
      <c r="P563" s="9"/>
    </row>
    <row r="564">
      <c r="P564" s="9"/>
    </row>
    <row r="565">
      <c r="P565" s="9"/>
    </row>
    <row r="566">
      <c r="P566" s="9"/>
    </row>
    <row r="567">
      <c r="P567" s="9"/>
    </row>
    <row r="568">
      <c r="P568" s="9"/>
    </row>
    <row r="569">
      <c r="P569" s="9"/>
    </row>
    <row r="570">
      <c r="P570" s="9"/>
    </row>
    <row r="571">
      <c r="P571" s="9"/>
    </row>
    <row r="572">
      <c r="P572" s="9"/>
    </row>
    <row r="573">
      <c r="P573" s="9"/>
    </row>
    <row r="574">
      <c r="P574" s="9"/>
    </row>
    <row r="575">
      <c r="P575" s="9"/>
    </row>
    <row r="576">
      <c r="P576" s="9"/>
    </row>
    <row r="577">
      <c r="P577" s="9"/>
    </row>
    <row r="578">
      <c r="P578" s="9"/>
    </row>
    <row r="579">
      <c r="P579" s="9"/>
    </row>
    <row r="580">
      <c r="P580" s="9"/>
    </row>
    <row r="581">
      <c r="P581" s="9"/>
    </row>
    <row r="582">
      <c r="P582" s="9"/>
    </row>
    <row r="583">
      <c r="P583" s="9"/>
    </row>
    <row r="584">
      <c r="P584" s="9"/>
    </row>
    <row r="585">
      <c r="P585" s="9"/>
    </row>
    <row r="586">
      <c r="P586" s="9"/>
    </row>
    <row r="587">
      <c r="P587" s="9"/>
    </row>
    <row r="588">
      <c r="P588" s="9"/>
    </row>
    <row r="589">
      <c r="P589" s="9"/>
    </row>
    <row r="590">
      <c r="P590" s="9"/>
    </row>
    <row r="591">
      <c r="P591" s="9"/>
    </row>
    <row r="592">
      <c r="P592" s="9"/>
    </row>
    <row r="593">
      <c r="P593" s="9"/>
    </row>
    <row r="594">
      <c r="P594" s="9"/>
    </row>
    <row r="595">
      <c r="P595" s="9"/>
    </row>
    <row r="596">
      <c r="P596" s="9"/>
    </row>
    <row r="597">
      <c r="P597" s="9"/>
    </row>
    <row r="598">
      <c r="P598" s="9"/>
    </row>
    <row r="599">
      <c r="P599" s="9"/>
    </row>
    <row r="600">
      <c r="P600" s="9"/>
    </row>
    <row r="601">
      <c r="P601" s="9"/>
    </row>
    <row r="602">
      <c r="P602" s="9"/>
    </row>
    <row r="603">
      <c r="P603" s="9"/>
    </row>
    <row r="604">
      <c r="P604" s="9"/>
    </row>
    <row r="605">
      <c r="P605" s="9"/>
    </row>
    <row r="606">
      <c r="P606" s="9"/>
    </row>
    <row r="607">
      <c r="P607" s="9"/>
    </row>
    <row r="608">
      <c r="P608" s="9"/>
    </row>
    <row r="609">
      <c r="P609" s="9"/>
    </row>
    <row r="610">
      <c r="P610" s="9"/>
    </row>
    <row r="611">
      <c r="P611" s="9"/>
    </row>
    <row r="612">
      <c r="P612" s="9"/>
    </row>
    <row r="613">
      <c r="P613" s="9"/>
    </row>
    <row r="614">
      <c r="P614" s="9"/>
    </row>
    <row r="615">
      <c r="P615" s="9"/>
    </row>
    <row r="616">
      <c r="P616" s="9"/>
    </row>
    <row r="617">
      <c r="P617" s="9"/>
    </row>
    <row r="618">
      <c r="P618" s="9"/>
    </row>
    <row r="619">
      <c r="P619" s="9"/>
    </row>
    <row r="620">
      <c r="P620" s="9"/>
    </row>
    <row r="621">
      <c r="P621" s="9"/>
    </row>
    <row r="622">
      <c r="P622" s="9"/>
    </row>
    <row r="623">
      <c r="P623" s="9"/>
    </row>
    <row r="624">
      <c r="P624" s="9"/>
    </row>
    <row r="625">
      <c r="P625" s="9"/>
    </row>
    <row r="626">
      <c r="P626" s="9"/>
    </row>
    <row r="627">
      <c r="P627" s="9"/>
    </row>
    <row r="628">
      <c r="P628" s="9"/>
    </row>
    <row r="629">
      <c r="P629" s="9"/>
    </row>
    <row r="630">
      <c r="P630" s="9"/>
    </row>
    <row r="631">
      <c r="P631" s="9"/>
    </row>
    <row r="632">
      <c r="P632" s="9"/>
    </row>
    <row r="633">
      <c r="P633" s="9"/>
    </row>
    <row r="634">
      <c r="P634" s="9"/>
    </row>
    <row r="635">
      <c r="P635" s="9"/>
    </row>
    <row r="636">
      <c r="P636" s="9"/>
    </row>
    <row r="637">
      <c r="P637" s="9"/>
    </row>
    <row r="638">
      <c r="P638" s="9"/>
    </row>
    <row r="639">
      <c r="P639" s="9"/>
    </row>
    <row r="640">
      <c r="P640" s="9"/>
    </row>
    <row r="641">
      <c r="P641" s="9"/>
    </row>
    <row r="642">
      <c r="P642" s="9"/>
    </row>
    <row r="643">
      <c r="P643" s="9"/>
    </row>
    <row r="644">
      <c r="P644" s="9"/>
    </row>
    <row r="645">
      <c r="P645" s="9"/>
    </row>
    <row r="646">
      <c r="P646" s="9"/>
    </row>
    <row r="647">
      <c r="P647" s="9"/>
    </row>
    <row r="648">
      <c r="P648" s="9"/>
    </row>
    <row r="649">
      <c r="P649" s="9"/>
    </row>
    <row r="650">
      <c r="P650" s="9"/>
    </row>
    <row r="651">
      <c r="P651" s="9"/>
    </row>
    <row r="652">
      <c r="P652" s="9"/>
    </row>
    <row r="653">
      <c r="P653" s="9"/>
    </row>
    <row r="654">
      <c r="P654" s="9"/>
    </row>
    <row r="655">
      <c r="P655" s="9"/>
    </row>
    <row r="656">
      <c r="P656" s="9"/>
    </row>
    <row r="657">
      <c r="P657" s="9"/>
    </row>
    <row r="658">
      <c r="P658" s="9"/>
    </row>
    <row r="659">
      <c r="P659" s="9"/>
    </row>
    <row r="660">
      <c r="P660" s="9"/>
    </row>
    <row r="661">
      <c r="P661" s="9"/>
    </row>
    <row r="662">
      <c r="P662" s="9"/>
    </row>
    <row r="663">
      <c r="P663" s="9"/>
    </row>
    <row r="664">
      <c r="P664" s="9"/>
    </row>
    <row r="665">
      <c r="P665" s="9"/>
    </row>
    <row r="666">
      <c r="P666" s="9"/>
    </row>
    <row r="667">
      <c r="P667" s="9"/>
    </row>
    <row r="668">
      <c r="P668" s="9"/>
    </row>
    <row r="669">
      <c r="P669" s="9"/>
    </row>
    <row r="670">
      <c r="P670" s="9"/>
    </row>
    <row r="671">
      <c r="P671" s="9"/>
    </row>
    <row r="672">
      <c r="P672" s="9"/>
    </row>
    <row r="673">
      <c r="P673" s="9"/>
    </row>
    <row r="674">
      <c r="P674" s="9"/>
    </row>
    <row r="675">
      <c r="P675" s="9"/>
    </row>
    <row r="676">
      <c r="P676" s="9"/>
    </row>
    <row r="677">
      <c r="P677" s="9"/>
    </row>
    <row r="678">
      <c r="P678" s="9"/>
    </row>
    <row r="679">
      <c r="P679" s="9"/>
    </row>
    <row r="680">
      <c r="P680" s="9"/>
    </row>
    <row r="681">
      <c r="P681" s="9"/>
    </row>
    <row r="682">
      <c r="P682" s="9"/>
    </row>
    <row r="683">
      <c r="P683" s="9"/>
    </row>
    <row r="684">
      <c r="P684" s="9"/>
    </row>
    <row r="685">
      <c r="P685" s="9"/>
    </row>
    <row r="686">
      <c r="P686" s="9"/>
    </row>
    <row r="687">
      <c r="P687" s="9"/>
    </row>
    <row r="688">
      <c r="P688" s="9"/>
    </row>
    <row r="689">
      <c r="P689" s="9"/>
    </row>
    <row r="690">
      <c r="P690" s="9"/>
    </row>
    <row r="691">
      <c r="P691" s="9"/>
    </row>
    <row r="692">
      <c r="P692" s="9"/>
    </row>
    <row r="693">
      <c r="P693" s="9"/>
    </row>
    <row r="694">
      <c r="P694" s="9"/>
    </row>
    <row r="695">
      <c r="P695" s="9"/>
    </row>
    <row r="696">
      <c r="P696" s="9"/>
    </row>
    <row r="697">
      <c r="P697" s="9"/>
    </row>
    <row r="698">
      <c r="P698" s="9"/>
    </row>
    <row r="699">
      <c r="P699" s="9"/>
    </row>
    <row r="700">
      <c r="P700" s="9"/>
    </row>
    <row r="701">
      <c r="P701" s="9"/>
    </row>
    <row r="702">
      <c r="P702" s="9"/>
    </row>
    <row r="703">
      <c r="P703" s="9"/>
    </row>
    <row r="704">
      <c r="P704" s="9"/>
    </row>
    <row r="705">
      <c r="P705" s="9"/>
    </row>
    <row r="706">
      <c r="P706" s="9"/>
    </row>
    <row r="707">
      <c r="P707" s="9"/>
    </row>
    <row r="708">
      <c r="P708" s="9"/>
    </row>
    <row r="709">
      <c r="P709" s="9"/>
    </row>
    <row r="710">
      <c r="P710" s="9"/>
    </row>
    <row r="711">
      <c r="P711" s="9"/>
    </row>
    <row r="712">
      <c r="P712" s="9"/>
    </row>
    <row r="713">
      <c r="P713" s="9"/>
    </row>
    <row r="714">
      <c r="P714" s="9"/>
    </row>
    <row r="715">
      <c r="P715" s="9"/>
    </row>
    <row r="716">
      <c r="P716" s="9"/>
    </row>
    <row r="717">
      <c r="P717" s="9"/>
    </row>
    <row r="718">
      <c r="P718" s="9"/>
    </row>
    <row r="719">
      <c r="P719" s="9"/>
    </row>
    <row r="720">
      <c r="P720" s="9"/>
    </row>
    <row r="721">
      <c r="P721" s="9"/>
    </row>
    <row r="722">
      <c r="P722" s="9"/>
    </row>
    <row r="723">
      <c r="P723" s="9"/>
    </row>
    <row r="724">
      <c r="P724" s="9"/>
    </row>
    <row r="725">
      <c r="P725" s="9"/>
    </row>
    <row r="726">
      <c r="P726" s="9"/>
    </row>
    <row r="727">
      <c r="P727" s="9"/>
    </row>
    <row r="728">
      <c r="P728" s="9"/>
    </row>
    <row r="729">
      <c r="P729" s="9"/>
    </row>
    <row r="730">
      <c r="P730" s="9"/>
    </row>
    <row r="731">
      <c r="P731" s="9"/>
    </row>
    <row r="732">
      <c r="P732" s="9"/>
    </row>
    <row r="733">
      <c r="P733" s="9"/>
    </row>
    <row r="734">
      <c r="P734" s="9"/>
    </row>
    <row r="735">
      <c r="P735" s="9"/>
    </row>
    <row r="736">
      <c r="P736" s="9"/>
    </row>
    <row r="737">
      <c r="P737" s="9"/>
    </row>
    <row r="738">
      <c r="P738" s="9"/>
    </row>
    <row r="739">
      <c r="P739" s="9"/>
    </row>
    <row r="740">
      <c r="P740" s="9"/>
    </row>
    <row r="741">
      <c r="P741" s="9"/>
    </row>
    <row r="742">
      <c r="P742" s="9"/>
    </row>
    <row r="743">
      <c r="P743" s="9"/>
    </row>
    <row r="744">
      <c r="P744" s="9"/>
    </row>
    <row r="745">
      <c r="P745" s="9"/>
    </row>
    <row r="746">
      <c r="P746" s="9"/>
    </row>
    <row r="747">
      <c r="P747" s="9"/>
    </row>
    <row r="748">
      <c r="P748" s="9"/>
    </row>
    <row r="749">
      <c r="P749" s="9"/>
    </row>
    <row r="750">
      <c r="P750" s="9"/>
    </row>
    <row r="751">
      <c r="P751" s="9"/>
    </row>
    <row r="752">
      <c r="P752" s="9"/>
    </row>
    <row r="753">
      <c r="P753" s="9"/>
    </row>
    <row r="754">
      <c r="P754" s="9"/>
    </row>
    <row r="755">
      <c r="P755" s="9"/>
    </row>
    <row r="756">
      <c r="P756" s="9"/>
    </row>
    <row r="757">
      <c r="P757" s="9"/>
    </row>
    <row r="758">
      <c r="P758" s="9"/>
    </row>
    <row r="759">
      <c r="P759" s="9"/>
    </row>
    <row r="760">
      <c r="P760" s="9"/>
    </row>
    <row r="761">
      <c r="P761" s="9"/>
    </row>
    <row r="762">
      <c r="P762" s="9"/>
    </row>
    <row r="763">
      <c r="P763" s="9"/>
    </row>
    <row r="764">
      <c r="P764" s="9"/>
    </row>
    <row r="765">
      <c r="P765" s="9"/>
    </row>
    <row r="766">
      <c r="P766" s="9"/>
    </row>
    <row r="767">
      <c r="P767" s="9"/>
    </row>
    <row r="768">
      <c r="P768" s="9"/>
    </row>
    <row r="769">
      <c r="P769" s="9"/>
    </row>
    <row r="770">
      <c r="P770" s="9"/>
    </row>
    <row r="771">
      <c r="P771" s="9"/>
    </row>
    <row r="772">
      <c r="P772" s="9"/>
    </row>
    <row r="773">
      <c r="P773" s="9"/>
    </row>
    <row r="774">
      <c r="P774" s="9"/>
    </row>
    <row r="775">
      <c r="P775" s="9"/>
    </row>
    <row r="776">
      <c r="P776" s="9"/>
    </row>
    <row r="777">
      <c r="P777" s="9"/>
    </row>
    <row r="778">
      <c r="P778" s="9"/>
    </row>
    <row r="779">
      <c r="P779" s="9"/>
    </row>
    <row r="780">
      <c r="P780" s="9"/>
    </row>
    <row r="781">
      <c r="P781" s="9"/>
    </row>
    <row r="782">
      <c r="P782" s="9"/>
    </row>
    <row r="783">
      <c r="P783" s="9"/>
    </row>
    <row r="784">
      <c r="P784" s="9"/>
    </row>
    <row r="785">
      <c r="P785" s="9"/>
    </row>
    <row r="786">
      <c r="P786" s="9"/>
    </row>
    <row r="787">
      <c r="P787" s="9"/>
    </row>
    <row r="788">
      <c r="P788" s="9"/>
    </row>
    <row r="789">
      <c r="P789" s="9"/>
    </row>
    <row r="790">
      <c r="P790" s="9"/>
    </row>
    <row r="791">
      <c r="P791" s="9"/>
    </row>
    <row r="792">
      <c r="P792" s="9"/>
    </row>
    <row r="793">
      <c r="P793" s="9"/>
    </row>
    <row r="794">
      <c r="P794" s="9"/>
    </row>
    <row r="795">
      <c r="P795" s="9"/>
    </row>
    <row r="796">
      <c r="P796" s="9"/>
    </row>
    <row r="797">
      <c r="P797" s="9"/>
    </row>
    <row r="798">
      <c r="P798" s="9"/>
    </row>
    <row r="799">
      <c r="P799" s="9"/>
    </row>
    <row r="800">
      <c r="P800" s="9"/>
    </row>
    <row r="801">
      <c r="P801" s="9"/>
    </row>
    <row r="802">
      <c r="P802" s="9"/>
    </row>
    <row r="803">
      <c r="P803" s="9"/>
    </row>
    <row r="804">
      <c r="P804" s="9"/>
    </row>
    <row r="805">
      <c r="P805" s="9"/>
    </row>
    <row r="806">
      <c r="P806" s="9"/>
    </row>
    <row r="807">
      <c r="P807" s="9"/>
    </row>
    <row r="808">
      <c r="P808" s="9"/>
    </row>
    <row r="809">
      <c r="P809" s="9"/>
    </row>
    <row r="810">
      <c r="P810" s="9"/>
    </row>
    <row r="811">
      <c r="P811" s="9"/>
    </row>
    <row r="812">
      <c r="P812" s="9"/>
    </row>
    <row r="813">
      <c r="P813" s="9"/>
    </row>
    <row r="814">
      <c r="P814" s="9"/>
    </row>
    <row r="815">
      <c r="P815" s="9"/>
    </row>
    <row r="816">
      <c r="P816" s="9"/>
    </row>
    <row r="817">
      <c r="P817" s="9"/>
    </row>
    <row r="818">
      <c r="P818" s="9"/>
    </row>
    <row r="819">
      <c r="P819" s="9"/>
    </row>
    <row r="820">
      <c r="P820" s="9"/>
    </row>
    <row r="821">
      <c r="P821" s="9"/>
    </row>
    <row r="822">
      <c r="P822" s="9"/>
    </row>
    <row r="823">
      <c r="P823" s="9"/>
    </row>
    <row r="824">
      <c r="P824" s="9"/>
    </row>
    <row r="825">
      <c r="P825" s="9"/>
    </row>
    <row r="826">
      <c r="P826" s="9"/>
    </row>
    <row r="827">
      <c r="P827" s="9"/>
    </row>
    <row r="828">
      <c r="P828" s="9"/>
    </row>
    <row r="829">
      <c r="P829" s="9"/>
    </row>
    <row r="830">
      <c r="P830" s="9"/>
    </row>
    <row r="831">
      <c r="P831" s="9"/>
    </row>
    <row r="832">
      <c r="P832" s="9"/>
    </row>
    <row r="833">
      <c r="P833" s="9"/>
    </row>
    <row r="834">
      <c r="P834" s="9"/>
    </row>
    <row r="835">
      <c r="P835" s="9"/>
    </row>
    <row r="836">
      <c r="P836" s="9"/>
    </row>
    <row r="837">
      <c r="P837" s="9"/>
    </row>
    <row r="838">
      <c r="P838" s="9"/>
    </row>
    <row r="839">
      <c r="P839" s="9"/>
    </row>
    <row r="840">
      <c r="P840" s="9"/>
    </row>
    <row r="841">
      <c r="P841" s="9"/>
    </row>
    <row r="842">
      <c r="P842" s="9"/>
    </row>
    <row r="843">
      <c r="P843" s="9"/>
    </row>
    <row r="844">
      <c r="P844" s="9"/>
    </row>
    <row r="845">
      <c r="P845" s="9"/>
    </row>
    <row r="846">
      <c r="P846" s="9"/>
    </row>
    <row r="847">
      <c r="P847" s="9"/>
    </row>
    <row r="848">
      <c r="P848" s="9"/>
    </row>
    <row r="849">
      <c r="P849" s="9"/>
    </row>
    <row r="850">
      <c r="P850" s="9"/>
    </row>
    <row r="851">
      <c r="P851" s="9"/>
    </row>
    <row r="852">
      <c r="P852" s="9"/>
    </row>
    <row r="853">
      <c r="P853" s="9"/>
    </row>
    <row r="854">
      <c r="P854" s="9"/>
    </row>
    <row r="855">
      <c r="P855" s="9"/>
    </row>
    <row r="856">
      <c r="P856" s="9"/>
    </row>
    <row r="857">
      <c r="P857" s="9"/>
    </row>
    <row r="858">
      <c r="P858" s="9"/>
    </row>
    <row r="859">
      <c r="P859" s="9"/>
    </row>
    <row r="860">
      <c r="P860" s="9"/>
    </row>
    <row r="861">
      <c r="P861" s="9"/>
    </row>
    <row r="862">
      <c r="P862" s="9"/>
    </row>
    <row r="863">
      <c r="P863" s="9"/>
    </row>
    <row r="864">
      <c r="P864" s="9"/>
    </row>
    <row r="865">
      <c r="P865" s="9"/>
    </row>
    <row r="866">
      <c r="P866" s="9"/>
    </row>
    <row r="867">
      <c r="P867" s="9"/>
    </row>
    <row r="868">
      <c r="P868" s="9"/>
    </row>
    <row r="869">
      <c r="P869" s="9"/>
    </row>
    <row r="870">
      <c r="P870" s="9"/>
    </row>
    <row r="871">
      <c r="P871" s="9"/>
    </row>
    <row r="872">
      <c r="P872" s="9"/>
    </row>
    <row r="873">
      <c r="P873" s="9"/>
    </row>
    <row r="874">
      <c r="P874" s="9"/>
    </row>
    <row r="875">
      <c r="P875" s="9"/>
    </row>
    <row r="876">
      <c r="P876" s="9"/>
    </row>
    <row r="877">
      <c r="P877" s="9"/>
    </row>
    <row r="878">
      <c r="P878" s="9"/>
    </row>
    <row r="879">
      <c r="P879" s="9"/>
    </row>
    <row r="880">
      <c r="P880" s="9"/>
    </row>
    <row r="881">
      <c r="P881" s="9"/>
    </row>
    <row r="882">
      <c r="P882" s="9"/>
    </row>
    <row r="883">
      <c r="P883" s="9"/>
    </row>
    <row r="884">
      <c r="P884" s="9"/>
    </row>
    <row r="885">
      <c r="P885" s="9"/>
    </row>
    <row r="886">
      <c r="P886" s="9"/>
    </row>
    <row r="887">
      <c r="P887" s="9"/>
    </row>
    <row r="888">
      <c r="P888" s="9"/>
    </row>
    <row r="889">
      <c r="P889" s="9"/>
    </row>
    <row r="890">
      <c r="P890" s="9"/>
    </row>
    <row r="891">
      <c r="P891" s="9"/>
    </row>
    <row r="892">
      <c r="P892" s="9"/>
    </row>
    <row r="893">
      <c r="P893" s="9"/>
    </row>
    <row r="894">
      <c r="P894" s="9"/>
    </row>
    <row r="895">
      <c r="P895" s="9"/>
    </row>
    <row r="896">
      <c r="P896" s="9"/>
    </row>
    <row r="897">
      <c r="P897" s="9"/>
    </row>
    <row r="898">
      <c r="P898" s="9"/>
    </row>
    <row r="899">
      <c r="P899" s="9"/>
    </row>
    <row r="900">
      <c r="P900" s="9"/>
    </row>
    <row r="901">
      <c r="P901" s="9"/>
    </row>
    <row r="902">
      <c r="P902" s="9"/>
    </row>
    <row r="903">
      <c r="P903" s="9"/>
    </row>
    <row r="904">
      <c r="P904" s="9"/>
    </row>
    <row r="905">
      <c r="P905" s="9"/>
    </row>
    <row r="906">
      <c r="P906" s="9"/>
    </row>
    <row r="907">
      <c r="P907" s="9"/>
    </row>
    <row r="908">
      <c r="P908" s="9"/>
    </row>
    <row r="909">
      <c r="P909" s="9"/>
    </row>
    <row r="910">
      <c r="P910" s="9"/>
    </row>
    <row r="911">
      <c r="P911" s="9"/>
    </row>
    <row r="912">
      <c r="P912" s="9"/>
    </row>
    <row r="913">
      <c r="P913" s="9"/>
    </row>
    <row r="914">
      <c r="P914" s="9"/>
    </row>
    <row r="915">
      <c r="P915" s="9"/>
    </row>
    <row r="916">
      <c r="P916" s="9"/>
    </row>
    <row r="917">
      <c r="P917" s="9"/>
    </row>
    <row r="918">
      <c r="P918" s="9"/>
    </row>
    <row r="919">
      <c r="P919" s="9"/>
    </row>
    <row r="920">
      <c r="P920" s="9"/>
    </row>
    <row r="921">
      <c r="P921" s="9"/>
    </row>
    <row r="922">
      <c r="P922" s="9"/>
    </row>
    <row r="923">
      <c r="P923" s="9"/>
    </row>
    <row r="924">
      <c r="P924" s="9"/>
    </row>
    <row r="925">
      <c r="P925" s="9"/>
    </row>
    <row r="926">
      <c r="P926" s="9"/>
    </row>
    <row r="927">
      <c r="P927" s="9"/>
    </row>
    <row r="928">
      <c r="P928" s="9"/>
    </row>
    <row r="929">
      <c r="P929" s="9"/>
    </row>
    <row r="930">
      <c r="P930" s="9"/>
    </row>
    <row r="931">
      <c r="P931" s="9"/>
    </row>
    <row r="932">
      <c r="P932" s="9"/>
    </row>
    <row r="933">
      <c r="P933" s="9"/>
    </row>
    <row r="934">
      <c r="P934" s="9"/>
    </row>
    <row r="935">
      <c r="P935" s="9"/>
    </row>
    <row r="936">
      <c r="P936" s="9"/>
    </row>
    <row r="937">
      <c r="P937" s="9"/>
    </row>
    <row r="938">
      <c r="P938" s="9"/>
    </row>
    <row r="939">
      <c r="P939" s="9"/>
    </row>
    <row r="940">
      <c r="P940" s="9"/>
    </row>
    <row r="941">
      <c r="P941" s="9"/>
    </row>
    <row r="942">
      <c r="P942" s="9"/>
    </row>
    <row r="943">
      <c r="P943" s="9"/>
    </row>
    <row r="944">
      <c r="P944" s="9"/>
    </row>
    <row r="945">
      <c r="P945" s="9"/>
    </row>
    <row r="946">
      <c r="P946" s="9"/>
    </row>
    <row r="947">
      <c r="P947" s="9"/>
    </row>
    <row r="948">
      <c r="P948" s="9"/>
    </row>
    <row r="949">
      <c r="P949" s="9"/>
    </row>
    <row r="950">
      <c r="P950" s="9"/>
    </row>
    <row r="951">
      <c r="P951" s="9"/>
    </row>
    <row r="952">
      <c r="P952" s="9"/>
    </row>
    <row r="953">
      <c r="P953" s="9"/>
    </row>
    <row r="954">
      <c r="P954" s="9"/>
    </row>
    <row r="955">
      <c r="P955" s="9"/>
    </row>
    <row r="956">
      <c r="P956" s="9"/>
    </row>
    <row r="957">
      <c r="P957" s="9"/>
    </row>
    <row r="958">
      <c r="P958" s="9"/>
    </row>
    <row r="959">
      <c r="P959" s="9"/>
    </row>
    <row r="960">
      <c r="P960" s="9"/>
    </row>
    <row r="961">
      <c r="P961" s="9"/>
    </row>
    <row r="962">
      <c r="P962" s="9"/>
    </row>
    <row r="963">
      <c r="P963" s="9"/>
    </row>
    <row r="964">
      <c r="P964" s="9"/>
    </row>
    <row r="965">
      <c r="P965" s="9"/>
    </row>
    <row r="966">
      <c r="P966" s="9"/>
    </row>
    <row r="967">
      <c r="P967" s="9"/>
    </row>
    <row r="968">
      <c r="P968" s="9"/>
    </row>
    <row r="969">
      <c r="P969" s="9"/>
    </row>
    <row r="970">
      <c r="P970" s="9"/>
    </row>
    <row r="971">
      <c r="P971" s="9"/>
    </row>
    <row r="972">
      <c r="P972" s="9"/>
    </row>
    <row r="973">
      <c r="P973" s="9"/>
    </row>
    <row r="974">
      <c r="P974" s="9"/>
    </row>
    <row r="975">
      <c r="P975" s="9"/>
    </row>
    <row r="976">
      <c r="P976" s="9"/>
    </row>
    <row r="977">
      <c r="P977" s="9"/>
    </row>
    <row r="978">
      <c r="P978" s="9"/>
    </row>
    <row r="979">
      <c r="P979" s="9"/>
    </row>
    <row r="980">
      <c r="P980" s="9"/>
    </row>
    <row r="981">
      <c r="P981" s="9"/>
    </row>
    <row r="982">
      <c r="P982" s="9"/>
    </row>
    <row r="983">
      <c r="P983" s="9"/>
    </row>
    <row r="984">
      <c r="P984" s="9"/>
    </row>
    <row r="985">
      <c r="P985" s="9"/>
    </row>
    <row r="986">
      <c r="P986" s="9"/>
    </row>
    <row r="987">
      <c r="P987" s="9"/>
    </row>
    <row r="988">
      <c r="P988" s="9"/>
    </row>
    <row r="989">
      <c r="P989" s="9"/>
    </row>
    <row r="990">
      <c r="P990" s="9"/>
    </row>
    <row r="991">
      <c r="P991" s="9"/>
    </row>
    <row r="992">
      <c r="P992" s="9"/>
    </row>
    <row r="993">
      <c r="P993" s="9"/>
    </row>
    <row r="994">
      <c r="P994" s="9"/>
    </row>
    <row r="995">
      <c r="P995" s="9"/>
    </row>
    <row r="996">
      <c r="P996" s="9"/>
    </row>
    <row r="997">
      <c r="P997" s="9"/>
    </row>
    <row r="998">
      <c r="P998" s="9"/>
    </row>
    <row r="999">
      <c r="P999" s="9"/>
    </row>
    <row r="1000">
      <c r="P1000" s="9"/>
    </row>
    <row r="1001">
      <c r="P1001" s="9"/>
    </row>
  </sheetData>
  <mergeCells count="6">
    <mergeCell ref="B1:C1"/>
    <mergeCell ref="D1:E1"/>
    <mergeCell ref="F1:G1"/>
    <mergeCell ref="H1:I1"/>
    <mergeCell ref="J1:K1"/>
    <mergeCell ref="L1:M1"/>
  </mergeCells>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16" t="s">
        <v>306</v>
      </c>
      <c r="B1" s="16" t="s">
        <v>307</v>
      </c>
      <c r="C1" s="125" t="s">
        <v>140</v>
      </c>
      <c r="D1" s="125" t="s">
        <v>131</v>
      </c>
      <c r="E1" s="125" t="s">
        <v>136</v>
      </c>
      <c r="F1" s="125" t="s">
        <v>135</v>
      </c>
      <c r="G1" s="125" t="s">
        <v>122</v>
      </c>
      <c r="H1" s="125" t="s">
        <v>116</v>
      </c>
      <c r="I1" s="16" t="s">
        <v>308</v>
      </c>
      <c r="J1" s="16" t="s">
        <v>309</v>
      </c>
      <c r="K1" s="125" t="s">
        <v>143</v>
      </c>
      <c r="L1" s="125" t="s">
        <v>137</v>
      </c>
      <c r="M1" s="125" t="s">
        <v>128</v>
      </c>
      <c r="N1" s="125" t="s">
        <v>121</v>
      </c>
      <c r="O1" s="125" t="s">
        <v>139</v>
      </c>
      <c r="P1" s="125" t="s">
        <v>142</v>
      </c>
      <c r="Q1" s="125" t="s">
        <v>132</v>
      </c>
      <c r="R1" s="125" t="s">
        <v>114</v>
      </c>
      <c r="S1" s="125" t="s">
        <v>111</v>
      </c>
      <c r="T1" s="125" t="s">
        <v>109</v>
      </c>
      <c r="U1" s="125" t="s">
        <v>124</v>
      </c>
      <c r="V1" s="125" t="s">
        <v>127</v>
      </c>
      <c r="W1" s="125" t="s">
        <v>130</v>
      </c>
      <c r="X1" s="125" t="s">
        <v>141</v>
      </c>
      <c r="Y1" s="125" t="s">
        <v>123</v>
      </c>
      <c r="Z1" s="125" t="s">
        <v>112</v>
      </c>
      <c r="AA1" s="125" t="s">
        <v>134</v>
      </c>
      <c r="AB1" s="125" t="s">
        <v>125</v>
      </c>
      <c r="AC1" s="125" t="s">
        <v>129</v>
      </c>
      <c r="AD1" s="125" t="s">
        <v>120</v>
      </c>
      <c r="AE1" s="125" t="s">
        <v>126</v>
      </c>
      <c r="AF1" s="125" t="s">
        <v>118</v>
      </c>
    </row>
    <row r="2" hidden="1">
      <c r="A2" s="126">
        <v>46023.0</v>
      </c>
      <c r="B2" s="18" t="str">
        <f t="shared" ref="B2:B182" si="1">text(A2,"DDDD")</f>
        <v>Thursday</v>
      </c>
      <c r="C2" s="17">
        <v>0.0</v>
      </c>
      <c r="D2" s="17">
        <v>0.0</v>
      </c>
      <c r="E2" s="17">
        <v>1.0</v>
      </c>
      <c r="F2" s="17">
        <v>0.0</v>
      </c>
      <c r="G2" s="17">
        <v>1.0</v>
      </c>
      <c r="H2" s="17">
        <v>1.0</v>
      </c>
      <c r="I2" s="17">
        <v>1.0</v>
      </c>
      <c r="J2" s="17">
        <v>0.0</v>
      </c>
      <c r="K2" s="17">
        <v>1.0</v>
      </c>
      <c r="L2" s="17">
        <v>0.0</v>
      </c>
      <c r="M2" s="17">
        <v>0.0</v>
      </c>
      <c r="N2" s="17">
        <v>1.0</v>
      </c>
      <c r="O2" s="17">
        <v>0.0</v>
      </c>
      <c r="P2" s="17">
        <v>0.0</v>
      </c>
      <c r="Q2" s="17">
        <v>1.0</v>
      </c>
      <c r="R2" s="17">
        <v>1.0</v>
      </c>
      <c r="S2" s="17">
        <v>1.0</v>
      </c>
      <c r="T2" s="17">
        <v>1.0</v>
      </c>
      <c r="U2" s="17">
        <v>1.0</v>
      </c>
      <c r="V2" s="17">
        <v>0.0</v>
      </c>
      <c r="W2" s="17">
        <v>0.0</v>
      </c>
      <c r="X2" s="17">
        <v>0.0</v>
      </c>
      <c r="Y2" s="17">
        <v>1.0</v>
      </c>
      <c r="Z2" s="17">
        <v>0.0</v>
      </c>
      <c r="AA2" s="17">
        <v>1.0</v>
      </c>
      <c r="AB2" s="17">
        <v>1.0</v>
      </c>
      <c r="AC2" s="17">
        <v>1.0</v>
      </c>
      <c r="AD2" s="17">
        <v>1.0</v>
      </c>
      <c r="AE2" s="17">
        <v>0.0</v>
      </c>
      <c r="AF2" s="17">
        <v>1.0</v>
      </c>
    </row>
    <row r="3" hidden="1">
      <c r="A3" s="126">
        <v>46024.0</v>
      </c>
      <c r="B3" s="18" t="str">
        <f t="shared" si="1"/>
        <v>Friday</v>
      </c>
      <c r="C3" s="17">
        <v>0.0</v>
      </c>
      <c r="D3" s="17">
        <v>0.0</v>
      </c>
      <c r="E3" s="17">
        <v>0.0</v>
      </c>
      <c r="F3" s="17">
        <v>0.0</v>
      </c>
      <c r="G3" s="17">
        <v>0.0</v>
      </c>
      <c r="H3" s="17">
        <v>1.0</v>
      </c>
      <c r="I3" s="17">
        <v>0.0</v>
      </c>
      <c r="J3" s="17">
        <v>0.0</v>
      </c>
      <c r="K3" s="17">
        <v>0.0</v>
      </c>
      <c r="L3" s="17">
        <v>0.0</v>
      </c>
      <c r="M3" s="17">
        <v>0.0</v>
      </c>
      <c r="N3" s="17">
        <v>0.0</v>
      </c>
      <c r="O3" s="17">
        <v>0.0</v>
      </c>
      <c r="P3" s="17">
        <v>0.0</v>
      </c>
      <c r="Q3" s="17">
        <v>0.0</v>
      </c>
      <c r="R3" s="17">
        <v>1.0</v>
      </c>
      <c r="S3" s="17">
        <v>0.0</v>
      </c>
      <c r="T3" s="17">
        <v>0.0</v>
      </c>
      <c r="U3" s="17">
        <v>1.0</v>
      </c>
      <c r="V3" s="17">
        <v>0.0</v>
      </c>
      <c r="W3" s="17">
        <v>0.0</v>
      </c>
      <c r="X3" s="17">
        <v>0.0</v>
      </c>
      <c r="Y3" s="17">
        <v>1.0</v>
      </c>
      <c r="Z3" s="17">
        <v>0.0</v>
      </c>
      <c r="AA3" s="17">
        <v>0.0</v>
      </c>
      <c r="AB3" s="17">
        <v>0.0</v>
      </c>
      <c r="AC3" s="17">
        <v>0.0</v>
      </c>
      <c r="AD3" s="17">
        <v>0.0</v>
      </c>
      <c r="AE3" s="17">
        <v>0.0</v>
      </c>
      <c r="AF3" s="17">
        <v>0.0</v>
      </c>
    </row>
    <row r="4" hidden="1">
      <c r="A4" s="126">
        <v>46025.0</v>
      </c>
      <c r="B4" s="18" t="str">
        <f t="shared" si="1"/>
        <v>Saturday</v>
      </c>
      <c r="C4" s="17">
        <v>0.0</v>
      </c>
      <c r="D4" s="17">
        <v>0.0</v>
      </c>
      <c r="E4" s="17">
        <v>1.0</v>
      </c>
      <c r="F4" s="17">
        <v>0.0</v>
      </c>
      <c r="G4" s="17">
        <v>1.0</v>
      </c>
      <c r="H4" s="17">
        <v>0.0</v>
      </c>
      <c r="I4" s="17">
        <v>0.0</v>
      </c>
      <c r="J4" s="17">
        <v>0.0</v>
      </c>
      <c r="K4" s="17">
        <v>0.0</v>
      </c>
      <c r="L4" s="17">
        <v>1.0</v>
      </c>
      <c r="M4" s="17">
        <v>0.0</v>
      </c>
      <c r="N4" s="17">
        <v>0.0</v>
      </c>
      <c r="O4" s="17">
        <v>0.0</v>
      </c>
      <c r="P4" s="17">
        <v>0.0</v>
      </c>
      <c r="Q4" s="17">
        <v>0.0</v>
      </c>
      <c r="R4" s="17">
        <v>1.0</v>
      </c>
      <c r="S4" s="17">
        <v>1.0</v>
      </c>
      <c r="T4" s="17">
        <v>0.0</v>
      </c>
      <c r="U4" s="17">
        <v>1.0</v>
      </c>
      <c r="V4" s="17">
        <v>0.0</v>
      </c>
      <c r="W4" s="17">
        <v>1.0</v>
      </c>
      <c r="X4" s="17">
        <v>0.0</v>
      </c>
      <c r="Y4" s="17">
        <v>0.0</v>
      </c>
      <c r="Z4" s="17">
        <v>0.0</v>
      </c>
      <c r="AA4" s="17">
        <v>1.0</v>
      </c>
      <c r="AB4" s="17">
        <v>1.0</v>
      </c>
      <c r="AC4" s="17">
        <v>0.0</v>
      </c>
      <c r="AD4" s="17">
        <v>0.0</v>
      </c>
      <c r="AE4" s="17">
        <v>0.0</v>
      </c>
      <c r="AF4" s="17">
        <v>0.0</v>
      </c>
    </row>
    <row r="5" hidden="1">
      <c r="A5" s="126">
        <v>46026.0</v>
      </c>
      <c r="B5" s="18" t="str">
        <f t="shared" si="1"/>
        <v>Sunday</v>
      </c>
      <c r="C5" s="17">
        <v>0.0</v>
      </c>
      <c r="D5" s="17">
        <v>0.0</v>
      </c>
      <c r="E5" s="17">
        <v>0.0</v>
      </c>
      <c r="F5" s="17">
        <v>0.0</v>
      </c>
      <c r="G5" s="17">
        <v>0.0</v>
      </c>
      <c r="H5" s="17">
        <v>0.0</v>
      </c>
      <c r="I5" s="17">
        <v>0.0</v>
      </c>
      <c r="J5" s="17">
        <v>0.0</v>
      </c>
      <c r="K5" s="17">
        <v>0.0</v>
      </c>
      <c r="L5" s="17">
        <v>1.0</v>
      </c>
      <c r="M5" s="17">
        <v>0.0</v>
      </c>
      <c r="N5" s="17">
        <v>0.0</v>
      </c>
      <c r="O5" s="17">
        <v>0.0</v>
      </c>
      <c r="P5" s="17">
        <v>0.0</v>
      </c>
      <c r="Q5" s="17">
        <v>0.0</v>
      </c>
      <c r="R5" s="17">
        <v>1.0</v>
      </c>
      <c r="S5" s="17">
        <v>1.0</v>
      </c>
      <c r="T5" s="17">
        <v>0.0</v>
      </c>
      <c r="U5" s="17">
        <v>0.0</v>
      </c>
      <c r="V5" s="17">
        <v>0.0</v>
      </c>
      <c r="W5" s="17">
        <v>0.0</v>
      </c>
      <c r="X5" s="17">
        <v>0.0</v>
      </c>
      <c r="Y5" s="17">
        <v>0.0</v>
      </c>
      <c r="Z5" s="17">
        <v>0.0</v>
      </c>
      <c r="AA5" s="17">
        <v>0.0</v>
      </c>
      <c r="AB5" s="17">
        <v>1.0</v>
      </c>
      <c r="AC5" s="17">
        <v>0.0</v>
      </c>
      <c r="AD5" s="17">
        <v>0.0</v>
      </c>
      <c r="AE5" s="17">
        <v>0.0</v>
      </c>
      <c r="AF5" s="17">
        <v>0.0</v>
      </c>
    </row>
    <row r="6" hidden="1">
      <c r="A6" s="126">
        <v>46027.0</v>
      </c>
      <c r="B6" s="18" t="str">
        <f t="shared" si="1"/>
        <v>Monday</v>
      </c>
      <c r="C6" s="17">
        <v>0.0</v>
      </c>
      <c r="D6" s="17">
        <v>1.0</v>
      </c>
      <c r="E6" s="17">
        <v>1.0</v>
      </c>
      <c r="F6" s="17">
        <v>1.0</v>
      </c>
      <c r="G6" s="17">
        <v>1.0</v>
      </c>
      <c r="H6" s="17">
        <v>1.0</v>
      </c>
      <c r="I6" s="17">
        <v>0.0</v>
      </c>
      <c r="J6" s="17">
        <v>0.0</v>
      </c>
      <c r="K6" s="17">
        <v>1.0</v>
      </c>
      <c r="L6" s="17">
        <v>0.0</v>
      </c>
      <c r="M6" s="17">
        <v>0.0</v>
      </c>
      <c r="N6" s="17">
        <v>0.0</v>
      </c>
      <c r="O6" s="17">
        <v>0.0</v>
      </c>
      <c r="P6" s="17">
        <v>0.0</v>
      </c>
      <c r="Q6" s="17">
        <v>0.0</v>
      </c>
      <c r="R6" s="17">
        <v>1.0</v>
      </c>
      <c r="S6" s="17">
        <v>0.0</v>
      </c>
      <c r="T6" s="17">
        <v>0.0</v>
      </c>
      <c r="U6" s="17">
        <v>1.0</v>
      </c>
      <c r="V6" s="17">
        <v>0.0</v>
      </c>
      <c r="W6" s="17">
        <v>0.0</v>
      </c>
      <c r="X6" s="17">
        <v>0.0</v>
      </c>
      <c r="Y6" s="17">
        <v>0.0</v>
      </c>
      <c r="Z6" s="17">
        <v>0.0</v>
      </c>
      <c r="AA6" s="17">
        <v>0.0</v>
      </c>
      <c r="AB6" s="17">
        <v>0.0</v>
      </c>
      <c r="AC6" s="17">
        <v>0.0</v>
      </c>
      <c r="AD6" s="17">
        <v>1.0</v>
      </c>
      <c r="AE6" s="17">
        <v>1.0</v>
      </c>
      <c r="AF6" s="17">
        <v>1.0</v>
      </c>
    </row>
    <row r="7" hidden="1">
      <c r="A7" s="126">
        <v>46028.0</v>
      </c>
      <c r="B7" s="18" t="str">
        <f t="shared" si="1"/>
        <v>Tuesday</v>
      </c>
      <c r="C7" s="17">
        <v>0.0</v>
      </c>
      <c r="D7" s="17">
        <v>1.0</v>
      </c>
      <c r="E7" s="17">
        <v>1.0</v>
      </c>
      <c r="F7" s="17">
        <v>0.0</v>
      </c>
      <c r="G7" s="17">
        <v>1.0</v>
      </c>
      <c r="H7" s="17">
        <v>1.0</v>
      </c>
      <c r="I7" s="17">
        <v>0.0</v>
      </c>
      <c r="J7" s="17">
        <v>0.0</v>
      </c>
      <c r="K7" s="17">
        <v>1.0</v>
      </c>
      <c r="L7" s="17">
        <v>1.0</v>
      </c>
      <c r="M7" s="17">
        <v>0.0</v>
      </c>
      <c r="N7" s="17">
        <v>1.0</v>
      </c>
      <c r="O7" s="17">
        <v>0.0</v>
      </c>
      <c r="P7" s="17">
        <v>0.0</v>
      </c>
      <c r="Q7" s="17">
        <v>1.0</v>
      </c>
      <c r="R7" s="17">
        <v>0.0</v>
      </c>
      <c r="S7" s="17">
        <v>0.0</v>
      </c>
      <c r="T7" s="17">
        <v>1.0</v>
      </c>
      <c r="U7" s="17">
        <v>1.0</v>
      </c>
      <c r="V7" s="17">
        <v>1.0</v>
      </c>
      <c r="W7" s="17">
        <v>1.0</v>
      </c>
      <c r="X7" s="17">
        <v>0.0</v>
      </c>
      <c r="Y7" s="17">
        <v>1.0</v>
      </c>
      <c r="Z7" s="17">
        <v>1.0</v>
      </c>
      <c r="AA7" s="17">
        <v>0.0</v>
      </c>
      <c r="AB7" s="17">
        <v>0.0</v>
      </c>
      <c r="AC7" s="17">
        <v>0.0</v>
      </c>
      <c r="AD7" s="17">
        <v>1.0</v>
      </c>
      <c r="AE7" s="17">
        <v>1.0</v>
      </c>
      <c r="AF7" s="17">
        <v>1.0</v>
      </c>
    </row>
    <row r="8" hidden="1">
      <c r="A8" s="126">
        <v>46029.0</v>
      </c>
      <c r="B8" s="18" t="str">
        <f t="shared" si="1"/>
        <v>Wednesday</v>
      </c>
      <c r="C8" s="17">
        <v>0.0</v>
      </c>
      <c r="D8" s="17">
        <v>0.0</v>
      </c>
      <c r="E8" s="17">
        <v>0.0</v>
      </c>
      <c r="F8" s="17">
        <v>0.0</v>
      </c>
      <c r="G8" s="17">
        <v>1.0</v>
      </c>
      <c r="H8" s="17">
        <v>1.0</v>
      </c>
      <c r="I8" s="17">
        <v>0.0</v>
      </c>
      <c r="J8" s="17">
        <v>0.0</v>
      </c>
      <c r="K8" s="17">
        <v>0.0</v>
      </c>
      <c r="L8" s="17">
        <v>0.0</v>
      </c>
      <c r="M8" s="17">
        <v>0.0</v>
      </c>
      <c r="N8" s="17">
        <v>1.0</v>
      </c>
      <c r="O8" s="17">
        <v>0.0</v>
      </c>
      <c r="P8" s="17">
        <v>0.0</v>
      </c>
      <c r="Q8" s="17">
        <v>0.0</v>
      </c>
      <c r="R8" s="17">
        <v>0.0</v>
      </c>
      <c r="S8" s="17">
        <v>0.0</v>
      </c>
      <c r="T8" s="17">
        <v>0.0</v>
      </c>
      <c r="U8" s="17">
        <v>0.0</v>
      </c>
      <c r="V8" s="17">
        <v>0.0</v>
      </c>
      <c r="W8" s="17">
        <v>0.0</v>
      </c>
      <c r="X8" s="17">
        <v>0.0</v>
      </c>
      <c r="Y8" s="17">
        <v>1.0</v>
      </c>
      <c r="Z8" s="17">
        <v>1.0</v>
      </c>
      <c r="AA8" s="17">
        <v>0.0</v>
      </c>
      <c r="AB8" s="17">
        <v>0.0</v>
      </c>
      <c r="AC8" s="17">
        <v>0.0</v>
      </c>
      <c r="AD8" s="17">
        <v>1.0</v>
      </c>
      <c r="AE8" s="17">
        <v>0.0</v>
      </c>
      <c r="AF8" s="17">
        <v>1.0</v>
      </c>
    </row>
    <row r="9" hidden="1">
      <c r="A9" s="126">
        <v>46030.0</v>
      </c>
      <c r="B9" s="18" t="str">
        <f t="shared" si="1"/>
        <v>Thursday</v>
      </c>
      <c r="C9" s="17">
        <v>0.0</v>
      </c>
      <c r="D9" s="17">
        <v>0.0</v>
      </c>
      <c r="E9" s="17">
        <v>0.0</v>
      </c>
      <c r="F9" s="17">
        <v>1.0</v>
      </c>
      <c r="G9" s="17">
        <v>0.0</v>
      </c>
      <c r="H9" s="17">
        <v>1.0</v>
      </c>
      <c r="I9" s="17">
        <v>0.0</v>
      </c>
      <c r="J9" s="17">
        <v>0.0</v>
      </c>
      <c r="K9" s="17">
        <v>0.0</v>
      </c>
      <c r="L9" s="17">
        <v>1.0</v>
      </c>
      <c r="M9" s="17">
        <v>0.0</v>
      </c>
      <c r="N9" s="17">
        <v>1.0</v>
      </c>
      <c r="O9" s="17">
        <v>0.0</v>
      </c>
      <c r="P9" s="17">
        <v>0.0</v>
      </c>
      <c r="Q9" s="17">
        <v>0.0</v>
      </c>
      <c r="R9" s="17">
        <v>0.0</v>
      </c>
      <c r="S9" s="17">
        <v>0.0</v>
      </c>
      <c r="T9" s="17">
        <v>0.0</v>
      </c>
      <c r="U9" s="17">
        <v>0.0</v>
      </c>
      <c r="V9" s="17">
        <v>1.0</v>
      </c>
      <c r="W9" s="17">
        <v>0.0</v>
      </c>
      <c r="X9" s="17">
        <v>0.0</v>
      </c>
      <c r="Y9" s="17">
        <v>1.0</v>
      </c>
      <c r="Z9" s="17">
        <v>1.0</v>
      </c>
      <c r="AA9" s="17">
        <v>1.0</v>
      </c>
      <c r="AB9" s="17">
        <v>0.0</v>
      </c>
      <c r="AC9" s="17">
        <v>0.0</v>
      </c>
      <c r="AD9" s="17">
        <v>0.0</v>
      </c>
      <c r="AE9" s="17">
        <v>1.0</v>
      </c>
      <c r="AF9" s="17">
        <v>1.0</v>
      </c>
    </row>
    <row r="10" hidden="1">
      <c r="A10" s="126">
        <v>46031.0</v>
      </c>
      <c r="B10" s="18" t="str">
        <f t="shared" si="1"/>
        <v>Friday</v>
      </c>
      <c r="C10" s="17">
        <v>0.0</v>
      </c>
      <c r="D10" s="17">
        <v>0.0</v>
      </c>
      <c r="E10" s="17">
        <v>1.0</v>
      </c>
      <c r="F10" s="17">
        <v>0.0</v>
      </c>
      <c r="G10" s="17">
        <v>0.0</v>
      </c>
      <c r="H10" s="17">
        <v>1.0</v>
      </c>
      <c r="I10" s="17">
        <v>1.0</v>
      </c>
      <c r="J10" s="17">
        <v>0.0</v>
      </c>
      <c r="K10" s="17">
        <v>0.0</v>
      </c>
      <c r="L10" s="17">
        <v>0.0</v>
      </c>
      <c r="M10" s="17">
        <v>0.0</v>
      </c>
      <c r="N10" s="17">
        <v>1.0</v>
      </c>
      <c r="O10" s="17">
        <v>0.0</v>
      </c>
      <c r="P10" s="17">
        <v>0.0</v>
      </c>
      <c r="Q10" s="17">
        <v>1.0</v>
      </c>
      <c r="R10" s="17">
        <v>1.0</v>
      </c>
      <c r="S10" s="17">
        <v>1.0</v>
      </c>
      <c r="T10" s="17">
        <v>1.0</v>
      </c>
      <c r="U10" s="17">
        <v>1.0</v>
      </c>
      <c r="V10" s="17">
        <v>0.0</v>
      </c>
      <c r="W10" s="17">
        <v>0.0</v>
      </c>
      <c r="X10" s="17">
        <v>0.0</v>
      </c>
      <c r="Y10" s="17">
        <v>1.0</v>
      </c>
      <c r="Z10" s="17">
        <v>0.0</v>
      </c>
      <c r="AA10" s="17">
        <v>1.0</v>
      </c>
      <c r="AB10" s="17">
        <v>0.0</v>
      </c>
      <c r="AC10" s="17">
        <v>1.0</v>
      </c>
      <c r="AD10" s="17">
        <v>0.0</v>
      </c>
      <c r="AE10" s="17">
        <v>0.0</v>
      </c>
      <c r="AF10" s="17">
        <v>0.0</v>
      </c>
    </row>
    <row r="11" hidden="1">
      <c r="A11" s="126">
        <v>46032.0</v>
      </c>
      <c r="B11" s="18" t="str">
        <f t="shared" si="1"/>
        <v>Saturday</v>
      </c>
      <c r="C11" s="17">
        <v>0.0</v>
      </c>
      <c r="D11" s="17">
        <v>1.0</v>
      </c>
      <c r="E11" s="17">
        <v>1.0</v>
      </c>
      <c r="F11" s="17">
        <v>0.0</v>
      </c>
      <c r="G11" s="17">
        <v>1.0</v>
      </c>
      <c r="H11" s="17">
        <v>0.0</v>
      </c>
      <c r="I11" s="17">
        <v>1.0</v>
      </c>
      <c r="J11" s="17">
        <v>1.0</v>
      </c>
      <c r="K11" s="17">
        <v>0.0</v>
      </c>
      <c r="L11" s="17">
        <v>0.0</v>
      </c>
      <c r="M11" s="17">
        <v>0.0</v>
      </c>
      <c r="N11" s="17">
        <v>1.0</v>
      </c>
      <c r="O11" s="17">
        <v>1.0</v>
      </c>
      <c r="P11" s="17">
        <v>1.0</v>
      </c>
      <c r="Q11" s="17">
        <v>1.0</v>
      </c>
      <c r="R11" s="17">
        <v>1.0</v>
      </c>
      <c r="S11" s="17">
        <v>1.0</v>
      </c>
      <c r="T11" s="17">
        <v>1.0</v>
      </c>
      <c r="U11" s="17">
        <v>0.0</v>
      </c>
      <c r="V11" s="17">
        <v>0.0</v>
      </c>
      <c r="W11" s="17">
        <v>0.0</v>
      </c>
      <c r="X11" s="17">
        <v>0.0</v>
      </c>
      <c r="Y11" s="17">
        <v>0.0</v>
      </c>
      <c r="Z11" s="17">
        <v>0.0</v>
      </c>
      <c r="AA11" s="17">
        <v>1.0</v>
      </c>
      <c r="AB11" s="17">
        <v>1.0</v>
      </c>
      <c r="AC11" s="17">
        <v>1.0</v>
      </c>
      <c r="AD11" s="17">
        <v>0.0</v>
      </c>
      <c r="AE11" s="17">
        <v>1.0</v>
      </c>
      <c r="AF11" s="17">
        <v>0.0</v>
      </c>
    </row>
    <row r="12" hidden="1">
      <c r="A12" s="126">
        <v>46033.0</v>
      </c>
      <c r="B12" s="18" t="str">
        <f t="shared" si="1"/>
        <v>Sunday</v>
      </c>
      <c r="C12" s="17">
        <v>0.0</v>
      </c>
      <c r="D12" s="17">
        <v>1.0</v>
      </c>
      <c r="E12" s="17">
        <v>0.0</v>
      </c>
      <c r="F12" s="17">
        <v>0.0</v>
      </c>
      <c r="G12" s="17">
        <v>1.0</v>
      </c>
      <c r="H12" s="17">
        <v>1.0</v>
      </c>
      <c r="I12" s="17">
        <v>0.0</v>
      </c>
      <c r="J12" s="17">
        <v>0.0</v>
      </c>
      <c r="K12" s="17">
        <v>0.0</v>
      </c>
      <c r="L12" s="17">
        <v>0.0</v>
      </c>
      <c r="M12" s="17">
        <v>0.0</v>
      </c>
      <c r="N12" s="17">
        <v>1.0</v>
      </c>
      <c r="O12" s="17">
        <v>0.0</v>
      </c>
      <c r="P12" s="17">
        <v>0.0</v>
      </c>
      <c r="Q12" s="17">
        <v>1.0</v>
      </c>
      <c r="R12" s="17">
        <v>1.0</v>
      </c>
      <c r="S12" s="17">
        <v>1.0</v>
      </c>
      <c r="T12" s="17">
        <v>0.0</v>
      </c>
      <c r="U12" s="17">
        <v>0.0</v>
      </c>
      <c r="V12" s="17">
        <v>0.0</v>
      </c>
      <c r="W12" s="17">
        <v>0.0</v>
      </c>
      <c r="X12" s="17">
        <v>0.0</v>
      </c>
      <c r="Y12" s="17">
        <v>0.0</v>
      </c>
      <c r="Z12" s="17">
        <v>0.0</v>
      </c>
      <c r="AA12" s="17">
        <v>0.0</v>
      </c>
      <c r="AB12" s="17">
        <v>0.0</v>
      </c>
      <c r="AC12" s="17">
        <v>1.0</v>
      </c>
      <c r="AD12" s="17">
        <v>0.0</v>
      </c>
      <c r="AE12" s="17">
        <v>0.0</v>
      </c>
      <c r="AF12" s="17">
        <v>0.0</v>
      </c>
    </row>
    <row r="13" hidden="1">
      <c r="A13" s="126">
        <v>46034.0</v>
      </c>
      <c r="B13" s="18" t="str">
        <f t="shared" si="1"/>
        <v>Monday</v>
      </c>
      <c r="C13" s="17">
        <v>0.0</v>
      </c>
      <c r="D13" s="17">
        <v>0.0</v>
      </c>
      <c r="E13" s="17">
        <v>0.0</v>
      </c>
      <c r="F13" s="17">
        <v>0.0</v>
      </c>
      <c r="G13" s="17">
        <v>0.0</v>
      </c>
      <c r="H13" s="17">
        <v>1.0</v>
      </c>
      <c r="I13" s="17">
        <v>0.0</v>
      </c>
      <c r="J13" s="17">
        <v>0.0</v>
      </c>
      <c r="K13" s="17">
        <v>0.0</v>
      </c>
      <c r="L13" s="17">
        <v>0.0</v>
      </c>
      <c r="M13" s="17">
        <v>0.0</v>
      </c>
      <c r="N13" s="17">
        <v>0.0</v>
      </c>
      <c r="O13" s="17">
        <v>0.0</v>
      </c>
      <c r="P13" s="17">
        <v>0.0</v>
      </c>
      <c r="Q13" s="17">
        <v>0.0</v>
      </c>
      <c r="R13" s="17">
        <v>0.0</v>
      </c>
      <c r="S13" s="17">
        <v>0.0</v>
      </c>
      <c r="T13" s="17">
        <v>0.0</v>
      </c>
      <c r="U13" s="17">
        <v>0.0</v>
      </c>
      <c r="V13" s="17">
        <v>0.0</v>
      </c>
      <c r="W13" s="17">
        <v>0.0</v>
      </c>
      <c r="X13" s="17">
        <v>0.0</v>
      </c>
      <c r="Y13" s="17">
        <v>0.0</v>
      </c>
      <c r="Z13" s="17">
        <v>0.0</v>
      </c>
      <c r="AA13" s="17">
        <v>0.0</v>
      </c>
      <c r="AB13" s="17">
        <v>0.0</v>
      </c>
      <c r="AC13" s="17">
        <v>1.0</v>
      </c>
      <c r="AD13" s="17">
        <v>0.0</v>
      </c>
      <c r="AE13" s="17">
        <v>0.0</v>
      </c>
      <c r="AF13" s="17">
        <v>0.0</v>
      </c>
    </row>
    <row r="14" hidden="1">
      <c r="A14" s="126">
        <v>46035.0</v>
      </c>
      <c r="B14" s="18" t="str">
        <f t="shared" si="1"/>
        <v>Tuesday</v>
      </c>
      <c r="C14" s="17">
        <v>1.0</v>
      </c>
      <c r="D14" s="17">
        <v>0.0</v>
      </c>
      <c r="E14" s="17">
        <v>1.0</v>
      </c>
      <c r="F14" s="17">
        <v>0.0</v>
      </c>
      <c r="G14" s="17">
        <v>0.0</v>
      </c>
      <c r="H14" s="17">
        <v>1.0</v>
      </c>
      <c r="I14" s="17">
        <v>0.0</v>
      </c>
      <c r="J14" s="17">
        <v>0.0</v>
      </c>
      <c r="K14" s="17">
        <v>0.0</v>
      </c>
      <c r="L14" s="17">
        <v>1.0</v>
      </c>
      <c r="M14" s="17">
        <v>0.0</v>
      </c>
      <c r="N14" s="17">
        <v>1.0</v>
      </c>
      <c r="O14" s="17">
        <v>0.0</v>
      </c>
      <c r="P14" s="17">
        <v>0.0</v>
      </c>
      <c r="Q14" s="17">
        <v>0.0</v>
      </c>
      <c r="R14" s="17">
        <v>1.0</v>
      </c>
      <c r="S14" s="17">
        <v>0.0</v>
      </c>
      <c r="T14" s="17">
        <v>1.0</v>
      </c>
      <c r="U14" s="17">
        <v>1.0</v>
      </c>
      <c r="V14" s="17">
        <v>1.0</v>
      </c>
      <c r="W14" s="17">
        <v>1.0</v>
      </c>
      <c r="X14" s="17">
        <v>0.0</v>
      </c>
      <c r="Y14" s="17">
        <v>1.0</v>
      </c>
      <c r="Z14" s="17">
        <v>1.0</v>
      </c>
      <c r="AA14" s="17">
        <v>0.0</v>
      </c>
      <c r="AB14" s="17">
        <v>0.0</v>
      </c>
      <c r="AC14" s="17">
        <v>1.0</v>
      </c>
      <c r="AD14" s="17">
        <v>1.0</v>
      </c>
      <c r="AE14" s="17">
        <v>0.0</v>
      </c>
      <c r="AF14" s="17">
        <v>1.0</v>
      </c>
    </row>
    <row r="15" hidden="1">
      <c r="A15" s="126">
        <v>46036.0</v>
      </c>
      <c r="B15" s="18" t="str">
        <f t="shared" si="1"/>
        <v>Wednesday</v>
      </c>
      <c r="C15" s="17">
        <v>1.0</v>
      </c>
      <c r="D15" s="17">
        <v>0.0</v>
      </c>
      <c r="E15" s="17">
        <v>0.0</v>
      </c>
      <c r="F15" s="17">
        <v>0.0</v>
      </c>
      <c r="G15" s="17">
        <v>0.0</v>
      </c>
      <c r="H15" s="17">
        <v>1.0</v>
      </c>
      <c r="I15" s="17">
        <v>0.0</v>
      </c>
      <c r="J15" s="17">
        <v>0.0</v>
      </c>
      <c r="K15" s="17">
        <v>0.0</v>
      </c>
      <c r="L15" s="17">
        <v>0.0</v>
      </c>
      <c r="M15" s="17">
        <v>0.0</v>
      </c>
      <c r="N15" s="17">
        <v>0.0</v>
      </c>
      <c r="O15" s="17">
        <v>0.0</v>
      </c>
      <c r="P15" s="17">
        <v>0.0</v>
      </c>
      <c r="Q15" s="17">
        <v>0.0</v>
      </c>
      <c r="R15" s="17">
        <v>0.0</v>
      </c>
      <c r="S15" s="17">
        <v>0.0</v>
      </c>
      <c r="T15" s="17">
        <v>0.0</v>
      </c>
      <c r="U15" s="17">
        <v>0.0</v>
      </c>
      <c r="V15" s="17">
        <v>0.0</v>
      </c>
      <c r="W15" s="17">
        <v>1.0</v>
      </c>
      <c r="X15" s="17">
        <v>0.0</v>
      </c>
      <c r="Y15" s="17">
        <v>1.0</v>
      </c>
      <c r="Z15" s="17">
        <v>1.0</v>
      </c>
      <c r="AA15" s="17">
        <v>0.0</v>
      </c>
      <c r="AB15" s="17">
        <v>0.0</v>
      </c>
      <c r="AC15" s="17">
        <v>0.0</v>
      </c>
      <c r="AD15" s="17">
        <v>1.0</v>
      </c>
      <c r="AE15" s="17">
        <v>0.0</v>
      </c>
      <c r="AF15" s="17">
        <v>0.0</v>
      </c>
    </row>
    <row r="16" hidden="1">
      <c r="A16" s="126">
        <v>46037.0</v>
      </c>
      <c r="B16" s="18" t="str">
        <f t="shared" si="1"/>
        <v>Thursday</v>
      </c>
      <c r="C16" s="17">
        <v>0.0</v>
      </c>
      <c r="D16" s="17">
        <v>1.0</v>
      </c>
      <c r="E16" s="17">
        <v>0.0</v>
      </c>
      <c r="F16" s="17">
        <v>1.0</v>
      </c>
      <c r="G16" s="17">
        <v>1.0</v>
      </c>
      <c r="H16" s="17">
        <v>0.0</v>
      </c>
      <c r="I16" s="17">
        <v>1.0</v>
      </c>
      <c r="J16" s="17">
        <v>0.0</v>
      </c>
      <c r="K16" s="17">
        <v>0.0</v>
      </c>
      <c r="L16" s="17">
        <v>1.0</v>
      </c>
      <c r="M16" s="17">
        <v>0.0</v>
      </c>
      <c r="N16" s="17">
        <v>1.0</v>
      </c>
      <c r="O16" s="17">
        <v>0.0</v>
      </c>
      <c r="P16" s="17">
        <v>1.0</v>
      </c>
      <c r="Q16" s="17">
        <v>1.0</v>
      </c>
      <c r="R16" s="17">
        <v>1.0</v>
      </c>
      <c r="S16" s="17">
        <v>1.0</v>
      </c>
      <c r="T16" s="17">
        <v>1.0</v>
      </c>
      <c r="U16" s="17">
        <v>1.0</v>
      </c>
      <c r="V16" s="17">
        <v>1.0</v>
      </c>
      <c r="W16" s="17">
        <v>0.0</v>
      </c>
      <c r="X16" s="17">
        <v>0.0</v>
      </c>
      <c r="Y16" s="17">
        <v>1.0</v>
      </c>
      <c r="Z16" s="17">
        <v>1.0</v>
      </c>
      <c r="AA16" s="17">
        <v>0.0</v>
      </c>
      <c r="AB16" s="17">
        <v>0.0</v>
      </c>
      <c r="AC16" s="17">
        <v>1.0</v>
      </c>
      <c r="AD16" s="17">
        <v>1.0</v>
      </c>
      <c r="AE16" s="17">
        <v>1.0</v>
      </c>
      <c r="AF16" s="17">
        <v>0.0</v>
      </c>
    </row>
    <row r="17" hidden="1">
      <c r="A17" s="126">
        <v>46038.0</v>
      </c>
      <c r="B17" s="18" t="str">
        <f t="shared" si="1"/>
        <v>Friday</v>
      </c>
      <c r="C17" s="17">
        <v>0.0</v>
      </c>
      <c r="D17" s="17">
        <v>1.0</v>
      </c>
      <c r="E17" s="17">
        <v>1.0</v>
      </c>
      <c r="F17" s="17">
        <v>0.0</v>
      </c>
      <c r="G17" s="17">
        <v>1.0</v>
      </c>
      <c r="H17" s="17">
        <v>1.0</v>
      </c>
      <c r="I17" s="17">
        <v>1.0</v>
      </c>
      <c r="J17" s="17">
        <v>0.0</v>
      </c>
      <c r="K17" s="17">
        <v>1.0</v>
      </c>
      <c r="L17" s="17">
        <v>0.0</v>
      </c>
      <c r="M17" s="17">
        <v>0.0</v>
      </c>
      <c r="N17" s="17">
        <v>1.0</v>
      </c>
      <c r="O17" s="17">
        <v>1.0</v>
      </c>
      <c r="P17" s="17">
        <v>0.0</v>
      </c>
      <c r="Q17" s="17">
        <v>1.0</v>
      </c>
      <c r="R17" s="17">
        <v>1.0</v>
      </c>
      <c r="S17" s="17">
        <v>1.0</v>
      </c>
      <c r="T17" s="17">
        <v>1.0</v>
      </c>
      <c r="U17" s="17">
        <v>1.0</v>
      </c>
      <c r="V17" s="17">
        <v>1.0</v>
      </c>
      <c r="W17" s="17">
        <v>1.0</v>
      </c>
      <c r="X17" s="17">
        <v>0.0</v>
      </c>
      <c r="Y17" s="17">
        <v>1.0</v>
      </c>
      <c r="Z17" s="17">
        <v>1.0</v>
      </c>
      <c r="AA17" s="17">
        <v>1.0</v>
      </c>
      <c r="AB17" s="17">
        <v>0.0</v>
      </c>
      <c r="AC17" s="17">
        <v>1.0</v>
      </c>
      <c r="AD17" s="17">
        <v>0.0</v>
      </c>
      <c r="AE17" s="17">
        <v>1.0</v>
      </c>
      <c r="AF17" s="17">
        <v>1.0</v>
      </c>
    </row>
    <row r="18" hidden="1">
      <c r="A18" s="126">
        <v>46039.0</v>
      </c>
      <c r="B18" s="18" t="str">
        <f t="shared" si="1"/>
        <v>Saturday</v>
      </c>
      <c r="C18" s="17">
        <v>0.0</v>
      </c>
      <c r="D18" s="17">
        <v>1.0</v>
      </c>
      <c r="E18" s="17">
        <v>1.0</v>
      </c>
      <c r="F18" s="17">
        <v>0.0</v>
      </c>
      <c r="G18" s="17">
        <v>1.0</v>
      </c>
      <c r="H18" s="17">
        <v>1.0</v>
      </c>
      <c r="I18" s="17">
        <v>1.0</v>
      </c>
      <c r="J18" s="17">
        <v>0.0</v>
      </c>
      <c r="K18" s="17">
        <v>0.0</v>
      </c>
      <c r="L18" s="17">
        <v>0.0</v>
      </c>
      <c r="M18" s="17">
        <v>0.0</v>
      </c>
      <c r="N18" s="17">
        <v>1.0</v>
      </c>
      <c r="O18" s="17">
        <v>0.0</v>
      </c>
      <c r="P18" s="17">
        <v>1.0</v>
      </c>
      <c r="Q18" s="17">
        <v>0.0</v>
      </c>
      <c r="R18" s="17">
        <v>1.0</v>
      </c>
      <c r="S18" s="17">
        <v>1.0</v>
      </c>
      <c r="T18" s="17">
        <v>0.0</v>
      </c>
      <c r="U18" s="17">
        <v>1.0</v>
      </c>
      <c r="V18" s="17">
        <v>0.0</v>
      </c>
      <c r="W18" s="17">
        <v>1.0</v>
      </c>
      <c r="X18" s="17">
        <v>0.0</v>
      </c>
      <c r="Y18" s="17">
        <v>0.0</v>
      </c>
      <c r="Z18" s="17">
        <v>1.0</v>
      </c>
      <c r="AA18" s="17">
        <v>1.0</v>
      </c>
      <c r="AB18" s="17">
        <v>1.0</v>
      </c>
      <c r="AC18" s="17">
        <v>0.0</v>
      </c>
      <c r="AD18" s="17">
        <v>0.0</v>
      </c>
      <c r="AE18" s="17">
        <v>0.0</v>
      </c>
      <c r="AF18" s="17">
        <v>0.0</v>
      </c>
    </row>
    <row r="19" hidden="1">
      <c r="A19" s="126">
        <v>46040.0</v>
      </c>
      <c r="B19" s="18" t="str">
        <f t="shared" si="1"/>
        <v>Sunday</v>
      </c>
      <c r="C19" s="17">
        <v>1.0</v>
      </c>
      <c r="D19" s="17">
        <v>0.0</v>
      </c>
      <c r="E19" s="17">
        <v>0.0</v>
      </c>
      <c r="F19" s="17">
        <v>0.0</v>
      </c>
      <c r="G19" s="17">
        <v>1.0</v>
      </c>
      <c r="H19" s="17">
        <v>0.0</v>
      </c>
      <c r="I19" s="17">
        <v>0.0</v>
      </c>
      <c r="J19" s="17">
        <v>0.0</v>
      </c>
      <c r="K19" s="17">
        <v>1.0</v>
      </c>
      <c r="L19" s="17">
        <v>0.0</v>
      </c>
      <c r="M19" s="17">
        <v>0.0</v>
      </c>
      <c r="N19" s="17">
        <v>0.0</v>
      </c>
      <c r="O19" s="17">
        <v>0.0</v>
      </c>
      <c r="P19" s="17">
        <v>0.0</v>
      </c>
      <c r="Q19" s="17">
        <v>0.0</v>
      </c>
      <c r="R19" s="17">
        <v>0.0</v>
      </c>
      <c r="S19" s="17">
        <v>1.0</v>
      </c>
      <c r="T19" s="17">
        <v>0.0</v>
      </c>
      <c r="U19" s="17">
        <v>0.0</v>
      </c>
      <c r="V19" s="17">
        <v>0.0</v>
      </c>
      <c r="W19" s="17">
        <v>1.0</v>
      </c>
      <c r="X19" s="17">
        <v>0.0</v>
      </c>
      <c r="Y19" s="17">
        <v>1.0</v>
      </c>
      <c r="Z19" s="17">
        <v>0.0</v>
      </c>
      <c r="AA19" s="17">
        <v>0.0</v>
      </c>
      <c r="AB19" s="17">
        <v>0.0</v>
      </c>
      <c r="AC19" s="17">
        <v>0.0</v>
      </c>
      <c r="AD19" s="17">
        <v>0.0</v>
      </c>
      <c r="AE19" s="17">
        <v>0.0</v>
      </c>
      <c r="AF19" s="17">
        <v>0.0</v>
      </c>
    </row>
    <row r="20" hidden="1">
      <c r="A20" s="126">
        <v>46041.0</v>
      </c>
      <c r="B20" s="18" t="str">
        <f t="shared" si="1"/>
        <v>Monday</v>
      </c>
      <c r="C20" s="17">
        <v>0.0</v>
      </c>
      <c r="D20" s="17">
        <v>0.0</v>
      </c>
      <c r="E20" s="17">
        <v>0.0</v>
      </c>
      <c r="F20" s="17">
        <v>1.0</v>
      </c>
      <c r="G20" s="17">
        <v>1.0</v>
      </c>
      <c r="H20" s="17">
        <v>1.0</v>
      </c>
      <c r="I20" s="17">
        <v>0.0</v>
      </c>
      <c r="J20" s="17">
        <v>0.0</v>
      </c>
      <c r="K20" s="17">
        <v>0.0</v>
      </c>
      <c r="L20" s="17">
        <v>0.0</v>
      </c>
      <c r="M20" s="17">
        <v>0.0</v>
      </c>
      <c r="N20" s="17">
        <v>0.0</v>
      </c>
      <c r="O20" s="17">
        <v>0.0</v>
      </c>
      <c r="P20" s="17">
        <v>0.0</v>
      </c>
      <c r="Q20" s="17">
        <v>0.0</v>
      </c>
      <c r="R20" s="17">
        <v>0.0</v>
      </c>
      <c r="S20" s="17">
        <v>0.0</v>
      </c>
      <c r="T20" s="17">
        <v>0.0</v>
      </c>
      <c r="U20" s="17">
        <v>0.0</v>
      </c>
      <c r="V20" s="17">
        <v>1.0</v>
      </c>
      <c r="W20" s="17">
        <v>0.0</v>
      </c>
      <c r="X20" s="17">
        <v>0.0</v>
      </c>
      <c r="Y20" s="17">
        <v>1.0</v>
      </c>
      <c r="Z20" s="17">
        <v>1.0</v>
      </c>
      <c r="AA20" s="17">
        <v>0.0</v>
      </c>
      <c r="AB20" s="17">
        <v>0.0</v>
      </c>
      <c r="AC20" s="17">
        <v>0.0</v>
      </c>
      <c r="AD20" s="17">
        <v>1.0</v>
      </c>
      <c r="AE20" s="17">
        <v>0.0</v>
      </c>
      <c r="AF20" s="17">
        <v>1.0</v>
      </c>
    </row>
    <row r="21" hidden="1">
      <c r="A21" s="126">
        <v>46042.0</v>
      </c>
      <c r="B21" s="18" t="str">
        <f t="shared" si="1"/>
        <v>Tuesday</v>
      </c>
      <c r="C21" s="17">
        <v>0.0</v>
      </c>
      <c r="D21" s="17">
        <v>0.0</v>
      </c>
      <c r="E21" s="17">
        <v>0.0</v>
      </c>
      <c r="F21" s="17">
        <v>0.0</v>
      </c>
      <c r="G21" s="17">
        <v>0.0</v>
      </c>
      <c r="H21" s="17">
        <v>1.0</v>
      </c>
      <c r="I21" s="17">
        <v>0.0</v>
      </c>
      <c r="J21" s="17">
        <v>0.0</v>
      </c>
      <c r="K21" s="17">
        <v>0.0</v>
      </c>
      <c r="L21" s="17">
        <v>0.0</v>
      </c>
      <c r="M21" s="17">
        <v>0.0</v>
      </c>
      <c r="N21" s="17">
        <v>0.0</v>
      </c>
      <c r="O21" s="17">
        <v>0.0</v>
      </c>
      <c r="P21" s="17">
        <v>0.0</v>
      </c>
      <c r="Q21" s="17">
        <v>0.0</v>
      </c>
      <c r="R21" s="17">
        <v>0.0</v>
      </c>
      <c r="S21" s="17">
        <v>0.0</v>
      </c>
      <c r="T21" s="17">
        <v>0.0</v>
      </c>
      <c r="U21" s="17">
        <v>0.0</v>
      </c>
      <c r="V21" s="17">
        <v>0.0</v>
      </c>
      <c r="W21" s="17">
        <v>0.0</v>
      </c>
      <c r="X21" s="17">
        <v>0.0</v>
      </c>
      <c r="Y21" s="17">
        <v>1.0</v>
      </c>
      <c r="Z21" s="17">
        <v>1.0</v>
      </c>
      <c r="AA21" s="17">
        <v>0.0</v>
      </c>
      <c r="AB21" s="17">
        <v>0.0</v>
      </c>
      <c r="AC21" s="17">
        <v>0.0</v>
      </c>
      <c r="AD21" s="17">
        <v>1.0</v>
      </c>
      <c r="AE21" s="17">
        <v>0.0</v>
      </c>
      <c r="AF21" s="17">
        <v>0.0</v>
      </c>
    </row>
    <row r="22" hidden="1">
      <c r="A22" s="126">
        <v>46043.0</v>
      </c>
      <c r="B22" s="18" t="str">
        <f t="shared" si="1"/>
        <v>Wednesday</v>
      </c>
      <c r="C22" s="17">
        <v>0.0</v>
      </c>
      <c r="D22" s="17">
        <v>0.0</v>
      </c>
      <c r="E22" s="17">
        <v>0.0</v>
      </c>
      <c r="F22" s="17">
        <v>0.0</v>
      </c>
      <c r="G22" s="17">
        <v>0.0</v>
      </c>
      <c r="H22" s="17">
        <v>0.0</v>
      </c>
      <c r="I22" s="17">
        <v>0.0</v>
      </c>
      <c r="J22" s="17">
        <v>0.0</v>
      </c>
      <c r="K22" s="17">
        <v>0.0</v>
      </c>
      <c r="L22" s="17">
        <v>0.0</v>
      </c>
      <c r="M22" s="17">
        <v>0.0</v>
      </c>
      <c r="N22" s="17">
        <v>1.0</v>
      </c>
      <c r="O22" s="17">
        <v>0.0</v>
      </c>
      <c r="P22" s="17">
        <v>0.0</v>
      </c>
      <c r="Q22" s="17">
        <v>0.0</v>
      </c>
      <c r="R22" s="17">
        <v>0.0</v>
      </c>
      <c r="S22" s="17">
        <v>0.0</v>
      </c>
      <c r="T22" s="17">
        <v>0.0</v>
      </c>
      <c r="U22" s="17">
        <v>0.0</v>
      </c>
      <c r="V22" s="17">
        <v>0.0</v>
      </c>
      <c r="W22" s="17">
        <v>0.0</v>
      </c>
      <c r="X22" s="17">
        <v>0.0</v>
      </c>
      <c r="Y22" s="17">
        <v>0.0</v>
      </c>
      <c r="Z22" s="17">
        <v>1.0</v>
      </c>
      <c r="AA22" s="17">
        <v>0.0</v>
      </c>
      <c r="AB22" s="17">
        <v>0.0</v>
      </c>
      <c r="AC22" s="17">
        <v>0.0</v>
      </c>
      <c r="AD22" s="17">
        <v>0.0</v>
      </c>
      <c r="AE22" s="17">
        <v>0.0</v>
      </c>
      <c r="AF22" s="17">
        <v>0.0</v>
      </c>
    </row>
    <row r="23" hidden="1">
      <c r="A23" s="126">
        <v>46044.0</v>
      </c>
      <c r="B23" s="18" t="str">
        <f t="shared" si="1"/>
        <v>Thursday</v>
      </c>
      <c r="C23" s="17">
        <v>0.0</v>
      </c>
      <c r="D23" s="17">
        <v>0.0</v>
      </c>
      <c r="E23" s="17">
        <v>0.0</v>
      </c>
      <c r="F23" s="17">
        <v>0.0</v>
      </c>
      <c r="G23" s="17">
        <v>0.0</v>
      </c>
      <c r="H23" s="17">
        <v>0.0</v>
      </c>
      <c r="I23" s="17">
        <v>0.0</v>
      </c>
      <c r="J23" s="17">
        <v>0.0</v>
      </c>
      <c r="K23" s="17">
        <v>0.0</v>
      </c>
      <c r="L23" s="17">
        <v>0.0</v>
      </c>
      <c r="M23" s="17">
        <v>0.0</v>
      </c>
      <c r="N23" s="17">
        <v>1.0</v>
      </c>
      <c r="O23" s="17">
        <v>0.0</v>
      </c>
      <c r="P23" s="17">
        <v>0.0</v>
      </c>
      <c r="Q23" s="17">
        <v>0.0</v>
      </c>
      <c r="R23" s="17">
        <v>0.0</v>
      </c>
      <c r="S23" s="17">
        <v>0.0</v>
      </c>
      <c r="T23" s="17">
        <v>0.0</v>
      </c>
      <c r="U23" s="17">
        <v>0.0</v>
      </c>
      <c r="V23" s="17">
        <v>0.0</v>
      </c>
      <c r="W23" s="17">
        <v>0.0</v>
      </c>
      <c r="X23" s="17">
        <v>0.0</v>
      </c>
      <c r="Y23" s="17">
        <v>0.0</v>
      </c>
      <c r="Z23" s="17">
        <v>0.0</v>
      </c>
      <c r="AA23" s="17">
        <v>0.0</v>
      </c>
      <c r="AB23" s="17">
        <v>0.0</v>
      </c>
      <c r="AC23" s="17">
        <v>0.0</v>
      </c>
      <c r="AD23" s="17">
        <v>0.0</v>
      </c>
      <c r="AE23" s="17">
        <v>0.0</v>
      </c>
      <c r="AF23" s="17">
        <v>0.0</v>
      </c>
    </row>
    <row r="24" hidden="1">
      <c r="A24" s="126">
        <v>46045.0</v>
      </c>
      <c r="B24" s="18" t="str">
        <f t="shared" si="1"/>
        <v>Friday</v>
      </c>
      <c r="C24" s="17">
        <v>0.0</v>
      </c>
      <c r="D24" s="17">
        <v>0.0</v>
      </c>
      <c r="E24" s="17">
        <v>0.0</v>
      </c>
      <c r="F24" s="17">
        <v>0.0</v>
      </c>
      <c r="G24" s="17">
        <v>0.0</v>
      </c>
      <c r="H24" s="17">
        <v>0.0</v>
      </c>
      <c r="I24" s="17">
        <v>0.0</v>
      </c>
      <c r="J24" s="17">
        <v>0.0</v>
      </c>
      <c r="K24" s="17">
        <v>0.0</v>
      </c>
      <c r="L24" s="17">
        <v>0.0</v>
      </c>
      <c r="M24" s="17">
        <v>0.0</v>
      </c>
      <c r="N24" s="17">
        <v>0.0</v>
      </c>
      <c r="O24" s="17">
        <v>0.0</v>
      </c>
      <c r="P24" s="17">
        <v>0.0</v>
      </c>
      <c r="Q24" s="17">
        <v>0.0</v>
      </c>
      <c r="R24" s="17">
        <v>0.0</v>
      </c>
      <c r="S24" s="17">
        <v>0.0</v>
      </c>
      <c r="T24" s="17">
        <v>0.0</v>
      </c>
      <c r="U24" s="17">
        <v>0.0</v>
      </c>
      <c r="V24" s="17">
        <v>0.0</v>
      </c>
      <c r="W24" s="17">
        <v>0.0</v>
      </c>
      <c r="X24" s="17">
        <v>0.0</v>
      </c>
      <c r="Y24" s="17">
        <v>0.0</v>
      </c>
      <c r="Z24" s="17">
        <v>0.0</v>
      </c>
      <c r="AA24" s="17">
        <v>0.0</v>
      </c>
      <c r="AB24" s="17">
        <v>0.0</v>
      </c>
      <c r="AC24" s="17">
        <v>0.0</v>
      </c>
      <c r="AD24" s="17">
        <v>0.0</v>
      </c>
      <c r="AE24" s="17">
        <v>0.0</v>
      </c>
      <c r="AF24" s="17">
        <v>0.0</v>
      </c>
    </row>
    <row r="25" hidden="1">
      <c r="A25" s="126">
        <v>46046.0</v>
      </c>
      <c r="B25" s="18" t="str">
        <f t="shared" si="1"/>
        <v>Saturday</v>
      </c>
      <c r="C25" s="17">
        <v>0.0</v>
      </c>
      <c r="D25" s="17">
        <v>0.0</v>
      </c>
      <c r="E25" s="17">
        <v>0.0</v>
      </c>
      <c r="F25" s="17">
        <v>0.0</v>
      </c>
      <c r="G25" s="17">
        <v>0.0</v>
      </c>
      <c r="H25" s="17">
        <v>0.0</v>
      </c>
      <c r="I25" s="17">
        <v>0.0</v>
      </c>
      <c r="J25" s="17">
        <v>0.0</v>
      </c>
      <c r="K25" s="17">
        <v>1.0</v>
      </c>
      <c r="L25" s="17">
        <v>0.0</v>
      </c>
      <c r="M25" s="17">
        <v>0.0</v>
      </c>
      <c r="N25" s="17">
        <v>0.0</v>
      </c>
      <c r="O25" s="17">
        <v>1.0</v>
      </c>
      <c r="P25" s="17">
        <v>1.0</v>
      </c>
      <c r="Q25" s="17">
        <v>0.0</v>
      </c>
      <c r="R25" s="17">
        <v>1.0</v>
      </c>
      <c r="S25" s="17">
        <v>1.0</v>
      </c>
      <c r="T25" s="17">
        <v>0.0</v>
      </c>
      <c r="U25" s="17">
        <v>0.0</v>
      </c>
      <c r="V25" s="17">
        <v>0.0</v>
      </c>
      <c r="W25" s="17">
        <v>1.0</v>
      </c>
      <c r="X25" s="17">
        <v>0.0</v>
      </c>
      <c r="Y25" s="17">
        <v>0.0</v>
      </c>
      <c r="Z25" s="17">
        <v>0.0</v>
      </c>
      <c r="AA25" s="17">
        <v>1.0</v>
      </c>
      <c r="AB25" s="17">
        <v>1.0</v>
      </c>
      <c r="AC25" s="17">
        <v>0.0</v>
      </c>
      <c r="AD25" s="17">
        <v>0.0</v>
      </c>
      <c r="AE25" s="17">
        <v>1.0</v>
      </c>
      <c r="AF25" s="17">
        <v>0.0</v>
      </c>
    </row>
    <row r="26" hidden="1">
      <c r="A26" s="126">
        <v>46047.0</v>
      </c>
      <c r="B26" s="18" t="str">
        <f t="shared" si="1"/>
        <v>Sunday</v>
      </c>
      <c r="C26" s="17">
        <v>0.0</v>
      </c>
      <c r="D26" s="17">
        <v>0.0</v>
      </c>
      <c r="E26" s="17">
        <v>0.0</v>
      </c>
      <c r="F26" s="17">
        <v>0.0</v>
      </c>
      <c r="G26" s="17">
        <v>1.0</v>
      </c>
      <c r="H26" s="17">
        <v>0.0</v>
      </c>
      <c r="I26" s="17">
        <v>1.0</v>
      </c>
      <c r="J26" s="17">
        <v>0.0</v>
      </c>
      <c r="K26" s="17">
        <v>0.0</v>
      </c>
      <c r="L26" s="17">
        <v>0.0</v>
      </c>
      <c r="M26" s="17">
        <v>0.0</v>
      </c>
      <c r="N26" s="17">
        <v>1.0</v>
      </c>
      <c r="O26" s="17">
        <v>0.0</v>
      </c>
      <c r="P26" s="17">
        <v>0.0</v>
      </c>
      <c r="Q26" s="17">
        <v>0.0</v>
      </c>
      <c r="R26" s="17">
        <v>1.0</v>
      </c>
      <c r="S26" s="17">
        <v>0.0</v>
      </c>
      <c r="T26" s="17">
        <v>1.0</v>
      </c>
      <c r="U26" s="17">
        <v>0.0</v>
      </c>
      <c r="V26" s="17">
        <v>0.0</v>
      </c>
      <c r="W26" s="17">
        <v>1.0</v>
      </c>
      <c r="X26" s="17">
        <v>0.0</v>
      </c>
      <c r="Y26" s="17">
        <v>0.0</v>
      </c>
      <c r="Z26" s="17">
        <v>0.0</v>
      </c>
      <c r="AA26" s="17">
        <v>0.0</v>
      </c>
      <c r="AB26" s="17">
        <v>0.0</v>
      </c>
      <c r="AC26" s="17">
        <v>0.0</v>
      </c>
      <c r="AD26" s="17">
        <v>0.0</v>
      </c>
      <c r="AE26" s="17">
        <v>0.0</v>
      </c>
      <c r="AF26" s="17">
        <v>0.0</v>
      </c>
    </row>
    <row r="27" hidden="1">
      <c r="A27" s="126">
        <v>46048.0</v>
      </c>
      <c r="B27" s="18" t="str">
        <f t="shared" si="1"/>
        <v>Monday</v>
      </c>
      <c r="C27" s="17">
        <v>0.0</v>
      </c>
      <c r="D27" s="17">
        <v>0.0</v>
      </c>
      <c r="E27" s="17">
        <v>0.0</v>
      </c>
      <c r="F27" s="17">
        <v>0.0</v>
      </c>
      <c r="G27" s="17">
        <v>0.0</v>
      </c>
      <c r="H27" s="17">
        <v>0.0</v>
      </c>
      <c r="I27" s="17">
        <v>0.0</v>
      </c>
      <c r="J27" s="17">
        <v>0.0</v>
      </c>
      <c r="K27" s="17">
        <v>0.0</v>
      </c>
      <c r="L27" s="17">
        <v>0.0</v>
      </c>
      <c r="M27" s="17">
        <v>0.0</v>
      </c>
      <c r="N27" s="17">
        <v>0.0</v>
      </c>
      <c r="O27" s="17">
        <v>0.0</v>
      </c>
      <c r="P27" s="17">
        <v>1.0</v>
      </c>
      <c r="Q27" s="17">
        <v>0.0</v>
      </c>
      <c r="R27" s="17">
        <v>0.0</v>
      </c>
      <c r="S27" s="17">
        <v>0.0</v>
      </c>
      <c r="T27" s="17">
        <v>0.0</v>
      </c>
      <c r="U27" s="17">
        <v>0.0</v>
      </c>
      <c r="V27" s="17">
        <v>1.0</v>
      </c>
      <c r="W27" s="17">
        <v>0.0</v>
      </c>
      <c r="X27" s="17">
        <v>1.0</v>
      </c>
      <c r="Y27" s="17">
        <v>0.0</v>
      </c>
      <c r="Z27" s="17">
        <v>1.0</v>
      </c>
      <c r="AA27" s="17">
        <v>0.0</v>
      </c>
      <c r="AB27" s="17">
        <v>1.0</v>
      </c>
      <c r="AC27" s="17">
        <v>0.0</v>
      </c>
      <c r="AD27" s="17">
        <v>1.0</v>
      </c>
      <c r="AE27" s="17">
        <v>0.0</v>
      </c>
      <c r="AF27" s="17">
        <v>0.0</v>
      </c>
    </row>
    <row r="28" hidden="1">
      <c r="A28" s="126">
        <v>46049.0</v>
      </c>
      <c r="B28" s="18" t="str">
        <f t="shared" si="1"/>
        <v>Tuesday</v>
      </c>
      <c r="C28" s="17">
        <v>0.0</v>
      </c>
      <c r="D28" s="17">
        <v>1.0</v>
      </c>
      <c r="E28" s="17">
        <v>0.0</v>
      </c>
      <c r="F28" s="17">
        <v>0.0</v>
      </c>
      <c r="G28" s="17">
        <v>0.0</v>
      </c>
      <c r="H28" s="17">
        <v>1.0</v>
      </c>
      <c r="I28" s="17">
        <v>0.0</v>
      </c>
      <c r="J28" s="17">
        <v>0.0</v>
      </c>
      <c r="K28" s="17">
        <v>0.0</v>
      </c>
      <c r="L28" s="17">
        <v>0.0</v>
      </c>
      <c r="M28" s="17">
        <v>0.0</v>
      </c>
      <c r="N28" s="17">
        <v>0.0</v>
      </c>
      <c r="O28" s="17">
        <v>0.0</v>
      </c>
      <c r="P28" s="17">
        <v>0.0</v>
      </c>
      <c r="Q28" s="17">
        <v>1.0</v>
      </c>
      <c r="R28" s="17">
        <v>0.0</v>
      </c>
      <c r="S28" s="17">
        <v>1.0</v>
      </c>
      <c r="T28" s="17">
        <v>1.0</v>
      </c>
      <c r="U28" s="17">
        <v>1.0</v>
      </c>
      <c r="V28" s="17">
        <v>0.0</v>
      </c>
      <c r="W28" s="17">
        <v>1.0</v>
      </c>
      <c r="X28" s="17">
        <v>0.0</v>
      </c>
      <c r="Y28" s="17">
        <v>0.0</v>
      </c>
      <c r="Z28" s="17">
        <v>1.0</v>
      </c>
      <c r="AA28" s="17">
        <v>0.0</v>
      </c>
      <c r="AB28" s="17">
        <v>0.0</v>
      </c>
      <c r="AC28" s="17">
        <v>0.0</v>
      </c>
      <c r="AD28" s="17">
        <v>1.0</v>
      </c>
      <c r="AE28" s="17">
        <v>0.0</v>
      </c>
      <c r="AF28" s="17">
        <v>1.0</v>
      </c>
    </row>
    <row r="29" hidden="1">
      <c r="A29" s="126">
        <v>46050.0</v>
      </c>
      <c r="B29" s="18" t="str">
        <f t="shared" si="1"/>
        <v>Wednesday</v>
      </c>
      <c r="C29" s="17">
        <v>1.0</v>
      </c>
      <c r="D29" s="17">
        <v>1.0</v>
      </c>
      <c r="E29" s="17">
        <v>0.0</v>
      </c>
      <c r="F29" s="17">
        <v>0.0</v>
      </c>
      <c r="G29" s="17">
        <v>0.0</v>
      </c>
      <c r="H29" s="17">
        <v>0.0</v>
      </c>
      <c r="I29" s="17">
        <v>0.0</v>
      </c>
      <c r="J29" s="17">
        <v>0.0</v>
      </c>
      <c r="K29" s="17">
        <v>0.0</v>
      </c>
      <c r="L29" s="17">
        <v>0.0</v>
      </c>
      <c r="M29" s="17">
        <v>0.0</v>
      </c>
      <c r="N29" s="17">
        <v>1.0</v>
      </c>
      <c r="O29" s="17">
        <v>0.0</v>
      </c>
      <c r="P29" s="17">
        <v>0.0</v>
      </c>
      <c r="Q29" s="17">
        <v>0.0</v>
      </c>
      <c r="R29" s="17">
        <v>1.0</v>
      </c>
      <c r="S29" s="17">
        <v>0.0</v>
      </c>
      <c r="T29" s="17">
        <v>1.0</v>
      </c>
      <c r="U29" s="17">
        <v>1.0</v>
      </c>
      <c r="V29" s="17">
        <v>1.0</v>
      </c>
      <c r="W29" s="17">
        <v>0.0</v>
      </c>
      <c r="X29" s="17">
        <v>1.0</v>
      </c>
      <c r="Y29" s="17">
        <v>1.0</v>
      </c>
      <c r="Z29" s="17">
        <v>1.0</v>
      </c>
      <c r="AA29" s="17">
        <v>0.0</v>
      </c>
      <c r="AB29" s="17">
        <v>0.0</v>
      </c>
      <c r="AC29" s="17">
        <v>1.0</v>
      </c>
      <c r="AD29" s="17">
        <v>1.0</v>
      </c>
      <c r="AE29" s="17">
        <v>1.0</v>
      </c>
      <c r="AF29" s="17">
        <v>0.0</v>
      </c>
    </row>
    <row r="30" hidden="1">
      <c r="A30" s="126">
        <v>46051.0</v>
      </c>
      <c r="B30" s="18" t="str">
        <f t="shared" si="1"/>
        <v>Thursday</v>
      </c>
      <c r="C30" s="17">
        <v>0.0</v>
      </c>
      <c r="D30" s="17">
        <v>0.0</v>
      </c>
      <c r="E30" s="17">
        <v>0.0</v>
      </c>
      <c r="F30" s="17">
        <v>0.0</v>
      </c>
      <c r="G30" s="17">
        <v>0.0</v>
      </c>
      <c r="H30" s="17">
        <v>0.0</v>
      </c>
      <c r="I30" s="17">
        <v>0.0</v>
      </c>
      <c r="J30" s="17">
        <v>0.0</v>
      </c>
      <c r="K30" s="17">
        <v>0.0</v>
      </c>
      <c r="L30" s="17">
        <v>0.0</v>
      </c>
      <c r="M30" s="17">
        <v>0.0</v>
      </c>
      <c r="N30" s="17">
        <v>0.0</v>
      </c>
      <c r="O30" s="17">
        <v>0.0</v>
      </c>
      <c r="P30" s="17">
        <v>0.0</v>
      </c>
      <c r="Q30" s="17">
        <v>0.0</v>
      </c>
      <c r="R30" s="17">
        <v>1.0</v>
      </c>
      <c r="S30" s="17">
        <v>0.0</v>
      </c>
      <c r="T30" s="17">
        <v>1.0</v>
      </c>
      <c r="U30" s="17">
        <v>0.0</v>
      </c>
      <c r="V30" s="17">
        <v>0.0</v>
      </c>
      <c r="W30" s="17">
        <v>0.0</v>
      </c>
      <c r="X30" s="17">
        <v>0.0</v>
      </c>
      <c r="Y30" s="17">
        <v>0.0</v>
      </c>
      <c r="Z30" s="17">
        <v>1.0</v>
      </c>
      <c r="AA30" s="17">
        <v>0.0</v>
      </c>
      <c r="AB30" s="17">
        <v>0.0</v>
      </c>
      <c r="AC30" s="17">
        <v>0.0</v>
      </c>
      <c r="AD30" s="17">
        <v>0.0</v>
      </c>
      <c r="AE30" s="17">
        <v>0.0</v>
      </c>
      <c r="AF30" s="17">
        <v>1.0</v>
      </c>
    </row>
    <row r="31" hidden="1">
      <c r="A31" s="126">
        <v>46052.0</v>
      </c>
      <c r="B31" s="18" t="str">
        <f t="shared" si="1"/>
        <v>Friday</v>
      </c>
      <c r="C31" s="17">
        <v>0.0</v>
      </c>
      <c r="D31" s="17">
        <v>1.0</v>
      </c>
      <c r="E31" s="17">
        <v>1.0</v>
      </c>
      <c r="F31" s="17">
        <v>1.0</v>
      </c>
      <c r="G31" s="17">
        <v>1.0</v>
      </c>
      <c r="H31" s="17">
        <v>1.0</v>
      </c>
      <c r="I31" s="17">
        <v>0.0</v>
      </c>
      <c r="J31" s="17">
        <v>0.0</v>
      </c>
      <c r="K31" s="17">
        <v>1.0</v>
      </c>
      <c r="L31" s="17">
        <v>1.0</v>
      </c>
      <c r="M31" s="17">
        <v>0.0</v>
      </c>
      <c r="N31" s="17">
        <v>1.0</v>
      </c>
      <c r="O31" s="17">
        <v>0.0</v>
      </c>
      <c r="P31" s="17">
        <v>1.0</v>
      </c>
      <c r="Q31" s="17">
        <v>1.0</v>
      </c>
      <c r="R31" s="17">
        <v>1.0</v>
      </c>
      <c r="S31" s="17">
        <v>1.0</v>
      </c>
      <c r="T31" s="17">
        <v>1.0</v>
      </c>
      <c r="U31" s="17">
        <v>1.0</v>
      </c>
      <c r="V31" s="17">
        <v>1.0</v>
      </c>
      <c r="W31" s="17">
        <v>1.0</v>
      </c>
      <c r="X31" s="17">
        <v>1.0</v>
      </c>
      <c r="Y31" s="17">
        <v>1.0</v>
      </c>
      <c r="Z31" s="17">
        <v>1.0</v>
      </c>
      <c r="AA31" s="17">
        <v>1.0</v>
      </c>
      <c r="AB31" s="17">
        <v>1.0</v>
      </c>
      <c r="AC31" s="17">
        <v>1.0</v>
      </c>
      <c r="AD31" s="17">
        <v>1.0</v>
      </c>
      <c r="AE31" s="17">
        <v>1.0</v>
      </c>
      <c r="AF31" s="17">
        <v>1.0</v>
      </c>
    </row>
    <row r="32" hidden="1">
      <c r="A32" s="126">
        <v>46053.0</v>
      </c>
      <c r="B32" s="18" t="str">
        <f t="shared" si="1"/>
        <v>Saturday</v>
      </c>
      <c r="C32" s="17">
        <v>0.0</v>
      </c>
      <c r="D32" s="17">
        <v>1.0</v>
      </c>
      <c r="E32" s="17">
        <v>1.0</v>
      </c>
      <c r="F32" s="17">
        <v>1.0</v>
      </c>
      <c r="G32" s="17">
        <v>1.0</v>
      </c>
      <c r="H32" s="17">
        <v>1.0</v>
      </c>
      <c r="I32" s="17">
        <v>1.0</v>
      </c>
      <c r="J32" s="17">
        <v>1.0</v>
      </c>
      <c r="K32" s="17">
        <v>1.0</v>
      </c>
      <c r="L32" s="17">
        <v>1.0</v>
      </c>
      <c r="M32" s="17">
        <v>1.0</v>
      </c>
      <c r="N32" s="17">
        <v>1.0</v>
      </c>
      <c r="O32" s="17">
        <v>1.0</v>
      </c>
      <c r="P32" s="17">
        <v>1.0</v>
      </c>
      <c r="Q32" s="17">
        <v>1.0</v>
      </c>
      <c r="R32" s="17">
        <v>1.0</v>
      </c>
      <c r="S32" s="17">
        <v>1.0</v>
      </c>
      <c r="T32" s="17">
        <v>1.0</v>
      </c>
      <c r="U32" s="17">
        <v>1.0</v>
      </c>
      <c r="V32" s="17">
        <v>1.0</v>
      </c>
      <c r="W32" s="17">
        <v>1.0</v>
      </c>
      <c r="X32" s="17">
        <v>1.0</v>
      </c>
      <c r="Y32" s="17">
        <v>1.0</v>
      </c>
      <c r="Z32" s="17">
        <v>1.0</v>
      </c>
      <c r="AA32" s="17">
        <v>1.0</v>
      </c>
      <c r="AB32" s="17">
        <v>1.0</v>
      </c>
      <c r="AC32" s="17">
        <v>1.0</v>
      </c>
      <c r="AD32" s="17">
        <v>1.0</v>
      </c>
      <c r="AE32" s="17">
        <v>1.0</v>
      </c>
      <c r="AF32" s="17">
        <v>1.0</v>
      </c>
    </row>
    <row r="33" hidden="1">
      <c r="A33" s="126">
        <v>46054.0</v>
      </c>
      <c r="B33" s="18" t="str">
        <f t="shared" si="1"/>
        <v>Sunday</v>
      </c>
      <c r="C33" s="17">
        <v>0.0</v>
      </c>
      <c r="D33" s="17">
        <v>0.0</v>
      </c>
      <c r="E33" s="17">
        <v>0.0</v>
      </c>
      <c r="F33" s="17">
        <v>0.0</v>
      </c>
      <c r="G33" s="17">
        <v>0.0</v>
      </c>
      <c r="H33" s="17">
        <v>1.0</v>
      </c>
      <c r="I33" s="17">
        <v>0.0</v>
      </c>
      <c r="J33" s="17">
        <v>0.0</v>
      </c>
      <c r="K33" s="17">
        <v>0.0</v>
      </c>
      <c r="L33" s="17">
        <v>0.0</v>
      </c>
      <c r="M33" s="17">
        <v>0.0</v>
      </c>
      <c r="N33" s="17">
        <v>0.0</v>
      </c>
      <c r="O33" s="17">
        <v>0.0</v>
      </c>
      <c r="P33" s="17">
        <v>0.0</v>
      </c>
      <c r="Q33" s="17">
        <v>0.0</v>
      </c>
      <c r="R33" s="17">
        <v>0.0</v>
      </c>
      <c r="S33" s="17">
        <v>1.0</v>
      </c>
      <c r="T33" s="17">
        <v>0.0</v>
      </c>
      <c r="U33" s="17">
        <v>0.0</v>
      </c>
      <c r="V33" s="17">
        <v>1.0</v>
      </c>
      <c r="W33" s="17">
        <v>1.0</v>
      </c>
      <c r="X33" s="17">
        <v>0.0</v>
      </c>
      <c r="Y33" s="17">
        <v>0.0</v>
      </c>
      <c r="Z33" s="17">
        <v>1.0</v>
      </c>
      <c r="AA33" s="17">
        <v>0.0</v>
      </c>
      <c r="AB33" s="17">
        <v>0.0</v>
      </c>
      <c r="AC33" s="17">
        <v>0.0</v>
      </c>
      <c r="AD33" s="17">
        <v>0.0</v>
      </c>
      <c r="AE33" s="17">
        <v>0.0</v>
      </c>
      <c r="AF33" s="17">
        <v>0.0</v>
      </c>
    </row>
    <row r="34" hidden="1">
      <c r="A34" s="126">
        <v>46055.0</v>
      </c>
      <c r="B34" s="18" t="str">
        <f t="shared" si="1"/>
        <v>Monday</v>
      </c>
      <c r="C34" s="17">
        <v>0.0</v>
      </c>
      <c r="D34" s="17">
        <v>0.0</v>
      </c>
      <c r="E34" s="17">
        <v>0.0</v>
      </c>
      <c r="F34" s="17">
        <v>0.0</v>
      </c>
      <c r="G34" s="17">
        <v>0.0</v>
      </c>
      <c r="H34" s="17">
        <v>1.0</v>
      </c>
      <c r="I34" s="17">
        <v>0.0</v>
      </c>
      <c r="J34" s="17">
        <v>0.0</v>
      </c>
      <c r="K34" s="17">
        <v>0.0</v>
      </c>
      <c r="L34" s="17">
        <v>0.0</v>
      </c>
      <c r="M34" s="17">
        <v>0.0</v>
      </c>
      <c r="N34" s="17">
        <v>0.0</v>
      </c>
      <c r="O34" s="17">
        <v>0.0</v>
      </c>
      <c r="P34" s="17">
        <v>0.0</v>
      </c>
      <c r="Q34" s="17">
        <v>0.0</v>
      </c>
      <c r="R34" s="17">
        <v>0.0</v>
      </c>
      <c r="S34" s="17">
        <v>0.0</v>
      </c>
      <c r="T34" s="17">
        <v>0.0</v>
      </c>
      <c r="U34" s="17">
        <v>0.0</v>
      </c>
      <c r="V34" s="17">
        <v>0.0</v>
      </c>
      <c r="W34" s="17">
        <v>0.0</v>
      </c>
      <c r="X34" s="17">
        <v>0.0</v>
      </c>
      <c r="Y34" s="17">
        <v>0.0</v>
      </c>
      <c r="Z34" s="17">
        <v>1.0</v>
      </c>
      <c r="AA34" s="17">
        <v>0.0</v>
      </c>
      <c r="AB34" s="17">
        <v>0.0</v>
      </c>
      <c r="AC34" s="17">
        <v>0.0</v>
      </c>
      <c r="AD34" s="17">
        <v>1.0</v>
      </c>
      <c r="AE34" s="17">
        <v>0.0</v>
      </c>
      <c r="AF34" s="17">
        <v>0.0</v>
      </c>
    </row>
    <row r="35" hidden="1">
      <c r="A35" s="126">
        <v>46056.0</v>
      </c>
      <c r="B35" s="18" t="str">
        <f t="shared" si="1"/>
        <v>Tuesday</v>
      </c>
      <c r="C35" s="17">
        <v>0.0</v>
      </c>
      <c r="D35" s="17">
        <v>0.0</v>
      </c>
      <c r="E35" s="17">
        <v>0.0</v>
      </c>
      <c r="F35" s="17">
        <v>1.0</v>
      </c>
      <c r="G35" s="17">
        <v>1.0</v>
      </c>
      <c r="H35" s="17">
        <v>1.0</v>
      </c>
      <c r="I35" s="17">
        <v>0.0</v>
      </c>
      <c r="J35" s="17">
        <v>0.0</v>
      </c>
      <c r="K35" s="17">
        <v>0.0</v>
      </c>
      <c r="L35" s="17">
        <v>0.0</v>
      </c>
      <c r="M35" s="17">
        <v>0.0</v>
      </c>
      <c r="N35" s="17">
        <v>0.0</v>
      </c>
      <c r="O35" s="17">
        <v>0.0</v>
      </c>
      <c r="P35" s="17">
        <v>0.0</v>
      </c>
      <c r="Q35" s="17">
        <v>0.0</v>
      </c>
      <c r="R35" s="17">
        <v>0.0</v>
      </c>
      <c r="S35" s="17">
        <v>1.0</v>
      </c>
      <c r="T35" s="17">
        <v>1.0</v>
      </c>
      <c r="U35" s="17">
        <v>0.0</v>
      </c>
      <c r="V35" s="17">
        <v>1.0</v>
      </c>
      <c r="W35" s="17">
        <v>0.0</v>
      </c>
      <c r="X35" s="17">
        <v>0.0</v>
      </c>
      <c r="Y35" s="17">
        <v>1.0</v>
      </c>
      <c r="Z35" s="17">
        <v>1.0</v>
      </c>
      <c r="AA35" s="17">
        <v>0.0</v>
      </c>
      <c r="AB35" s="17">
        <v>0.0</v>
      </c>
      <c r="AC35" s="17">
        <v>0.0</v>
      </c>
      <c r="AD35" s="17">
        <v>1.0</v>
      </c>
      <c r="AE35" s="17">
        <v>0.0</v>
      </c>
      <c r="AF35" s="17">
        <v>0.0</v>
      </c>
    </row>
    <row r="36" hidden="1">
      <c r="A36" s="126">
        <v>46057.0</v>
      </c>
      <c r="B36" s="18" t="str">
        <f t="shared" si="1"/>
        <v>Wednesday</v>
      </c>
      <c r="C36" s="17">
        <v>0.0</v>
      </c>
      <c r="D36" s="17">
        <v>0.0</v>
      </c>
      <c r="E36" s="17">
        <v>0.0</v>
      </c>
      <c r="F36" s="17">
        <v>0.0</v>
      </c>
      <c r="G36" s="17">
        <v>0.0</v>
      </c>
      <c r="H36" s="17">
        <v>1.0</v>
      </c>
      <c r="I36" s="17">
        <v>0.0</v>
      </c>
      <c r="J36" s="17">
        <v>0.0</v>
      </c>
      <c r="K36" s="17">
        <v>0.0</v>
      </c>
      <c r="L36" s="17">
        <v>0.0</v>
      </c>
      <c r="M36" s="17">
        <v>0.0</v>
      </c>
      <c r="N36" s="17">
        <v>0.0</v>
      </c>
      <c r="O36" s="17">
        <v>0.0</v>
      </c>
      <c r="P36" s="17">
        <v>0.0</v>
      </c>
      <c r="Q36" s="17">
        <v>0.0</v>
      </c>
      <c r="R36" s="17">
        <v>1.0</v>
      </c>
      <c r="S36" s="17">
        <v>0.0</v>
      </c>
      <c r="T36" s="17">
        <v>1.0</v>
      </c>
      <c r="U36" s="17">
        <v>1.0</v>
      </c>
      <c r="V36" s="17">
        <v>0.0</v>
      </c>
      <c r="W36" s="17">
        <v>1.0</v>
      </c>
      <c r="X36" s="17">
        <v>0.0</v>
      </c>
      <c r="Y36" s="17">
        <v>0.0</v>
      </c>
      <c r="Z36" s="17">
        <v>1.0</v>
      </c>
      <c r="AA36" s="17">
        <v>0.0</v>
      </c>
      <c r="AB36" s="17">
        <v>0.0</v>
      </c>
      <c r="AC36" s="17">
        <v>0.0</v>
      </c>
      <c r="AD36" s="17">
        <v>1.0</v>
      </c>
      <c r="AE36" s="17">
        <v>0.0</v>
      </c>
      <c r="AF36" s="17">
        <v>1.0</v>
      </c>
    </row>
    <row r="37" hidden="1">
      <c r="A37" s="126">
        <v>46058.0</v>
      </c>
      <c r="B37" s="18" t="str">
        <f t="shared" si="1"/>
        <v>Thursday</v>
      </c>
      <c r="C37" s="17">
        <v>0.0</v>
      </c>
      <c r="D37" s="17">
        <v>0.0</v>
      </c>
      <c r="E37" s="17">
        <v>0.0</v>
      </c>
      <c r="F37" s="17">
        <v>1.0</v>
      </c>
      <c r="G37" s="17">
        <v>0.0</v>
      </c>
      <c r="H37" s="17">
        <v>1.0</v>
      </c>
      <c r="I37" s="17">
        <v>0.0</v>
      </c>
      <c r="J37" s="17">
        <v>0.0</v>
      </c>
      <c r="K37" s="17">
        <v>0.0</v>
      </c>
      <c r="L37" s="17">
        <v>0.0</v>
      </c>
      <c r="M37" s="17">
        <v>0.0</v>
      </c>
      <c r="N37" s="17">
        <v>0.0</v>
      </c>
      <c r="O37" s="17">
        <v>0.0</v>
      </c>
      <c r="P37" s="17">
        <v>0.0</v>
      </c>
      <c r="Q37" s="17">
        <v>0.0</v>
      </c>
      <c r="R37" s="17">
        <v>0.0</v>
      </c>
      <c r="S37" s="17">
        <v>0.0</v>
      </c>
      <c r="T37" s="17">
        <v>1.0</v>
      </c>
      <c r="U37" s="17">
        <v>1.0</v>
      </c>
      <c r="V37" s="17">
        <v>0.0</v>
      </c>
      <c r="W37" s="17">
        <v>0.0</v>
      </c>
      <c r="X37" s="17">
        <v>0.0</v>
      </c>
      <c r="Y37" s="17">
        <v>1.0</v>
      </c>
      <c r="Z37" s="17">
        <v>1.0</v>
      </c>
      <c r="AA37" s="17">
        <v>0.0</v>
      </c>
      <c r="AB37" s="17">
        <v>0.0</v>
      </c>
      <c r="AC37" s="17">
        <v>0.0</v>
      </c>
      <c r="AD37" s="17">
        <v>1.0</v>
      </c>
      <c r="AE37" s="17">
        <v>0.0</v>
      </c>
      <c r="AF37" s="17">
        <v>1.0</v>
      </c>
    </row>
    <row r="38" hidden="1">
      <c r="A38" s="126">
        <v>46059.0</v>
      </c>
      <c r="B38" s="18" t="str">
        <f t="shared" si="1"/>
        <v>Friday</v>
      </c>
      <c r="C38" s="17">
        <v>1.0</v>
      </c>
      <c r="D38" s="17">
        <v>0.0</v>
      </c>
      <c r="E38" s="17">
        <v>0.0</v>
      </c>
      <c r="F38" s="17">
        <v>0.0</v>
      </c>
      <c r="G38" s="17">
        <v>0.0</v>
      </c>
      <c r="H38" s="17">
        <v>1.0</v>
      </c>
      <c r="I38" s="17">
        <v>0.0</v>
      </c>
      <c r="J38" s="17">
        <v>0.0</v>
      </c>
      <c r="K38" s="17">
        <v>0.0</v>
      </c>
      <c r="L38" s="17">
        <v>0.0</v>
      </c>
      <c r="M38" s="17">
        <v>0.0</v>
      </c>
      <c r="N38" s="17">
        <v>1.0</v>
      </c>
      <c r="O38" s="17">
        <v>0.0</v>
      </c>
      <c r="P38" s="17">
        <v>1.0</v>
      </c>
      <c r="Q38" s="17">
        <v>1.0</v>
      </c>
      <c r="R38" s="17">
        <v>0.0</v>
      </c>
      <c r="S38" s="17">
        <v>0.0</v>
      </c>
      <c r="T38" s="17">
        <v>0.0</v>
      </c>
      <c r="U38" s="17">
        <v>1.0</v>
      </c>
      <c r="V38" s="17">
        <v>1.0</v>
      </c>
      <c r="W38" s="17">
        <v>1.0</v>
      </c>
      <c r="X38" s="17">
        <v>1.0</v>
      </c>
      <c r="Y38" s="17">
        <v>1.0</v>
      </c>
      <c r="Z38" s="17">
        <v>0.0</v>
      </c>
      <c r="AA38" s="17">
        <v>0.0</v>
      </c>
      <c r="AB38" s="17">
        <v>0.0</v>
      </c>
      <c r="AC38" s="17">
        <v>0.0</v>
      </c>
      <c r="AD38" s="17">
        <v>0.0</v>
      </c>
      <c r="AE38" s="17">
        <v>0.0</v>
      </c>
      <c r="AF38" s="17">
        <v>0.0</v>
      </c>
    </row>
    <row r="39" hidden="1">
      <c r="A39" s="126">
        <v>46060.0</v>
      </c>
      <c r="B39" s="18" t="str">
        <f t="shared" si="1"/>
        <v>Saturday</v>
      </c>
      <c r="C39" s="17">
        <v>0.0</v>
      </c>
      <c r="D39" s="17">
        <v>0.0</v>
      </c>
      <c r="E39" s="17">
        <v>0.0</v>
      </c>
      <c r="F39" s="17">
        <v>0.0</v>
      </c>
      <c r="G39" s="17">
        <v>0.0</v>
      </c>
      <c r="H39" s="17">
        <v>1.0</v>
      </c>
      <c r="I39" s="17">
        <v>0.0</v>
      </c>
      <c r="J39" s="17">
        <v>0.0</v>
      </c>
      <c r="K39" s="17">
        <v>0.0</v>
      </c>
      <c r="L39" s="17">
        <v>0.0</v>
      </c>
      <c r="M39" s="17">
        <v>0.0</v>
      </c>
      <c r="N39" s="17">
        <v>0.0</v>
      </c>
      <c r="O39" s="17">
        <v>0.0</v>
      </c>
      <c r="P39" s="17">
        <v>0.0</v>
      </c>
      <c r="Q39" s="17">
        <v>1.0</v>
      </c>
      <c r="R39" s="17">
        <v>1.0</v>
      </c>
      <c r="S39" s="17">
        <v>1.0</v>
      </c>
      <c r="T39" s="17">
        <v>0.0</v>
      </c>
      <c r="U39" s="17">
        <v>0.0</v>
      </c>
      <c r="V39" s="17">
        <v>0.0</v>
      </c>
      <c r="W39" s="17">
        <v>1.0</v>
      </c>
      <c r="X39" s="17">
        <v>0.0</v>
      </c>
      <c r="Y39" s="17">
        <v>0.0</v>
      </c>
      <c r="Z39" s="17">
        <v>0.0</v>
      </c>
      <c r="AA39" s="17">
        <v>1.0</v>
      </c>
      <c r="AB39" s="17">
        <v>1.0</v>
      </c>
      <c r="AC39" s="17">
        <v>0.0</v>
      </c>
      <c r="AD39" s="17">
        <v>1.0</v>
      </c>
      <c r="AE39" s="17">
        <v>0.0</v>
      </c>
      <c r="AF39" s="17">
        <v>1.0</v>
      </c>
    </row>
    <row r="40" hidden="1">
      <c r="A40" s="126">
        <v>46061.0</v>
      </c>
      <c r="B40" s="18" t="str">
        <f t="shared" si="1"/>
        <v>Sunday</v>
      </c>
      <c r="C40" s="17">
        <v>0.0</v>
      </c>
      <c r="D40" s="17">
        <v>0.0</v>
      </c>
      <c r="E40" s="17">
        <v>0.0</v>
      </c>
      <c r="F40" s="17">
        <v>0.0</v>
      </c>
      <c r="G40" s="17">
        <v>0.0</v>
      </c>
      <c r="H40" s="17">
        <v>1.0</v>
      </c>
      <c r="I40" s="17">
        <v>0.0</v>
      </c>
      <c r="J40" s="17">
        <v>1.0</v>
      </c>
      <c r="K40" s="17">
        <v>1.0</v>
      </c>
      <c r="L40" s="17">
        <v>0.0</v>
      </c>
      <c r="M40" s="17">
        <v>0.0</v>
      </c>
      <c r="N40" s="17">
        <v>0.0</v>
      </c>
      <c r="O40" s="17">
        <v>0.0</v>
      </c>
      <c r="P40" s="17">
        <v>0.0</v>
      </c>
      <c r="Q40" s="17">
        <v>0.0</v>
      </c>
      <c r="R40" s="17">
        <v>0.0</v>
      </c>
      <c r="S40" s="17">
        <v>0.0</v>
      </c>
      <c r="T40" s="17">
        <v>0.0</v>
      </c>
      <c r="U40" s="17">
        <v>0.0</v>
      </c>
      <c r="V40" s="17">
        <v>1.0</v>
      </c>
      <c r="W40" s="17">
        <v>0.0</v>
      </c>
      <c r="X40" s="17">
        <v>0.0</v>
      </c>
      <c r="Y40" s="17">
        <v>0.0</v>
      </c>
      <c r="Z40" s="17">
        <v>0.0</v>
      </c>
      <c r="AA40" s="17">
        <v>0.0</v>
      </c>
      <c r="AB40" s="17">
        <v>0.0</v>
      </c>
      <c r="AC40" s="17">
        <v>0.0</v>
      </c>
      <c r="AD40" s="17">
        <v>0.0</v>
      </c>
      <c r="AE40" s="17">
        <v>0.0</v>
      </c>
      <c r="AF40" s="17">
        <v>0.0</v>
      </c>
    </row>
    <row r="41" hidden="1">
      <c r="A41" s="126">
        <v>46062.0</v>
      </c>
      <c r="B41" s="18" t="str">
        <f t="shared" si="1"/>
        <v>Monday</v>
      </c>
      <c r="C41" s="17">
        <v>0.0</v>
      </c>
      <c r="D41" s="17">
        <v>0.0</v>
      </c>
      <c r="E41" s="17">
        <v>0.0</v>
      </c>
      <c r="F41" s="17">
        <v>0.0</v>
      </c>
      <c r="G41" s="17">
        <v>0.0</v>
      </c>
      <c r="H41" s="17">
        <v>1.0</v>
      </c>
      <c r="I41" s="17">
        <v>0.0</v>
      </c>
      <c r="J41" s="17">
        <v>0.0</v>
      </c>
      <c r="K41" s="17">
        <v>0.0</v>
      </c>
      <c r="L41" s="17">
        <v>0.0</v>
      </c>
      <c r="M41" s="17">
        <v>0.0</v>
      </c>
      <c r="N41" s="17">
        <v>0.0</v>
      </c>
      <c r="O41" s="17">
        <v>0.0</v>
      </c>
      <c r="P41" s="17">
        <v>0.0</v>
      </c>
      <c r="Q41" s="17">
        <v>0.0</v>
      </c>
      <c r="R41" s="17">
        <v>0.0</v>
      </c>
      <c r="S41" s="17">
        <v>0.0</v>
      </c>
      <c r="T41" s="17">
        <v>0.0</v>
      </c>
      <c r="U41" s="17">
        <v>0.0</v>
      </c>
      <c r="V41" s="17">
        <v>0.0</v>
      </c>
      <c r="W41" s="17">
        <v>0.0</v>
      </c>
      <c r="X41" s="17">
        <v>0.0</v>
      </c>
      <c r="Y41" s="17">
        <v>1.0</v>
      </c>
      <c r="Z41" s="17">
        <v>1.0</v>
      </c>
      <c r="AA41" s="17">
        <v>0.0</v>
      </c>
      <c r="AB41" s="17">
        <v>0.0</v>
      </c>
      <c r="AC41" s="17">
        <v>0.0</v>
      </c>
      <c r="AD41" s="17">
        <v>0.0</v>
      </c>
      <c r="AE41" s="17">
        <v>0.0</v>
      </c>
      <c r="AF41" s="17">
        <v>1.0</v>
      </c>
    </row>
    <row r="42" hidden="1">
      <c r="A42" s="126">
        <v>46063.0</v>
      </c>
      <c r="B42" s="18" t="str">
        <f t="shared" si="1"/>
        <v>Tuesday</v>
      </c>
      <c r="C42" s="17">
        <v>0.0</v>
      </c>
      <c r="D42" s="17">
        <v>0.0</v>
      </c>
      <c r="E42" s="17">
        <v>0.0</v>
      </c>
      <c r="F42" s="17">
        <v>0.0</v>
      </c>
      <c r="G42" s="17">
        <v>0.0</v>
      </c>
      <c r="H42" s="17">
        <v>1.0</v>
      </c>
      <c r="I42" s="17">
        <v>0.0</v>
      </c>
      <c r="J42" s="17">
        <v>0.0</v>
      </c>
      <c r="K42" s="17">
        <v>0.0</v>
      </c>
      <c r="L42" s="17">
        <v>0.0</v>
      </c>
      <c r="M42" s="17">
        <v>0.0</v>
      </c>
      <c r="N42" s="17">
        <v>0.0</v>
      </c>
      <c r="O42" s="17">
        <v>0.0</v>
      </c>
      <c r="P42" s="17">
        <v>0.0</v>
      </c>
      <c r="Q42" s="17">
        <v>0.0</v>
      </c>
      <c r="R42" s="17">
        <v>0.0</v>
      </c>
      <c r="S42" s="17">
        <v>0.0</v>
      </c>
      <c r="T42" s="17">
        <v>0.0</v>
      </c>
      <c r="U42" s="17">
        <v>1.0</v>
      </c>
      <c r="V42" s="17">
        <v>0.0</v>
      </c>
      <c r="W42" s="17">
        <v>0.0</v>
      </c>
      <c r="X42" s="17">
        <v>0.0</v>
      </c>
      <c r="Y42" s="17">
        <v>1.0</v>
      </c>
      <c r="Z42" s="17">
        <v>1.0</v>
      </c>
      <c r="AA42" s="17">
        <v>0.0</v>
      </c>
      <c r="AB42" s="17">
        <v>0.0</v>
      </c>
      <c r="AC42" s="17">
        <v>0.0</v>
      </c>
      <c r="AD42" s="17">
        <v>0.0</v>
      </c>
      <c r="AE42" s="17">
        <v>0.0</v>
      </c>
      <c r="AF42" s="17">
        <v>1.0</v>
      </c>
    </row>
    <row r="43" hidden="1">
      <c r="A43" s="126">
        <v>46064.0</v>
      </c>
      <c r="B43" s="18" t="str">
        <f t="shared" si="1"/>
        <v>Wednesday</v>
      </c>
      <c r="C43" s="17">
        <v>1.0</v>
      </c>
      <c r="D43" s="17">
        <v>0.0</v>
      </c>
      <c r="E43" s="17">
        <v>0.0</v>
      </c>
      <c r="F43" s="17">
        <v>0.0</v>
      </c>
      <c r="G43" s="17">
        <v>0.0</v>
      </c>
      <c r="H43" s="17">
        <v>1.0</v>
      </c>
      <c r="I43" s="17">
        <v>0.0</v>
      </c>
      <c r="J43" s="17">
        <v>0.0</v>
      </c>
      <c r="K43" s="17">
        <v>0.0</v>
      </c>
      <c r="L43" s="17">
        <v>1.0</v>
      </c>
      <c r="M43" s="17">
        <v>0.0</v>
      </c>
      <c r="N43" s="17">
        <v>0.0</v>
      </c>
      <c r="O43" s="17">
        <v>0.0</v>
      </c>
      <c r="P43" s="17">
        <v>0.0</v>
      </c>
      <c r="Q43" s="17">
        <v>0.0</v>
      </c>
      <c r="R43" s="17">
        <v>0.0</v>
      </c>
      <c r="S43" s="17">
        <v>0.0</v>
      </c>
      <c r="T43" s="17">
        <v>0.0</v>
      </c>
      <c r="U43" s="17">
        <v>0.0</v>
      </c>
      <c r="V43" s="17">
        <v>1.0</v>
      </c>
      <c r="W43" s="17">
        <v>0.0</v>
      </c>
      <c r="X43" s="17">
        <v>1.0</v>
      </c>
      <c r="Y43" s="17">
        <v>0.0</v>
      </c>
      <c r="Z43" s="17">
        <v>0.0</v>
      </c>
      <c r="AA43" s="17">
        <v>0.0</v>
      </c>
      <c r="AB43" s="17">
        <v>0.0</v>
      </c>
      <c r="AC43" s="17">
        <v>0.0</v>
      </c>
      <c r="AD43" s="17">
        <v>0.0</v>
      </c>
      <c r="AE43" s="17">
        <v>0.0</v>
      </c>
      <c r="AF43" s="17">
        <v>0.0</v>
      </c>
    </row>
    <row r="44" hidden="1">
      <c r="A44" s="126">
        <v>46065.0</v>
      </c>
      <c r="B44" s="18" t="str">
        <f t="shared" si="1"/>
        <v>Thursday</v>
      </c>
      <c r="C44" s="17">
        <v>0.0</v>
      </c>
      <c r="D44" s="17">
        <v>0.0</v>
      </c>
      <c r="E44" s="17">
        <v>0.0</v>
      </c>
      <c r="F44" s="17">
        <v>0.0</v>
      </c>
      <c r="G44" s="17">
        <v>0.0</v>
      </c>
      <c r="H44" s="17">
        <v>1.0</v>
      </c>
      <c r="I44" s="17">
        <v>0.0</v>
      </c>
      <c r="J44" s="17">
        <v>0.0</v>
      </c>
      <c r="K44" s="17">
        <v>0.0</v>
      </c>
      <c r="L44" s="17">
        <v>0.0</v>
      </c>
      <c r="M44" s="17">
        <v>0.0</v>
      </c>
      <c r="N44" s="17">
        <v>0.0</v>
      </c>
      <c r="O44" s="17">
        <v>0.0</v>
      </c>
      <c r="P44" s="17">
        <v>0.0</v>
      </c>
      <c r="Q44" s="17">
        <v>0.0</v>
      </c>
      <c r="R44" s="17">
        <v>0.0</v>
      </c>
      <c r="S44" s="17">
        <v>0.0</v>
      </c>
      <c r="T44" s="17">
        <v>0.0</v>
      </c>
      <c r="U44" s="17">
        <v>0.0</v>
      </c>
      <c r="V44" s="17">
        <v>1.0</v>
      </c>
      <c r="W44" s="17">
        <v>0.0</v>
      </c>
      <c r="X44" s="17">
        <v>0.0</v>
      </c>
      <c r="Y44" s="17">
        <v>0.0</v>
      </c>
      <c r="Z44" s="17">
        <v>1.0</v>
      </c>
      <c r="AA44" s="17">
        <v>0.0</v>
      </c>
      <c r="AB44" s="17">
        <v>0.0</v>
      </c>
      <c r="AC44" s="17">
        <v>0.0</v>
      </c>
      <c r="AD44" s="17">
        <v>0.0</v>
      </c>
      <c r="AE44" s="17">
        <v>0.0</v>
      </c>
      <c r="AF44" s="17">
        <v>0.0</v>
      </c>
    </row>
    <row r="45" hidden="1">
      <c r="A45" s="126">
        <v>46066.0</v>
      </c>
      <c r="B45" s="18" t="str">
        <f t="shared" si="1"/>
        <v>Friday</v>
      </c>
      <c r="C45" s="17">
        <v>0.0</v>
      </c>
      <c r="D45" s="17">
        <v>0.0</v>
      </c>
      <c r="E45" s="17">
        <v>0.0</v>
      </c>
      <c r="F45" s="17">
        <v>0.0</v>
      </c>
      <c r="G45" s="17">
        <v>0.0</v>
      </c>
      <c r="H45" s="17">
        <v>1.0</v>
      </c>
      <c r="I45" s="17">
        <v>0.0</v>
      </c>
      <c r="J45" s="17">
        <v>0.0</v>
      </c>
      <c r="K45" s="17">
        <v>0.0</v>
      </c>
      <c r="L45" s="17">
        <v>0.0</v>
      </c>
      <c r="M45" s="17">
        <v>0.0</v>
      </c>
      <c r="N45" s="17">
        <v>0.0</v>
      </c>
      <c r="O45" s="17">
        <v>0.0</v>
      </c>
      <c r="P45" s="17">
        <v>1.0</v>
      </c>
      <c r="Q45" s="17">
        <v>0.0</v>
      </c>
      <c r="R45" s="17">
        <v>0.0</v>
      </c>
      <c r="S45" s="17">
        <v>0.0</v>
      </c>
      <c r="T45" s="17">
        <v>1.0</v>
      </c>
      <c r="U45" s="17">
        <v>0.0</v>
      </c>
      <c r="V45" s="17">
        <v>1.0</v>
      </c>
      <c r="W45" s="17">
        <v>1.0</v>
      </c>
      <c r="X45" s="17">
        <v>0.0</v>
      </c>
      <c r="Y45" s="17">
        <v>1.0</v>
      </c>
      <c r="Z45" s="17">
        <v>1.0</v>
      </c>
      <c r="AA45" s="17">
        <v>0.0</v>
      </c>
      <c r="AB45" s="17">
        <v>0.0</v>
      </c>
      <c r="AC45" s="17">
        <v>0.0</v>
      </c>
      <c r="AD45" s="17">
        <v>0.0</v>
      </c>
      <c r="AE45" s="17">
        <v>0.0</v>
      </c>
      <c r="AF45" s="17">
        <v>1.0</v>
      </c>
    </row>
    <row r="46" hidden="1">
      <c r="A46" s="126">
        <v>46067.0</v>
      </c>
      <c r="B46" s="18" t="str">
        <f t="shared" si="1"/>
        <v>Saturday</v>
      </c>
      <c r="C46" s="17">
        <v>0.0</v>
      </c>
      <c r="D46" s="17">
        <v>0.0</v>
      </c>
      <c r="E46" s="17">
        <v>0.0</v>
      </c>
      <c r="F46" s="17">
        <v>0.0</v>
      </c>
      <c r="G46" s="17">
        <v>0.0</v>
      </c>
      <c r="H46" s="17">
        <v>1.0</v>
      </c>
      <c r="I46" s="17">
        <v>1.0</v>
      </c>
      <c r="J46" s="17">
        <v>0.0</v>
      </c>
      <c r="K46" s="17">
        <v>0.0</v>
      </c>
      <c r="L46" s="17">
        <v>1.0</v>
      </c>
      <c r="M46" s="17">
        <v>0.0</v>
      </c>
      <c r="N46" s="17">
        <v>0.0</v>
      </c>
      <c r="O46" s="17">
        <v>0.0</v>
      </c>
      <c r="P46" s="17">
        <v>0.0</v>
      </c>
      <c r="Q46" s="17">
        <v>0.0</v>
      </c>
      <c r="R46" s="17">
        <v>0.0</v>
      </c>
      <c r="S46" s="17">
        <v>1.0</v>
      </c>
      <c r="T46" s="17">
        <v>1.0</v>
      </c>
      <c r="U46" s="17">
        <v>1.0</v>
      </c>
      <c r="V46" s="17">
        <v>1.0</v>
      </c>
      <c r="W46" s="17">
        <v>1.0</v>
      </c>
      <c r="X46" s="17">
        <v>0.0</v>
      </c>
      <c r="Y46" s="17">
        <v>1.0</v>
      </c>
      <c r="Z46" s="17">
        <v>0.0</v>
      </c>
      <c r="AA46" s="17">
        <v>0.0</v>
      </c>
      <c r="AB46" s="17">
        <v>1.0</v>
      </c>
      <c r="AC46" s="17">
        <v>0.0</v>
      </c>
      <c r="AD46" s="17">
        <v>0.0</v>
      </c>
      <c r="AE46" s="17">
        <v>0.0</v>
      </c>
      <c r="AF46" s="17">
        <v>1.0</v>
      </c>
    </row>
    <row r="47" hidden="1">
      <c r="A47" s="126">
        <v>46068.0</v>
      </c>
      <c r="B47" s="18" t="str">
        <f t="shared" si="1"/>
        <v>Sunday</v>
      </c>
      <c r="C47" s="17">
        <v>1.0</v>
      </c>
      <c r="D47" s="17">
        <v>1.0</v>
      </c>
      <c r="E47" s="17">
        <v>0.0</v>
      </c>
      <c r="F47" s="17">
        <v>0.0</v>
      </c>
      <c r="G47" s="17">
        <v>0.0</v>
      </c>
      <c r="H47" s="17">
        <v>1.0</v>
      </c>
      <c r="I47" s="17">
        <v>0.0</v>
      </c>
      <c r="J47" s="17">
        <v>0.0</v>
      </c>
      <c r="K47" s="17">
        <v>1.0</v>
      </c>
      <c r="L47" s="17">
        <v>0.0</v>
      </c>
      <c r="M47" s="17">
        <v>0.0</v>
      </c>
      <c r="N47" s="17">
        <v>1.0</v>
      </c>
      <c r="O47" s="17">
        <v>0.0</v>
      </c>
      <c r="P47" s="17">
        <v>0.0</v>
      </c>
      <c r="Q47" s="17">
        <v>0.0</v>
      </c>
      <c r="R47" s="17">
        <v>1.0</v>
      </c>
      <c r="S47" s="17">
        <v>1.0</v>
      </c>
      <c r="T47" s="17">
        <v>0.0</v>
      </c>
      <c r="U47" s="17">
        <v>0.0</v>
      </c>
      <c r="V47" s="17">
        <v>0.0</v>
      </c>
      <c r="W47" s="17">
        <v>0.0</v>
      </c>
      <c r="X47" s="17">
        <v>0.0</v>
      </c>
      <c r="Y47" s="17">
        <v>1.0</v>
      </c>
      <c r="Z47" s="17">
        <v>0.0</v>
      </c>
      <c r="AA47" s="17">
        <v>0.0</v>
      </c>
      <c r="AB47" s="17">
        <v>0.0</v>
      </c>
      <c r="AC47" s="17">
        <v>1.0</v>
      </c>
      <c r="AD47" s="17">
        <v>1.0</v>
      </c>
      <c r="AE47" s="17">
        <v>0.0</v>
      </c>
      <c r="AF47" s="17">
        <v>1.0</v>
      </c>
    </row>
    <row r="48" hidden="1">
      <c r="A48" s="126">
        <v>46069.0</v>
      </c>
      <c r="B48" s="18" t="str">
        <f t="shared" si="1"/>
        <v>Monday</v>
      </c>
      <c r="C48" s="17">
        <v>1.0</v>
      </c>
      <c r="D48" s="17">
        <v>1.0</v>
      </c>
      <c r="E48" s="17">
        <v>1.0</v>
      </c>
      <c r="F48" s="17">
        <v>0.0</v>
      </c>
      <c r="G48" s="17">
        <v>0.0</v>
      </c>
      <c r="H48" s="17">
        <v>1.0</v>
      </c>
      <c r="I48" s="17">
        <v>1.0</v>
      </c>
      <c r="J48" s="17">
        <v>1.0</v>
      </c>
      <c r="K48" s="17">
        <v>1.0</v>
      </c>
      <c r="L48" s="17">
        <v>0.0</v>
      </c>
      <c r="M48" s="17">
        <v>1.0</v>
      </c>
      <c r="N48" s="17">
        <v>1.0</v>
      </c>
      <c r="O48" s="17">
        <v>0.0</v>
      </c>
      <c r="P48" s="17">
        <v>1.0</v>
      </c>
      <c r="Q48" s="17">
        <v>0.0</v>
      </c>
      <c r="R48" s="17">
        <v>1.0</v>
      </c>
      <c r="S48" s="17">
        <v>1.0</v>
      </c>
      <c r="T48" s="17">
        <v>1.0</v>
      </c>
      <c r="U48" s="17">
        <v>0.0</v>
      </c>
      <c r="V48" s="17">
        <v>1.0</v>
      </c>
      <c r="W48" s="17">
        <v>1.0</v>
      </c>
      <c r="X48" s="17">
        <v>1.0</v>
      </c>
      <c r="Y48" s="17">
        <v>1.0</v>
      </c>
      <c r="Z48" s="17">
        <v>1.0</v>
      </c>
      <c r="AA48" s="17">
        <v>1.0</v>
      </c>
      <c r="AB48" s="17">
        <v>1.0</v>
      </c>
      <c r="AC48" s="17">
        <v>0.0</v>
      </c>
      <c r="AD48" s="17">
        <v>1.0</v>
      </c>
      <c r="AE48" s="17">
        <v>1.0</v>
      </c>
      <c r="AF48" s="17">
        <v>1.0</v>
      </c>
    </row>
    <row r="49" hidden="1">
      <c r="A49" s="126">
        <v>46070.0</v>
      </c>
      <c r="B49" s="18" t="str">
        <f t="shared" si="1"/>
        <v>Tuesday</v>
      </c>
      <c r="C49" s="17">
        <v>1.0</v>
      </c>
      <c r="D49" s="17">
        <v>1.0</v>
      </c>
      <c r="E49" s="17">
        <v>1.0</v>
      </c>
      <c r="F49" s="17">
        <v>0.0</v>
      </c>
      <c r="G49" s="17">
        <v>1.0</v>
      </c>
      <c r="H49" s="17">
        <v>1.0</v>
      </c>
      <c r="I49" s="17">
        <v>1.0</v>
      </c>
      <c r="J49" s="17">
        <v>0.0</v>
      </c>
      <c r="K49" s="17">
        <v>1.0</v>
      </c>
      <c r="L49" s="17">
        <v>0.0</v>
      </c>
      <c r="M49" s="17">
        <v>1.0</v>
      </c>
      <c r="N49" s="17">
        <v>1.0</v>
      </c>
      <c r="O49" s="17">
        <v>1.0</v>
      </c>
      <c r="P49" s="17">
        <v>0.0</v>
      </c>
      <c r="Q49" s="17">
        <v>0.0</v>
      </c>
      <c r="R49" s="17">
        <v>1.0</v>
      </c>
      <c r="S49" s="17">
        <v>1.0</v>
      </c>
      <c r="T49" s="17">
        <v>1.0</v>
      </c>
      <c r="U49" s="17">
        <v>1.0</v>
      </c>
      <c r="V49" s="17">
        <v>1.0</v>
      </c>
      <c r="W49" s="17">
        <v>1.0</v>
      </c>
      <c r="X49" s="17">
        <v>1.0</v>
      </c>
      <c r="Y49" s="17">
        <v>1.0</v>
      </c>
      <c r="Z49" s="17">
        <v>1.0</v>
      </c>
      <c r="AA49" s="17">
        <v>0.0</v>
      </c>
      <c r="AB49" s="17">
        <v>1.0</v>
      </c>
      <c r="AC49" s="17">
        <v>1.0</v>
      </c>
      <c r="AD49" s="17">
        <v>1.0</v>
      </c>
      <c r="AE49" s="17">
        <v>1.0</v>
      </c>
      <c r="AF49" s="17">
        <v>1.0</v>
      </c>
    </row>
    <row r="50" hidden="1">
      <c r="A50" s="126">
        <v>46071.0</v>
      </c>
      <c r="B50" s="18" t="str">
        <f t="shared" si="1"/>
        <v>Wednesday</v>
      </c>
      <c r="C50" s="17">
        <v>0.0</v>
      </c>
      <c r="D50" s="17">
        <v>0.0</v>
      </c>
      <c r="E50" s="17">
        <v>0.0</v>
      </c>
      <c r="F50" s="17">
        <v>0.0</v>
      </c>
      <c r="G50" s="17">
        <v>0.0</v>
      </c>
      <c r="H50" s="17">
        <v>1.0</v>
      </c>
      <c r="I50" s="17">
        <v>0.0</v>
      </c>
      <c r="J50" s="17">
        <v>0.0</v>
      </c>
      <c r="K50" s="17">
        <v>0.0</v>
      </c>
      <c r="L50" s="17">
        <v>0.0</v>
      </c>
      <c r="M50" s="17">
        <v>0.0</v>
      </c>
      <c r="N50" s="17">
        <v>0.0</v>
      </c>
      <c r="O50" s="17">
        <v>0.0</v>
      </c>
      <c r="P50" s="17">
        <v>0.0</v>
      </c>
      <c r="Q50" s="17">
        <v>0.0</v>
      </c>
      <c r="R50" s="17">
        <v>0.0</v>
      </c>
      <c r="S50" s="17">
        <v>0.0</v>
      </c>
      <c r="T50" s="17">
        <v>0.0</v>
      </c>
      <c r="U50" s="17">
        <v>0.0</v>
      </c>
      <c r="V50" s="17">
        <v>1.0</v>
      </c>
      <c r="W50" s="17">
        <v>1.0</v>
      </c>
      <c r="X50" s="17">
        <v>0.0</v>
      </c>
      <c r="Y50" s="17">
        <v>1.0</v>
      </c>
      <c r="Z50" s="17">
        <v>1.0</v>
      </c>
      <c r="AA50" s="17">
        <v>0.0</v>
      </c>
      <c r="AB50" s="17">
        <v>0.0</v>
      </c>
      <c r="AC50" s="17">
        <v>0.0</v>
      </c>
      <c r="AD50" s="17">
        <v>1.0</v>
      </c>
      <c r="AE50" s="17">
        <v>0.0</v>
      </c>
      <c r="AF50" s="17">
        <v>1.0</v>
      </c>
    </row>
    <row r="51" hidden="1">
      <c r="A51" s="126">
        <v>46072.0</v>
      </c>
      <c r="B51" s="18" t="str">
        <f t="shared" si="1"/>
        <v>Thursday</v>
      </c>
      <c r="C51" s="17">
        <v>0.0</v>
      </c>
      <c r="D51" s="17">
        <v>0.0</v>
      </c>
      <c r="E51" s="17">
        <v>0.0</v>
      </c>
      <c r="F51" s="17">
        <v>0.0</v>
      </c>
      <c r="G51" s="17">
        <v>0.0</v>
      </c>
      <c r="H51" s="17">
        <v>0.0</v>
      </c>
      <c r="I51" s="17">
        <v>0.0</v>
      </c>
      <c r="J51" s="17">
        <v>0.0</v>
      </c>
      <c r="K51" s="17">
        <v>0.0</v>
      </c>
      <c r="L51" s="17">
        <v>0.0</v>
      </c>
      <c r="M51" s="17">
        <v>0.0</v>
      </c>
      <c r="N51" s="17">
        <v>0.0</v>
      </c>
      <c r="O51" s="17">
        <v>0.0</v>
      </c>
      <c r="P51" s="17">
        <v>0.0</v>
      </c>
      <c r="Q51" s="17">
        <v>0.0</v>
      </c>
      <c r="R51" s="17">
        <v>0.0</v>
      </c>
      <c r="S51" s="17">
        <v>0.0</v>
      </c>
      <c r="T51" s="17">
        <v>0.0</v>
      </c>
      <c r="U51" s="17">
        <v>0.0</v>
      </c>
      <c r="V51" s="17">
        <v>0.0</v>
      </c>
      <c r="W51" s="17">
        <v>0.0</v>
      </c>
      <c r="X51" s="17">
        <v>0.0</v>
      </c>
      <c r="Y51" s="17">
        <v>0.0</v>
      </c>
      <c r="Z51" s="17">
        <v>0.0</v>
      </c>
      <c r="AA51" s="17">
        <v>0.0</v>
      </c>
      <c r="AB51" s="17">
        <v>0.0</v>
      </c>
      <c r="AC51" s="17">
        <v>0.0</v>
      </c>
      <c r="AD51" s="17">
        <v>0.0</v>
      </c>
      <c r="AE51" s="17">
        <v>0.0</v>
      </c>
      <c r="AF51" s="17">
        <v>0.0</v>
      </c>
    </row>
    <row r="52" hidden="1">
      <c r="A52" s="126">
        <v>46073.0</v>
      </c>
      <c r="B52" s="18" t="str">
        <f t="shared" si="1"/>
        <v>Friday</v>
      </c>
      <c r="C52" s="17">
        <v>0.0</v>
      </c>
      <c r="D52" s="17">
        <v>0.0</v>
      </c>
      <c r="E52" s="17">
        <v>0.0</v>
      </c>
      <c r="F52" s="17">
        <v>0.0</v>
      </c>
      <c r="G52" s="17">
        <v>0.0</v>
      </c>
      <c r="H52" s="17">
        <v>0.0</v>
      </c>
      <c r="I52" s="17">
        <v>0.0</v>
      </c>
      <c r="J52" s="17">
        <v>0.0</v>
      </c>
      <c r="K52" s="17">
        <v>0.0</v>
      </c>
      <c r="L52" s="17">
        <v>0.0</v>
      </c>
      <c r="M52" s="17">
        <v>0.0</v>
      </c>
      <c r="N52" s="17">
        <v>0.0</v>
      </c>
      <c r="O52" s="17">
        <v>0.0</v>
      </c>
      <c r="P52" s="17">
        <v>0.0</v>
      </c>
      <c r="Q52" s="17">
        <v>0.0</v>
      </c>
      <c r="R52" s="17">
        <v>0.0</v>
      </c>
      <c r="S52" s="17">
        <v>0.0</v>
      </c>
      <c r="T52" s="17">
        <v>0.0</v>
      </c>
      <c r="U52" s="17">
        <v>0.0</v>
      </c>
      <c r="V52" s="17">
        <v>0.0</v>
      </c>
      <c r="W52" s="17">
        <v>0.0</v>
      </c>
      <c r="X52" s="17">
        <v>0.0</v>
      </c>
      <c r="Y52" s="17">
        <v>0.0</v>
      </c>
      <c r="Z52" s="17">
        <v>0.0</v>
      </c>
      <c r="AA52" s="17">
        <v>0.0</v>
      </c>
      <c r="AB52" s="17">
        <v>0.0</v>
      </c>
      <c r="AC52" s="17">
        <v>0.0</v>
      </c>
      <c r="AD52" s="17">
        <v>0.0</v>
      </c>
      <c r="AE52" s="17">
        <v>0.0</v>
      </c>
      <c r="AF52" s="17">
        <v>0.0</v>
      </c>
    </row>
    <row r="53" hidden="1">
      <c r="A53" s="126">
        <v>46074.0</v>
      </c>
      <c r="B53" s="18" t="str">
        <f t="shared" si="1"/>
        <v>Saturday</v>
      </c>
      <c r="C53" s="17">
        <v>0.0</v>
      </c>
      <c r="D53" s="17">
        <v>0.0</v>
      </c>
      <c r="E53" s="17">
        <v>0.0</v>
      </c>
      <c r="F53" s="17">
        <v>0.0</v>
      </c>
      <c r="G53" s="17">
        <v>0.0</v>
      </c>
      <c r="H53" s="17">
        <v>0.0</v>
      </c>
      <c r="I53" s="17">
        <v>0.0</v>
      </c>
      <c r="J53" s="17">
        <v>0.0</v>
      </c>
      <c r="K53" s="17">
        <v>0.0</v>
      </c>
      <c r="L53" s="17">
        <v>0.0</v>
      </c>
      <c r="M53" s="17">
        <v>0.0</v>
      </c>
      <c r="N53" s="17">
        <v>0.0</v>
      </c>
      <c r="O53" s="17">
        <v>0.0</v>
      </c>
      <c r="P53" s="17">
        <v>0.0</v>
      </c>
      <c r="Q53" s="17">
        <v>0.0</v>
      </c>
      <c r="R53" s="17">
        <v>0.0</v>
      </c>
      <c r="S53" s="17">
        <v>1.0</v>
      </c>
      <c r="T53" s="17">
        <v>0.0</v>
      </c>
      <c r="U53" s="17">
        <v>0.0</v>
      </c>
      <c r="V53" s="17">
        <v>0.0</v>
      </c>
      <c r="W53" s="17">
        <v>1.0</v>
      </c>
      <c r="X53" s="17">
        <v>0.0</v>
      </c>
      <c r="Y53" s="17">
        <v>0.0</v>
      </c>
      <c r="Z53" s="17">
        <v>0.0</v>
      </c>
      <c r="AA53" s="17">
        <v>1.0</v>
      </c>
      <c r="AB53" s="17">
        <v>1.0</v>
      </c>
      <c r="AC53" s="17">
        <v>0.0</v>
      </c>
      <c r="AD53" s="17">
        <v>0.0</v>
      </c>
      <c r="AE53" s="17">
        <v>0.0</v>
      </c>
      <c r="AF53" s="17">
        <v>1.0</v>
      </c>
    </row>
    <row r="54" hidden="1">
      <c r="A54" s="126">
        <v>46075.0</v>
      </c>
      <c r="B54" s="18" t="str">
        <f t="shared" si="1"/>
        <v>Sunday</v>
      </c>
      <c r="C54" s="17">
        <v>0.0</v>
      </c>
      <c r="D54" s="17">
        <v>0.0</v>
      </c>
      <c r="E54" s="17">
        <v>0.0</v>
      </c>
      <c r="F54" s="17">
        <v>0.0</v>
      </c>
      <c r="G54" s="17">
        <v>0.0</v>
      </c>
      <c r="H54" s="17">
        <v>0.0</v>
      </c>
      <c r="I54" s="17">
        <v>0.0</v>
      </c>
      <c r="J54" s="17">
        <v>0.0</v>
      </c>
      <c r="K54" s="17">
        <v>0.0</v>
      </c>
      <c r="L54" s="17">
        <v>0.0</v>
      </c>
      <c r="M54" s="17">
        <v>0.0</v>
      </c>
      <c r="N54" s="17">
        <v>0.0</v>
      </c>
      <c r="O54" s="17">
        <v>0.0</v>
      </c>
      <c r="P54" s="17">
        <v>0.0</v>
      </c>
      <c r="Q54" s="17">
        <v>0.0</v>
      </c>
      <c r="R54" s="17">
        <v>0.0</v>
      </c>
      <c r="S54" s="17">
        <v>0.0</v>
      </c>
      <c r="T54" s="17">
        <v>0.0</v>
      </c>
      <c r="U54" s="17">
        <v>0.0</v>
      </c>
      <c r="V54" s="17">
        <v>0.0</v>
      </c>
      <c r="W54" s="17">
        <v>0.0</v>
      </c>
      <c r="X54" s="17">
        <v>0.0</v>
      </c>
      <c r="Y54" s="17">
        <v>0.0</v>
      </c>
      <c r="Z54" s="17">
        <v>0.0</v>
      </c>
      <c r="AA54" s="17">
        <v>0.0</v>
      </c>
      <c r="AB54" s="17">
        <v>0.0</v>
      </c>
      <c r="AC54" s="17">
        <v>0.0</v>
      </c>
      <c r="AD54" s="17">
        <v>0.0</v>
      </c>
      <c r="AE54" s="17">
        <v>0.0</v>
      </c>
      <c r="AF54" s="17">
        <v>0.0</v>
      </c>
    </row>
    <row r="55" hidden="1">
      <c r="A55" s="126">
        <v>46076.0</v>
      </c>
      <c r="B55" s="18" t="str">
        <f t="shared" si="1"/>
        <v>Monday</v>
      </c>
      <c r="C55" s="17">
        <v>0.0</v>
      </c>
      <c r="D55" s="17">
        <v>0.0</v>
      </c>
      <c r="E55" s="17">
        <v>0.0</v>
      </c>
      <c r="F55" s="17">
        <v>0.0</v>
      </c>
      <c r="G55" s="17">
        <v>0.0</v>
      </c>
      <c r="H55" s="17">
        <v>0.0</v>
      </c>
      <c r="I55" s="17">
        <v>0.0</v>
      </c>
      <c r="J55" s="17">
        <v>0.0</v>
      </c>
      <c r="K55" s="17">
        <v>0.0</v>
      </c>
      <c r="L55" s="17">
        <v>0.0</v>
      </c>
      <c r="M55" s="17">
        <v>0.0</v>
      </c>
      <c r="N55" s="17">
        <v>0.0</v>
      </c>
      <c r="O55" s="17">
        <v>0.0</v>
      </c>
      <c r="P55" s="17">
        <v>0.0</v>
      </c>
      <c r="Q55" s="17">
        <v>0.0</v>
      </c>
      <c r="R55" s="17">
        <v>0.0</v>
      </c>
      <c r="S55" s="17">
        <v>0.0</v>
      </c>
      <c r="T55" s="17">
        <v>0.0</v>
      </c>
      <c r="U55" s="17">
        <v>0.0</v>
      </c>
      <c r="V55" s="17">
        <v>0.0</v>
      </c>
      <c r="W55" s="17">
        <v>0.0</v>
      </c>
      <c r="X55" s="17">
        <v>0.0</v>
      </c>
      <c r="Y55" s="17">
        <v>1.0</v>
      </c>
      <c r="Z55" s="17">
        <v>0.0</v>
      </c>
      <c r="AA55" s="17">
        <v>0.0</v>
      </c>
      <c r="AB55" s="17">
        <v>0.0</v>
      </c>
      <c r="AC55" s="17">
        <v>0.0</v>
      </c>
      <c r="AD55" s="17">
        <v>0.0</v>
      </c>
      <c r="AE55" s="17">
        <v>0.0</v>
      </c>
      <c r="AF55" s="17">
        <v>0.0</v>
      </c>
    </row>
    <row r="56" hidden="1">
      <c r="A56" s="126">
        <v>46077.0</v>
      </c>
      <c r="B56" s="18" t="str">
        <f t="shared" si="1"/>
        <v>Tuesday</v>
      </c>
      <c r="C56" s="17">
        <v>1.0</v>
      </c>
      <c r="D56" s="17">
        <v>1.0</v>
      </c>
      <c r="E56" s="17">
        <v>0.0</v>
      </c>
      <c r="F56" s="17">
        <v>0.0</v>
      </c>
      <c r="G56" s="17">
        <v>0.0</v>
      </c>
      <c r="H56" s="17">
        <v>0.0</v>
      </c>
      <c r="I56" s="17">
        <v>0.0</v>
      </c>
      <c r="J56" s="17">
        <v>0.0</v>
      </c>
      <c r="K56" s="17">
        <v>0.0</v>
      </c>
      <c r="L56" s="17">
        <v>0.0</v>
      </c>
      <c r="M56" s="17">
        <v>0.0</v>
      </c>
      <c r="N56" s="17">
        <v>0.0</v>
      </c>
      <c r="O56" s="17">
        <v>0.0</v>
      </c>
      <c r="P56" s="17">
        <v>0.0</v>
      </c>
      <c r="Q56" s="17">
        <v>0.0</v>
      </c>
      <c r="R56" s="17">
        <v>0.0</v>
      </c>
      <c r="S56" s="17">
        <v>0.0</v>
      </c>
      <c r="T56" s="17">
        <v>0.0</v>
      </c>
      <c r="U56" s="17">
        <v>0.0</v>
      </c>
      <c r="V56" s="17">
        <v>1.0</v>
      </c>
      <c r="W56" s="17">
        <v>0.0</v>
      </c>
      <c r="X56" s="17">
        <v>0.0</v>
      </c>
      <c r="Y56" s="17">
        <v>1.0</v>
      </c>
      <c r="Z56" s="17">
        <v>0.0</v>
      </c>
      <c r="AA56" s="17">
        <v>0.0</v>
      </c>
      <c r="AB56" s="17">
        <v>0.0</v>
      </c>
      <c r="AC56" s="17">
        <v>0.0</v>
      </c>
      <c r="AD56" s="17">
        <v>0.0</v>
      </c>
      <c r="AE56" s="17">
        <v>0.0</v>
      </c>
      <c r="AF56" s="17">
        <v>0.0</v>
      </c>
    </row>
    <row r="57" hidden="1">
      <c r="A57" s="126">
        <v>46078.0</v>
      </c>
      <c r="B57" s="18" t="str">
        <f t="shared" si="1"/>
        <v>Wednesday</v>
      </c>
      <c r="C57" s="17">
        <v>0.0</v>
      </c>
      <c r="D57" s="17">
        <v>1.0</v>
      </c>
      <c r="E57" s="17">
        <v>0.0</v>
      </c>
      <c r="F57" s="17">
        <v>0.0</v>
      </c>
      <c r="G57" s="17">
        <v>0.0</v>
      </c>
      <c r="H57" s="17">
        <v>1.0</v>
      </c>
      <c r="I57" s="17">
        <v>0.0</v>
      </c>
      <c r="J57" s="17">
        <v>0.0</v>
      </c>
      <c r="K57" s="17">
        <v>0.0</v>
      </c>
      <c r="L57" s="17">
        <v>0.0</v>
      </c>
      <c r="M57" s="17">
        <v>1.0</v>
      </c>
      <c r="N57" s="17">
        <v>0.0</v>
      </c>
      <c r="O57" s="17">
        <v>0.0</v>
      </c>
      <c r="P57" s="17">
        <v>0.0</v>
      </c>
      <c r="Q57" s="17">
        <v>0.0</v>
      </c>
      <c r="R57" s="17">
        <v>0.0</v>
      </c>
      <c r="S57" s="17">
        <v>0.0</v>
      </c>
      <c r="T57" s="17">
        <v>0.0</v>
      </c>
      <c r="U57" s="17">
        <v>0.0</v>
      </c>
      <c r="V57" s="17">
        <v>0.0</v>
      </c>
      <c r="W57" s="17">
        <v>0.0</v>
      </c>
      <c r="X57" s="17">
        <v>0.0</v>
      </c>
      <c r="Y57" s="17">
        <v>0.0</v>
      </c>
      <c r="Z57" s="17">
        <v>0.0</v>
      </c>
      <c r="AA57" s="17">
        <v>0.0</v>
      </c>
      <c r="AB57" s="17">
        <v>0.0</v>
      </c>
      <c r="AC57" s="17">
        <v>0.0</v>
      </c>
      <c r="AD57" s="17">
        <v>0.0</v>
      </c>
      <c r="AE57" s="17">
        <v>0.0</v>
      </c>
      <c r="AF57" s="17">
        <v>0.0</v>
      </c>
    </row>
    <row r="58" hidden="1">
      <c r="A58" s="126">
        <v>46079.0</v>
      </c>
      <c r="B58" s="18" t="str">
        <f t="shared" si="1"/>
        <v>Thursday</v>
      </c>
      <c r="C58" s="17">
        <v>0.0</v>
      </c>
      <c r="D58" s="17">
        <v>1.0</v>
      </c>
      <c r="E58" s="17">
        <v>0.0</v>
      </c>
      <c r="F58" s="17">
        <v>0.0</v>
      </c>
      <c r="G58" s="17">
        <v>0.0</v>
      </c>
      <c r="H58" s="17">
        <v>1.0</v>
      </c>
      <c r="I58" s="17">
        <v>0.0</v>
      </c>
      <c r="J58" s="17">
        <v>0.0</v>
      </c>
      <c r="K58" s="17">
        <v>0.0</v>
      </c>
      <c r="L58" s="17">
        <v>0.0</v>
      </c>
      <c r="M58" s="17">
        <v>1.0</v>
      </c>
      <c r="N58" s="17">
        <v>0.0</v>
      </c>
      <c r="O58" s="17">
        <v>0.0</v>
      </c>
      <c r="P58" s="17">
        <v>0.0</v>
      </c>
      <c r="Q58" s="17">
        <v>0.0</v>
      </c>
      <c r="R58" s="17">
        <v>0.0</v>
      </c>
      <c r="S58" s="17">
        <v>0.0</v>
      </c>
      <c r="T58" s="17">
        <v>0.0</v>
      </c>
      <c r="U58" s="17">
        <v>0.0</v>
      </c>
      <c r="V58" s="17">
        <v>0.0</v>
      </c>
      <c r="W58" s="17">
        <v>0.0</v>
      </c>
      <c r="X58" s="17">
        <v>0.0</v>
      </c>
      <c r="Y58" s="17">
        <v>0.0</v>
      </c>
      <c r="Z58" s="17">
        <v>0.0</v>
      </c>
      <c r="AA58" s="17">
        <v>0.0</v>
      </c>
      <c r="AB58" s="17">
        <v>0.0</v>
      </c>
      <c r="AC58" s="17">
        <v>0.0</v>
      </c>
      <c r="AD58" s="17">
        <v>0.0</v>
      </c>
      <c r="AE58" s="17">
        <v>0.0</v>
      </c>
      <c r="AF58" s="17">
        <v>0.0</v>
      </c>
    </row>
    <row r="59" hidden="1">
      <c r="A59" s="126">
        <v>46080.0</v>
      </c>
      <c r="B59" s="18" t="str">
        <f t="shared" si="1"/>
        <v>Friday</v>
      </c>
      <c r="C59" s="17">
        <v>0.0</v>
      </c>
      <c r="D59" s="17">
        <v>1.0</v>
      </c>
      <c r="E59" s="17">
        <v>0.0</v>
      </c>
      <c r="F59" s="17">
        <v>0.0</v>
      </c>
      <c r="G59" s="17">
        <v>0.0</v>
      </c>
      <c r="H59" s="17">
        <v>1.0</v>
      </c>
      <c r="I59" s="17">
        <v>0.0</v>
      </c>
      <c r="J59" s="17">
        <v>0.0</v>
      </c>
      <c r="K59" s="17">
        <v>0.0</v>
      </c>
      <c r="L59" s="17">
        <v>1.0</v>
      </c>
      <c r="M59" s="17">
        <v>0.0</v>
      </c>
      <c r="N59" s="17">
        <v>0.0</v>
      </c>
      <c r="O59" s="17">
        <v>0.0</v>
      </c>
      <c r="P59" s="17">
        <v>0.0</v>
      </c>
      <c r="Q59" s="17">
        <v>1.0</v>
      </c>
      <c r="R59" s="17">
        <v>0.0</v>
      </c>
      <c r="S59" s="17">
        <v>0.0</v>
      </c>
      <c r="T59" s="17">
        <v>0.0</v>
      </c>
      <c r="U59" s="17">
        <v>0.0</v>
      </c>
      <c r="V59" s="17">
        <v>1.0</v>
      </c>
      <c r="W59" s="17">
        <v>0.0</v>
      </c>
      <c r="X59" s="17">
        <v>0.0</v>
      </c>
      <c r="Y59" s="17">
        <v>1.0</v>
      </c>
      <c r="Z59" s="17">
        <v>1.0</v>
      </c>
      <c r="AA59" s="17">
        <v>1.0</v>
      </c>
      <c r="AB59" s="17">
        <v>1.0</v>
      </c>
      <c r="AC59" s="17">
        <v>0.0</v>
      </c>
      <c r="AD59" s="17">
        <v>1.0</v>
      </c>
      <c r="AE59" s="17">
        <v>0.0</v>
      </c>
      <c r="AF59" s="17">
        <v>1.0</v>
      </c>
    </row>
    <row r="60" hidden="1">
      <c r="A60" s="126">
        <v>46081.0</v>
      </c>
      <c r="B60" s="18" t="str">
        <f t="shared" si="1"/>
        <v>Saturday</v>
      </c>
      <c r="C60" s="17">
        <v>0.0</v>
      </c>
      <c r="D60" s="17">
        <v>1.0</v>
      </c>
      <c r="E60" s="17">
        <v>1.0</v>
      </c>
      <c r="F60" s="17">
        <v>0.0</v>
      </c>
      <c r="G60" s="17">
        <v>0.0</v>
      </c>
      <c r="H60" s="17">
        <v>1.0</v>
      </c>
      <c r="I60" s="17">
        <v>0.0</v>
      </c>
      <c r="J60" s="17">
        <v>0.0</v>
      </c>
      <c r="K60" s="17">
        <v>0.0</v>
      </c>
      <c r="L60" s="17">
        <v>1.0</v>
      </c>
      <c r="M60" s="17">
        <v>1.0</v>
      </c>
      <c r="N60" s="17">
        <v>0.0</v>
      </c>
      <c r="O60" s="17">
        <v>0.0</v>
      </c>
      <c r="P60" s="17">
        <v>0.0</v>
      </c>
      <c r="Q60" s="17">
        <v>1.0</v>
      </c>
      <c r="R60" s="17">
        <v>0.0</v>
      </c>
      <c r="S60" s="17">
        <v>1.0</v>
      </c>
      <c r="T60" s="17">
        <v>1.0</v>
      </c>
      <c r="U60" s="17">
        <v>0.0</v>
      </c>
      <c r="V60" s="17">
        <v>1.0</v>
      </c>
      <c r="W60" s="17">
        <v>1.0</v>
      </c>
      <c r="X60" s="17">
        <v>0.0</v>
      </c>
      <c r="Y60" s="17">
        <v>1.0</v>
      </c>
      <c r="Z60" s="17">
        <v>1.0</v>
      </c>
      <c r="AA60" s="17">
        <v>1.0</v>
      </c>
      <c r="AB60" s="17">
        <v>1.0</v>
      </c>
      <c r="AC60" s="17">
        <v>0.0</v>
      </c>
      <c r="AD60" s="17">
        <v>0.0</v>
      </c>
      <c r="AE60" s="17">
        <v>1.0</v>
      </c>
      <c r="AF60" s="17">
        <v>0.0</v>
      </c>
    </row>
    <row r="61">
      <c r="A61" s="126">
        <v>46082.0</v>
      </c>
      <c r="B61" s="18" t="str">
        <f t="shared" si="1"/>
        <v>Sunday</v>
      </c>
      <c r="C61" s="17">
        <v>0.0</v>
      </c>
      <c r="D61" s="17">
        <v>1.0</v>
      </c>
      <c r="E61" s="17">
        <v>0.0</v>
      </c>
      <c r="F61" s="17">
        <v>0.0</v>
      </c>
      <c r="G61" s="17">
        <v>0.0</v>
      </c>
      <c r="H61" s="17">
        <v>1.0</v>
      </c>
      <c r="I61" s="17">
        <v>0.0</v>
      </c>
      <c r="J61" s="17">
        <v>0.0</v>
      </c>
      <c r="K61" s="17">
        <v>0.0</v>
      </c>
      <c r="L61" s="17">
        <v>0.0</v>
      </c>
      <c r="M61" s="17">
        <v>0.0</v>
      </c>
      <c r="N61" s="17">
        <v>0.0</v>
      </c>
      <c r="O61" s="17">
        <v>0.0</v>
      </c>
      <c r="P61" s="17">
        <v>0.0</v>
      </c>
      <c r="Q61" s="17">
        <v>0.0</v>
      </c>
      <c r="R61" s="17">
        <v>0.0</v>
      </c>
      <c r="S61" s="17">
        <v>1.0</v>
      </c>
      <c r="T61" s="17">
        <v>0.0</v>
      </c>
      <c r="U61" s="17">
        <v>1.0</v>
      </c>
      <c r="V61" s="17">
        <v>0.0</v>
      </c>
      <c r="W61" s="17">
        <v>0.0</v>
      </c>
      <c r="X61" s="17">
        <v>0.0</v>
      </c>
      <c r="Y61" s="17">
        <v>0.0</v>
      </c>
      <c r="Z61" s="17">
        <v>0.0</v>
      </c>
      <c r="AA61" s="17">
        <v>0.0</v>
      </c>
      <c r="AB61" s="17">
        <v>0.0</v>
      </c>
      <c r="AC61" s="17">
        <v>0.0</v>
      </c>
      <c r="AD61" s="17">
        <v>1.0</v>
      </c>
      <c r="AE61" s="17">
        <v>0.0</v>
      </c>
      <c r="AF61" s="17">
        <v>0.0</v>
      </c>
    </row>
    <row r="62">
      <c r="A62" s="126">
        <v>46083.0</v>
      </c>
      <c r="B62" s="18" t="str">
        <f t="shared" si="1"/>
        <v>Monday</v>
      </c>
      <c r="C62" s="17">
        <v>1.0</v>
      </c>
      <c r="D62" s="17">
        <v>0.0</v>
      </c>
      <c r="E62" s="17">
        <v>0.0</v>
      </c>
      <c r="F62" s="17">
        <v>0.0</v>
      </c>
      <c r="G62" s="17">
        <v>0.0</v>
      </c>
      <c r="H62" s="17">
        <v>1.0</v>
      </c>
      <c r="I62" s="17">
        <v>1.0</v>
      </c>
      <c r="J62" s="17">
        <v>0.0</v>
      </c>
      <c r="K62" s="17">
        <v>0.0</v>
      </c>
      <c r="L62" s="17">
        <v>0.0</v>
      </c>
      <c r="M62" s="17">
        <v>1.0</v>
      </c>
      <c r="N62" s="17">
        <v>0.0</v>
      </c>
      <c r="O62" s="17">
        <v>0.0</v>
      </c>
      <c r="P62" s="17">
        <v>0.0</v>
      </c>
      <c r="Q62" s="17">
        <v>0.0</v>
      </c>
      <c r="R62" s="17">
        <v>0.0</v>
      </c>
      <c r="S62" s="17">
        <v>0.0</v>
      </c>
      <c r="T62" s="17">
        <v>1.0</v>
      </c>
      <c r="U62" s="17">
        <v>0.0</v>
      </c>
      <c r="V62" s="17">
        <v>0.0</v>
      </c>
      <c r="W62" s="17">
        <v>0.0</v>
      </c>
      <c r="X62" s="17">
        <v>0.0</v>
      </c>
      <c r="Y62" s="17">
        <v>1.0</v>
      </c>
      <c r="Z62" s="17">
        <v>1.0</v>
      </c>
      <c r="AA62" s="17">
        <v>0.0</v>
      </c>
      <c r="AB62" s="17">
        <v>0.0</v>
      </c>
      <c r="AC62" s="17">
        <v>1.0</v>
      </c>
      <c r="AD62" s="17">
        <v>0.0</v>
      </c>
      <c r="AE62" s="17">
        <v>0.0</v>
      </c>
      <c r="AF62" s="17">
        <v>1.0</v>
      </c>
    </row>
    <row r="63">
      <c r="A63" s="126">
        <v>46084.0</v>
      </c>
      <c r="B63" s="18" t="str">
        <f t="shared" si="1"/>
        <v>Tuesday</v>
      </c>
      <c r="C63" s="17">
        <v>0.0</v>
      </c>
      <c r="D63" s="17">
        <v>0.0</v>
      </c>
      <c r="E63" s="17">
        <v>0.0</v>
      </c>
      <c r="F63" s="17">
        <v>0.0</v>
      </c>
      <c r="G63" s="17">
        <v>0.0</v>
      </c>
      <c r="H63" s="17">
        <v>1.0</v>
      </c>
      <c r="I63" s="17">
        <v>1.0</v>
      </c>
      <c r="J63" s="17">
        <v>0.0</v>
      </c>
      <c r="K63" s="17">
        <v>0.0</v>
      </c>
      <c r="L63" s="17">
        <v>1.0</v>
      </c>
      <c r="M63" s="17">
        <v>0.0</v>
      </c>
      <c r="N63" s="17">
        <v>0.0</v>
      </c>
      <c r="O63" s="17">
        <v>0.0</v>
      </c>
      <c r="P63" s="17">
        <v>0.0</v>
      </c>
      <c r="Q63" s="17">
        <v>0.0</v>
      </c>
      <c r="R63" s="17">
        <v>1.0</v>
      </c>
      <c r="S63" s="17">
        <v>0.0</v>
      </c>
      <c r="T63" s="17">
        <v>0.0</v>
      </c>
      <c r="U63" s="17">
        <v>0.0</v>
      </c>
      <c r="V63" s="17">
        <v>0.0</v>
      </c>
      <c r="W63" s="17">
        <v>0.0</v>
      </c>
      <c r="X63" s="17">
        <v>0.0</v>
      </c>
      <c r="Y63" s="17">
        <v>1.0</v>
      </c>
      <c r="Z63" s="17">
        <v>1.0</v>
      </c>
      <c r="AA63" s="17">
        <v>0.0</v>
      </c>
      <c r="AB63" s="17">
        <v>0.0</v>
      </c>
      <c r="AC63" s="17">
        <v>1.0</v>
      </c>
      <c r="AD63" s="17">
        <v>1.0</v>
      </c>
      <c r="AE63" s="17">
        <v>0.0</v>
      </c>
      <c r="AF63" s="17">
        <v>1.0</v>
      </c>
    </row>
    <row r="64">
      <c r="A64" s="126">
        <v>46085.0</v>
      </c>
      <c r="B64" s="18" t="str">
        <f t="shared" si="1"/>
        <v>Wednesday</v>
      </c>
      <c r="C64" s="17">
        <v>0.0</v>
      </c>
      <c r="D64" s="17">
        <v>1.0</v>
      </c>
      <c r="E64" s="17">
        <v>1.0</v>
      </c>
      <c r="F64" s="17">
        <v>0.0</v>
      </c>
      <c r="G64" s="17">
        <v>0.0</v>
      </c>
      <c r="H64" s="17">
        <v>1.0</v>
      </c>
      <c r="I64" s="17">
        <v>1.0</v>
      </c>
      <c r="J64" s="17">
        <v>0.0</v>
      </c>
      <c r="K64" s="17">
        <v>0.0</v>
      </c>
      <c r="L64" s="17">
        <v>0.0</v>
      </c>
      <c r="M64" s="17">
        <v>0.0</v>
      </c>
      <c r="N64" s="17">
        <v>0.0</v>
      </c>
      <c r="O64" s="17">
        <v>0.0</v>
      </c>
      <c r="P64" s="17">
        <v>0.0</v>
      </c>
      <c r="Q64" s="17">
        <v>0.0</v>
      </c>
      <c r="R64" s="17">
        <v>1.0</v>
      </c>
      <c r="S64" s="17">
        <v>1.0</v>
      </c>
      <c r="T64" s="17">
        <v>0.0</v>
      </c>
      <c r="U64" s="17">
        <v>0.0</v>
      </c>
      <c r="V64" s="17">
        <v>1.0</v>
      </c>
      <c r="W64" s="17">
        <v>0.0</v>
      </c>
      <c r="X64" s="17">
        <v>0.0</v>
      </c>
      <c r="Y64" s="17">
        <v>0.0</v>
      </c>
      <c r="Z64" s="17">
        <v>1.0</v>
      </c>
      <c r="AA64" s="17">
        <v>1.0</v>
      </c>
      <c r="AB64" s="17">
        <v>0.0</v>
      </c>
      <c r="AC64" s="17">
        <v>0.0</v>
      </c>
      <c r="AD64" s="17">
        <v>1.0</v>
      </c>
      <c r="AE64" s="17">
        <v>1.0</v>
      </c>
      <c r="AF64" s="17">
        <v>0.0</v>
      </c>
    </row>
    <row r="65">
      <c r="A65" s="126">
        <v>46086.0</v>
      </c>
      <c r="B65" s="18" t="str">
        <f t="shared" si="1"/>
        <v>Thursday</v>
      </c>
      <c r="C65" s="17">
        <v>0.0</v>
      </c>
      <c r="D65" s="17">
        <v>1.0</v>
      </c>
      <c r="E65" s="17">
        <v>0.0</v>
      </c>
      <c r="F65" s="17">
        <v>0.0</v>
      </c>
      <c r="G65" s="17">
        <v>0.0</v>
      </c>
      <c r="H65" s="17">
        <v>1.0</v>
      </c>
      <c r="I65" s="17">
        <v>0.0</v>
      </c>
      <c r="J65" s="17">
        <v>0.0</v>
      </c>
      <c r="K65" s="17">
        <v>0.0</v>
      </c>
      <c r="L65" s="17">
        <v>0.0</v>
      </c>
      <c r="M65" s="17">
        <v>0.0</v>
      </c>
      <c r="N65" s="17">
        <v>0.0</v>
      </c>
      <c r="O65" s="17">
        <v>0.0</v>
      </c>
      <c r="P65" s="17">
        <v>0.0</v>
      </c>
      <c r="Q65" s="17">
        <v>0.0</v>
      </c>
      <c r="R65" s="17">
        <v>1.0</v>
      </c>
      <c r="S65" s="17">
        <v>0.0</v>
      </c>
      <c r="T65" s="17">
        <v>1.0</v>
      </c>
      <c r="U65" s="17">
        <v>0.0</v>
      </c>
      <c r="V65" s="17">
        <v>1.0</v>
      </c>
      <c r="W65" s="17">
        <v>0.0</v>
      </c>
      <c r="X65" s="17">
        <v>0.0</v>
      </c>
      <c r="Y65" s="17">
        <v>1.0</v>
      </c>
      <c r="Z65" s="17">
        <v>1.0</v>
      </c>
      <c r="AA65" s="17">
        <v>1.0</v>
      </c>
      <c r="AB65" s="17">
        <v>0.0</v>
      </c>
      <c r="AC65" s="17">
        <v>0.0</v>
      </c>
      <c r="AD65" s="17">
        <v>1.0</v>
      </c>
      <c r="AE65" s="17">
        <v>0.0</v>
      </c>
      <c r="AF65" s="17">
        <v>1.0</v>
      </c>
    </row>
    <row r="66">
      <c r="A66" s="126">
        <v>46087.0</v>
      </c>
      <c r="B66" s="18" t="str">
        <f t="shared" si="1"/>
        <v>Friday</v>
      </c>
      <c r="C66" s="17">
        <v>0.0</v>
      </c>
      <c r="D66" s="17">
        <v>1.0</v>
      </c>
      <c r="E66" s="17">
        <v>1.0</v>
      </c>
      <c r="F66" s="17">
        <v>0.0</v>
      </c>
      <c r="G66" s="17">
        <v>0.0</v>
      </c>
      <c r="H66" s="17">
        <v>1.0</v>
      </c>
      <c r="I66" s="17">
        <v>1.0</v>
      </c>
      <c r="J66" s="17">
        <v>0.0</v>
      </c>
      <c r="K66" s="17">
        <v>1.0</v>
      </c>
      <c r="L66" s="17">
        <v>1.0</v>
      </c>
      <c r="M66" s="17">
        <v>0.0</v>
      </c>
      <c r="N66" s="17">
        <v>1.0</v>
      </c>
      <c r="O66" s="17">
        <v>0.0</v>
      </c>
      <c r="P66" s="17">
        <v>0.0</v>
      </c>
      <c r="Q66" s="17">
        <v>0.0</v>
      </c>
      <c r="R66" s="17">
        <v>1.0</v>
      </c>
      <c r="S66" s="17">
        <v>0.0</v>
      </c>
      <c r="T66" s="17">
        <v>0.0</v>
      </c>
      <c r="U66" s="17">
        <v>0.0</v>
      </c>
      <c r="V66" s="17">
        <v>0.0</v>
      </c>
      <c r="W66" s="17">
        <v>0.0</v>
      </c>
      <c r="X66" s="17">
        <v>0.0</v>
      </c>
      <c r="Y66" s="17">
        <v>1.0</v>
      </c>
      <c r="Z66" s="17">
        <v>1.0</v>
      </c>
      <c r="AA66" s="17">
        <v>1.0</v>
      </c>
      <c r="AB66" s="17">
        <v>0.0</v>
      </c>
      <c r="AC66" s="17">
        <v>0.0</v>
      </c>
      <c r="AD66" s="17">
        <v>1.0</v>
      </c>
      <c r="AE66" s="17">
        <v>0.0</v>
      </c>
      <c r="AF66" s="17">
        <v>1.0</v>
      </c>
    </row>
    <row r="67">
      <c r="A67" s="126">
        <v>46088.0</v>
      </c>
      <c r="B67" s="18" t="str">
        <f t="shared" si="1"/>
        <v>Saturday</v>
      </c>
      <c r="C67" s="17">
        <v>0.0</v>
      </c>
      <c r="D67" s="17">
        <v>0.0</v>
      </c>
      <c r="E67" s="17">
        <v>1.0</v>
      </c>
      <c r="F67" s="17">
        <v>1.0</v>
      </c>
      <c r="G67" s="17">
        <v>1.0</v>
      </c>
      <c r="H67" s="17">
        <v>1.0</v>
      </c>
      <c r="I67" s="17">
        <v>0.0</v>
      </c>
      <c r="J67" s="17">
        <v>0.0</v>
      </c>
      <c r="K67" s="17">
        <v>0.0</v>
      </c>
      <c r="L67" s="17">
        <v>1.0</v>
      </c>
      <c r="M67" s="17">
        <v>1.0</v>
      </c>
      <c r="N67" s="17">
        <v>1.0</v>
      </c>
      <c r="O67" s="17">
        <v>1.0</v>
      </c>
      <c r="P67" s="17">
        <v>0.0</v>
      </c>
      <c r="Q67" s="17">
        <v>0.0</v>
      </c>
      <c r="R67" s="17">
        <v>1.0</v>
      </c>
      <c r="S67" s="17">
        <v>1.0</v>
      </c>
      <c r="T67" s="17">
        <v>0.0</v>
      </c>
      <c r="U67" s="17">
        <v>1.0</v>
      </c>
      <c r="V67" s="17">
        <v>1.0</v>
      </c>
      <c r="W67" s="17">
        <v>1.0</v>
      </c>
      <c r="X67" s="17">
        <v>0.0</v>
      </c>
      <c r="Y67" s="17">
        <v>0.0</v>
      </c>
      <c r="Z67" s="17">
        <v>1.0</v>
      </c>
      <c r="AA67" s="17">
        <v>1.0</v>
      </c>
      <c r="AB67" s="17">
        <v>1.0</v>
      </c>
      <c r="AC67" s="17">
        <v>1.0</v>
      </c>
      <c r="AD67" s="17">
        <v>1.0</v>
      </c>
      <c r="AE67" s="17">
        <v>1.0</v>
      </c>
      <c r="AF67" s="17">
        <v>1.0</v>
      </c>
    </row>
    <row r="68">
      <c r="A68" s="126">
        <v>46089.0</v>
      </c>
      <c r="B68" s="18" t="str">
        <f t="shared" si="1"/>
        <v>Sunday</v>
      </c>
      <c r="C68" s="17">
        <v>0.0</v>
      </c>
      <c r="D68" s="17">
        <v>0.0</v>
      </c>
      <c r="E68" s="17">
        <v>1.0</v>
      </c>
      <c r="F68" s="17">
        <v>0.0</v>
      </c>
      <c r="G68" s="17">
        <v>0.0</v>
      </c>
      <c r="H68" s="17">
        <v>1.0</v>
      </c>
      <c r="I68" s="17">
        <v>0.0</v>
      </c>
      <c r="J68" s="17">
        <v>0.0</v>
      </c>
      <c r="K68" s="17">
        <v>0.0</v>
      </c>
      <c r="L68" s="17">
        <v>0.0</v>
      </c>
      <c r="M68" s="17">
        <v>1.0</v>
      </c>
      <c r="N68" s="17">
        <v>1.0</v>
      </c>
      <c r="O68" s="17">
        <v>0.0</v>
      </c>
      <c r="P68" s="17">
        <v>0.0</v>
      </c>
      <c r="Q68" s="17">
        <v>0.0</v>
      </c>
      <c r="R68" s="17">
        <v>1.0</v>
      </c>
      <c r="S68" s="17">
        <v>1.0</v>
      </c>
      <c r="T68" s="17">
        <v>0.0</v>
      </c>
      <c r="U68" s="17">
        <v>1.0</v>
      </c>
      <c r="V68" s="17">
        <v>1.0</v>
      </c>
      <c r="W68" s="17">
        <v>1.0</v>
      </c>
      <c r="X68" s="17">
        <v>0.0</v>
      </c>
      <c r="Y68" s="17">
        <v>1.0</v>
      </c>
      <c r="Z68" s="17">
        <v>1.0</v>
      </c>
      <c r="AA68" s="17">
        <v>1.0</v>
      </c>
      <c r="AB68" s="17">
        <v>1.0</v>
      </c>
      <c r="AC68" s="17">
        <v>0.0</v>
      </c>
      <c r="AD68" s="17">
        <v>1.0</v>
      </c>
      <c r="AE68" s="17">
        <v>1.0</v>
      </c>
      <c r="AF68" s="17">
        <v>1.0</v>
      </c>
    </row>
    <row r="69">
      <c r="A69" s="126">
        <v>46090.0</v>
      </c>
      <c r="B69" s="18" t="str">
        <f t="shared" si="1"/>
        <v>Monday</v>
      </c>
      <c r="C69" s="17">
        <v>1.0</v>
      </c>
      <c r="D69" s="17">
        <v>1.0</v>
      </c>
      <c r="E69" s="17">
        <v>0.0</v>
      </c>
      <c r="F69" s="17">
        <v>0.0</v>
      </c>
      <c r="G69" s="17">
        <v>1.0</v>
      </c>
      <c r="H69" s="17">
        <v>1.0</v>
      </c>
      <c r="I69" s="17">
        <v>1.0</v>
      </c>
      <c r="J69" s="17">
        <v>0.0</v>
      </c>
      <c r="K69" s="17">
        <v>0.0</v>
      </c>
      <c r="L69" s="17">
        <v>0.0</v>
      </c>
      <c r="M69" s="17">
        <v>1.0</v>
      </c>
      <c r="N69" s="17">
        <v>0.0</v>
      </c>
      <c r="O69" s="17">
        <v>0.0</v>
      </c>
      <c r="P69" s="17">
        <v>0.0</v>
      </c>
      <c r="Q69" s="17">
        <v>1.0</v>
      </c>
      <c r="R69" s="17">
        <v>1.0</v>
      </c>
      <c r="S69" s="17">
        <v>1.0</v>
      </c>
      <c r="T69" s="17">
        <v>0.0</v>
      </c>
      <c r="U69" s="17">
        <v>0.0</v>
      </c>
      <c r="V69" s="17">
        <v>1.0</v>
      </c>
      <c r="W69" s="17">
        <v>0.0</v>
      </c>
      <c r="X69" s="17">
        <v>0.0</v>
      </c>
      <c r="Y69" s="17">
        <v>1.0</v>
      </c>
      <c r="Z69" s="17">
        <v>1.0</v>
      </c>
      <c r="AA69" s="17">
        <v>1.0</v>
      </c>
      <c r="AB69" s="17">
        <v>1.0</v>
      </c>
      <c r="AC69" s="17">
        <v>1.0</v>
      </c>
      <c r="AD69" s="17">
        <v>1.0</v>
      </c>
      <c r="AE69" s="17">
        <v>0.0</v>
      </c>
      <c r="AF69" s="17">
        <v>1.0</v>
      </c>
    </row>
    <row r="70">
      <c r="A70" s="126">
        <v>46091.0</v>
      </c>
      <c r="B70" s="18" t="str">
        <f t="shared" si="1"/>
        <v>Tuesday</v>
      </c>
      <c r="C70" s="17">
        <v>0.0</v>
      </c>
      <c r="D70" s="17">
        <v>1.0</v>
      </c>
      <c r="E70" s="17">
        <v>1.0</v>
      </c>
      <c r="F70" s="17">
        <v>0.0</v>
      </c>
      <c r="G70" s="17">
        <v>1.0</v>
      </c>
      <c r="H70" s="17">
        <v>1.0</v>
      </c>
      <c r="I70" s="17">
        <v>1.0</v>
      </c>
      <c r="J70" s="17">
        <v>0.0</v>
      </c>
      <c r="K70" s="17">
        <v>0.0</v>
      </c>
      <c r="L70" s="17">
        <v>1.0</v>
      </c>
      <c r="M70" s="17">
        <v>0.0</v>
      </c>
      <c r="N70" s="17">
        <v>0.0</v>
      </c>
      <c r="O70" s="17">
        <v>0.0</v>
      </c>
      <c r="P70" s="17">
        <v>0.0</v>
      </c>
      <c r="Q70" s="17">
        <v>1.0</v>
      </c>
      <c r="R70" s="17">
        <v>0.0</v>
      </c>
      <c r="S70" s="17">
        <v>1.0</v>
      </c>
      <c r="T70" s="17">
        <v>1.0</v>
      </c>
      <c r="U70" s="17">
        <v>0.0</v>
      </c>
      <c r="V70" s="17">
        <v>1.0</v>
      </c>
      <c r="W70" s="17">
        <v>1.0</v>
      </c>
      <c r="X70" s="17">
        <v>1.0</v>
      </c>
      <c r="Y70" s="17">
        <v>1.0</v>
      </c>
      <c r="Z70" s="17">
        <v>1.0</v>
      </c>
      <c r="AA70" s="17">
        <v>1.0</v>
      </c>
      <c r="AB70" s="17">
        <v>0.0</v>
      </c>
      <c r="AC70" s="17">
        <v>1.0</v>
      </c>
      <c r="AD70" s="17">
        <v>1.0</v>
      </c>
      <c r="AE70" s="17">
        <v>1.0</v>
      </c>
      <c r="AF70" s="17">
        <v>1.0</v>
      </c>
    </row>
    <row r="71">
      <c r="A71" s="126">
        <v>46092.0</v>
      </c>
      <c r="B71" s="18" t="str">
        <f t="shared" si="1"/>
        <v>Wednesday</v>
      </c>
      <c r="C71" s="17">
        <v>1.0</v>
      </c>
      <c r="D71" s="17">
        <v>1.0</v>
      </c>
      <c r="E71" s="17">
        <v>1.0</v>
      </c>
      <c r="F71" s="17">
        <v>0.0</v>
      </c>
      <c r="G71" s="17">
        <v>1.0</v>
      </c>
      <c r="H71" s="17">
        <v>1.0</v>
      </c>
      <c r="I71" s="17">
        <v>1.0</v>
      </c>
      <c r="J71" s="17">
        <v>0.0</v>
      </c>
      <c r="K71" s="17">
        <v>0.0</v>
      </c>
      <c r="L71" s="17">
        <v>1.0</v>
      </c>
      <c r="M71" s="17">
        <v>0.0</v>
      </c>
      <c r="N71" s="17">
        <v>1.0</v>
      </c>
      <c r="O71" s="17">
        <v>0.0</v>
      </c>
      <c r="P71" s="17">
        <v>1.0</v>
      </c>
      <c r="Q71" s="17">
        <v>0.0</v>
      </c>
      <c r="R71" s="17">
        <v>0.0</v>
      </c>
      <c r="S71" s="17">
        <v>1.0</v>
      </c>
      <c r="T71" s="17">
        <v>0.0</v>
      </c>
      <c r="U71" s="17">
        <v>1.0</v>
      </c>
      <c r="V71" s="17">
        <v>1.0</v>
      </c>
      <c r="W71" s="17">
        <v>1.0</v>
      </c>
      <c r="X71" s="17">
        <v>1.0</v>
      </c>
      <c r="Y71" s="17">
        <v>1.0</v>
      </c>
      <c r="Z71" s="17">
        <v>1.0</v>
      </c>
      <c r="AA71" s="17">
        <v>0.0</v>
      </c>
      <c r="AB71" s="17">
        <v>0.0</v>
      </c>
      <c r="AC71" s="17">
        <v>1.0</v>
      </c>
      <c r="AD71" s="17">
        <v>1.0</v>
      </c>
      <c r="AE71" s="17">
        <v>0.0</v>
      </c>
      <c r="AF71" s="17">
        <v>1.0</v>
      </c>
    </row>
    <row r="72">
      <c r="A72" s="126">
        <v>46093.0</v>
      </c>
      <c r="B72" s="18" t="str">
        <f t="shared" si="1"/>
        <v>Thursday</v>
      </c>
      <c r="C72" s="17">
        <v>1.0</v>
      </c>
      <c r="D72" s="17">
        <v>1.0</v>
      </c>
      <c r="E72" s="17">
        <v>1.0</v>
      </c>
      <c r="F72" s="17">
        <v>1.0</v>
      </c>
      <c r="G72" s="17">
        <v>1.0</v>
      </c>
      <c r="H72" s="17">
        <v>1.0</v>
      </c>
      <c r="I72" s="17">
        <v>1.0</v>
      </c>
      <c r="J72" s="17">
        <v>0.0</v>
      </c>
      <c r="K72" s="17">
        <v>1.0</v>
      </c>
      <c r="L72" s="17">
        <v>1.0</v>
      </c>
      <c r="M72" s="17">
        <v>0.0</v>
      </c>
      <c r="N72" s="17">
        <v>1.0</v>
      </c>
      <c r="O72" s="17">
        <v>0.0</v>
      </c>
      <c r="P72" s="17">
        <v>0.0</v>
      </c>
      <c r="Q72" s="17">
        <v>1.0</v>
      </c>
      <c r="R72" s="17">
        <v>1.0</v>
      </c>
      <c r="S72" s="17">
        <v>1.0</v>
      </c>
      <c r="T72" s="17">
        <v>1.0</v>
      </c>
      <c r="U72" s="17">
        <v>1.0</v>
      </c>
      <c r="V72" s="17">
        <v>1.0</v>
      </c>
      <c r="W72" s="17">
        <v>0.0</v>
      </c>
      <c r="X72" s="17">
        <v>0.0</v>
      </c>
      <c r="Y72" s="17">
        <v>1.0</v>
      </c>
      <c r="Z72" s="17">
        <v>1.0</v>
      </c>
      <c r="AA72" s="17">
        <v>1.0</v>
      </c>
      <c r="AB72" s="17">
        <v>1.0</v>
      </c>
      <c r="AC72" s="17">
        <v>1.0</v>
      </c>
      <c r="AD72" s="17">
        <v>1.0</v>
      </c>
      <c r="AE72" s="17">
        <v>0.0</v>
      </c>
      <c r="AF72" s="17">
        <v>1.0</v>
      </c>
    </row>
    <row r="73">
      <c r="A73" s="126">
        <v>46094.0</v>
      </c>
      <c r="B73" s="18" t="str">
        <f t="shared" si="1"/>
        <v>Friday</v>
      </c>
      <c r="C73" s="17">
        <v>0.0</v>
      </c>
      <c r="D73" s="17">
        <v>1.0</v>
      </c>
      <c r="E73" s="17">
        <v>1.0</v>
      </c>
      <c r="F73" s="17">
        <v>1.0</v>
      </c>
      <c r="G73" s="17">
        <v>1.0</v>
      </c>
      <c r="H73" s="17">
        <v>1.0</v>
      </c>
      <c r="I73" s="17">
        <v>1.0</v>
      </c>
      <c r="J73" s="17">
        <v>0.0</v>
      </c>
      <c r="K73" s="17">
        <v>0.0</v>
      </c>
      <c r="L73" s="17">
        <v>0.0</v>
      </c>
      <c r="M73" s="17">
        <v>0.0</v>
      </c>
      <c r="N73" s="17">
        <v>1.0</v>
      </c>
      <c r="O73" s="17">
        <v>1.0</v>
      </c>
      <c r="P73" s="17">
        <v>1.0</v>
      </c>
      <c r="Q73" s="17">
        <v>1.0</v>
      </c>
      <c r="R73" s="17">
        <v>1.0</v>
      </c>
      <c r="S73" s="17">
        <v>1.0</v>
      </c>
      <c r="T73" s="17">
        <v>1.0</v>
      </c>
      <c r="U73" s="17">
        <v>1.0</v>
      </c>
      <c r="V73" s="17">
        <v>1.0</v>
      </c>
      <c r="W73" s="17">
        <v>1.0</v>
      </c>
      <c r="X73" s="17">
        <v>0.0</v>
      </c>
      <c r="Y73" s="17">
        <v>1.0</v>
      </c>
      <c r="Z73" s="17">
        <v>1.0</v>
      </c>
      <c r="AA73" s="17">
        <v>1.0</v>
      </c>
      <c r="AB73" s="17">
        <v>1.0</v>
      </c>
      <c r="AC73" s="17">
        <v>1.0</v>
      </c>
      <c r="AD73" s="17">
        <v>1.0</v>
      </c>
      <c r="AE73" s="17">
        <v>1.0</v>
      </c>
      <c r="AF73" s="17">
        <v>1.0</v>
      </c>
    </row>
    <row r="74">
      <c r="A74" s="126">
        <v>46095.0</v>
      </c>
      <c r="B74" s="18" t="str">
        <f t="shared" si="1"/>
        <v>Saturday</v>
      </c>
      <c r="C74" s="17">
        <v>0.0</v>
      </c>
      <c r="D74" s="17">
        <v>1.0</v>
      </c>
      <c r="E74" s="17">
        <v>1.0</v>
      </c>
      <c r="F74" s="17">
        <v>0.0</v>
      </c>
      <c r="G74" s="17">
        <v>1.0</v>
      </c>
      <c r="H74" s="17">
        <v>1.0</v>
      </c>
      <c r="I74" s="17">
        <v>1.0</v>
      </c>
      <c r="J74" s="17">
        <v>1.0</v>
      </c>
      <c r="K74" s="17">
        <v>0.0</v>
      </c>
      <c r="L74" s="17">
        <v>0.0</v>
      </c>
      <c r="M74" s="17">
        <v>0.0</v>
      </c>
      <c r="N74" s="17">
        <v>1.0</v>
      </c>
      <c r="O74" s="17">
        <v>1.0</v>
      </c>
      <c r="P74" s="17">
        <v>1.0</v>
      </c>
      <c r="Q74" s="17">
        <v>0.0</v>
      </c>
      <c r="R74" s="17">
        <v>1.0</v>
      </c>
      <c r="S74" s="17">
        <v>1.0</v>
      </c>
      <c r="T74" s="17">
        <v>1.0</v>
      </c>
      <c r="U74" s="17">
        <v>1.0</v>
      </c>
      <c r="V74" s="17">
        <v>1.0</v>
      </c>
      <c r="W74" s="17">
        <v>1.0</v>
      </c>
      <c r="X74" s="17">
        <v>0.0</v>
      </c>
      <c r="Y74" s="17">
        <v>1.0</v>
      </c>
      <c r="Z74" s="17">
        <v>1.0</v>
      </c>
      <c r="AA74" s="17">
        <v>1.0</v>
      </c>
      <c r="AB74" s="17">
        <v>1.0</v>
      </c>
      <c r="AC74" s="17">
        <v>1.0</v>
      </c>
      <c r="AD74" s="17">
        <v>1.0</v>
      </c>
      <c r="AE74" s="17">
        <v>1.0</v>
      </c>
      <c r="AF74" s="17">
        <v>1.0</v>
      </c>
    </row>
    <row r="75">
      <c r="A75" s="126">
        <v>46096.0</v>
      </c>
      <c r="B75" s="18" t="str">
        <f t="shared" si="1"/>
        <v>Sunday</v>
      </c>
      <c r="C75" s="17">
        <v>1.0</v>
      </c>
      <c r="D75" s="17">
        <v>1.0</v>
      </c>
      <c r="E75" s="17">
        <v>1.0</v>
      </c>
      <c r="F75" s="17">
        <v>0.0</v>
      </c>
      <c r="G75" s="17">
        <v>1.0</v>
      </c>
      <c r="H75" s="17">
        <v>1.0</v>
      </c>
      <c r="I75" s="17">
        <v>1.0</v>
      </c>
      <c r="J75" s="17">
        <v>0.0</v>
      </c>
      <c r="K75" s="17">
        <v>0.0</v>
      </c>
      <c r="L75" s="17">
        <v>1.0</v>
      </c>
      <c r="M75" s="17">
        <v>1.0</v>
      </c>
      <c r="N75" s="17">
        <v>1.0</v>
      </c>
      <c r="O75" s="17">
        <v>0.0</v>
      </c>
      <c r="P75" s="17">
        <v>1.0</v>
      </c>
      <c r="Q75" s="17">
        <v>1.0</v>
      </c>
      <c r="R75" s="17">
        <v>1.0</v>
      </c>
      <c r="S75" s="17">
        <v>1.0</v>
      </c>
      <c r="T75" s="17">
        <v>1.0</v>
      </c>
      <c r="U75" s="17">
        <v>0.0</v>
      </c>
      <c r="V75" s="17">
        <v>1.0</v>
      </c>
      <c r="W75" s="17">
        <v>1.0</v>
      </c>
      <c r="X75" s="17">
        <v>0.0</v>
      </c>
      <c r="Y75" s="17">
        <v>1.0</v>
      </c>
      <c r="Z75" s="17">
        <v>1.0</v>
      </c>
      <c r="AA75" s="17">
        <v>1.0</v>
      </c>
      <c r="AB75" s="17">
        <v>1.0</v>
      </c>
      <c r="AC75" s="17">
        <v>1.0</v>
      </c>
      <c r="AD75" s="17">
        <v>1.0</v>
      </c>
      <c r="AE75" s="17">
        <v>1.0</v>
      </c>
      <c r="AF75" s="17">
        <v>1.0</v>
      </c>
    </row>
    <row r="76">
      <c r="A76" s="126">
        <v>46097.0</v>
      </c>
      <c r="B76" s="18" t="str">
        <f t="shared" si="1"/>
        <v>Monday</v>
      </c>
      <c r="C76" s="17">
        <v>1.0</v>
      </c>
      <c r="D76" s="17">
        <v>1.0</v>
      </c>
      <c r="E76" s="17">
        <v>1.0</v>
      </c>
      <c r="F76" s="17">
        <v>0.0</v>
      </c>
      <c r="G76" s="17">
        <v>1.0</v>
      </c>
      <c r="H76" s="17">
        <v>1.0</v>
      </c>
      <c r="I76" s="17">
        <v>1.0</v>
      </c>
      <c r="J76" s="17">
        <v>0.0</v>
      </c>
      <c r="K76" s="17">
        <v>0.0</v>
      </c>
      <c r="L76" s="17">
        <v>1.0</v>
      </c>
      <c r="M76" s="17">
        <v>1.0</v>
      </c>
      <c r="N76" s="17">
        <v>1.0</v>
      </c>
      <c r="O76" s="17">
        <v>0.0</v>
      </c>
      <c r="P76" s="17">
        <v>1.0</v>
      </c>
      <c r="Q76" s="17">
        <v>1.0</v>
      </c>
      <c r="R76" s="17">
        <v>1.0</v>
      </c>
      <c r="S76" s="17">
        <v>1.0</v>
      </c>
      <c r="T76" s="17">
        <v>1.0</v>
      </c>
      <c r="U76" s="17">
        <v>1.0</v>
      </c>
      <c r="V76" s="17">
        <v>1.0</v>
      </c>
      <c r="W76" s="17">
        <v>1.0</v>
      </c>
      <c r="X76" s="17">
        <v>0.0</v>
      </c>
      <c r="Y76" s="17">
        <v>1.0</v>
      </c>
      <c r="Z76" s="17">
        <v>1.0</v>
      </c>
      <c r="AA76" s="17">
        <v>1.0</v>
      </c>
      <c r="AB76" s="17">
        <v>1.0</v>
      </c>
      <c r="AC76" s="17">
        <v>1.0</v>
      </c>
      <c r="AD76" s="17">
        <v>1.0</v>
      </c>
      <c r="AE76" s="17">
        <v>1.0</v>
      </c>
      <c r="AF76" s="17">
        <v>1.0</v>
      </c>
    </row>
    <row r="77">
      <c r="A77" s="126">
        <v>46098.0</v>
      </c>
      <c r="B77" s="18" t="str">
        <f t="shared" si="1"/>
        <v>Tuesday</v>
      </c>
      <c r="C77" s="17">
        <v>1.0</v>
      </c>
      <c r="D77" s="17">
        <v>1.0</v>
      </c>
      <c r="E77" s="17">
        <v>1.0</v>
      </c>
      <c r="F77" s="17">
        <v>1.0</v>
      </c>
      <c r="G77" s="17">
        <v>1.0</v>
      </c>
      <c r="H77" s="17">
        <v>1.0</v>
      </c>
      <c r="I77" s="17">
        <v>1.0</v>
      </c>
      <c r="J77" s="17">
        <v>0.0</v>
      </c>
      <c r="K77" s="17">
        <v>0.0</v>
      </c>
      <c r="L77" s="17">
        <v>0.0</v>
      </c>
      <c r="M77" s="17">
        <v>1.0</v>
      </c>
      <c r="N77" s="17">
        <v>1.0</v>
      </c>
      <c r="O77" s="17">
        <v>0.0</v>
      </c>
      <c r="P77" s="17">
        <v>0.0</v>
      </c>
      <c r="Q77" s="17">
        <v>1.0</v>
      </c>
      <c r="R77" s="17">
        <v>1.0</v>
      </c>
      <c r="S77" s="17">
        <v>1.0</v>
      </c>
      <c r="T77" s="17">
        <v>1.0</v>
      </c>
      <c r="U77" s="17">
        <v>1.0</v>
      </c>
      <c r="V77" s="17">
        <v>1.0</v>
      </c>
      <c r="W77" s="17">
        <v>1.0</v>
      </c>
      <c r="X77" s="17">
        <v>0.0</v>
      </c>
      <c r="Y77" s="17">
        <v>1.0</v>
      </c>
      <c r="Z77" s="17">
        <v>1.0</v>
      </c>
      <c r="AA77" s="17">
        <v>1.0</v>
      </c>
      <c r="AB77" s="17">
        <v>1.0</v>
      </c>
      <c r="AC77" s="17">
        <v>1.0</v>
      </c>
      <c r="AD77" s="17">
        <v>1.0</v>
      </c>
      <c r="AE77" s="17">
        <v>1.0</v>
      </c>
      <c r="AF77" s="17">
        <v>1.0</v>
      </c>
    </row>
    <row r="78">
      <c r="A78" s="126">
        <v>46099.0</v>
      </c>
      <c r="B78" s="18" t="str">
        <f t="shared" si="1"/>
        <v>Wednesday</v>
      </c>
      <c r="C78" s="17">
        <v>1.0</v>
      </c>
      <c r="D78" s="17">
        <v>1.0</v>
      </c>
      <c r="E78" s="17">
        <v>1.0</v>
      </c>
      <c r="F78" s="17">
        <v>0.0</v>
      </c>
      <c r="G78" s="17">
        <v>1.0</v>
      </c>
      <c r="H78" s="17">
        <v>1.0</v>
      </c>
      <c r="I78" s="17">
        <v>1.0</v>
      </c>
      <c r="J78" s="17">
        <v>0.0</v>
      </c>
      <c r="K78" s="17">
        <v>0.0</v>
      </c>
      <c r="L78" s="17">
        <v>0.0</v>
      </c>
      <c r="M78" s="17">
        <v>0.0</v>
      </c>
      <c r="N78" s="17">
        <v>1.0</v>
      </c>
      <c r="O78" s="17">
        <v>0.0</v>
      </c>
      <c r="P78" s="17">
        <v>0.0</v>
      </c>
      <c r="Q78" s="17">
        <v>0.0</v>
      </c>
      <c r="R78" s="17">
        <v>1.0</v>
      </c>
      <c r="S78" s="17">
        <v>1.0</v>
      </c>
      <c r="T78" s="17">
        <v>1.0</v>
      </c>
      <c r="U78" s="17">
        <v>1.0</v>
      </c>
      <c r="V78" s="17">
        <v>1.0</v>
      </c>
      <c r="W78" s="17">
        <v>1.0</v>
      </c>
      <c r="X78" s="17">
        <v>1.0</v>
      </c>
      <c r="Y78" s="17">
        <v>1.0</v>
      </c>
      <c r="Z78" s="17">
        <v>1.0</v>
      </c>
      <c r="AA78" s="17">
        <v>1.0</v>
      </c>
      <c r="AB78" s="17">
        <v>1.0</v>
      </c>
      <c r="AC78" s="17">
        <v>1.0</v>
      </c>
      <c r="AD78" s="17">
        <v>1.0</v>
      </c>
      <c r="AE78" s="17">
        <v>1.0</v>
      </c>
      <c r="AF78" s="17">
        <v>1.0</v>
      </c>
    </row>
    <row r="79">
      <c r="A79" s="126">
        <v>46100.0</v>
      </c>
      <c r="B79" s="18" t="str">
        <f t="shared" si="1"/>
        <v>Thursday</v>
      </c>
      <c r="C79" s="17">
        <v>0.0</v>
      </c>
      <c r="D79" s="17">
        <v>1.0</v>
      </c>
      <c r="E79" s="17">
        <v>1.0</v>
      </c>
      <c r="F79" s="17">
        <v>0.0</v>
      </c>
      <c r="G79" s="17">
        <v>1.0</v>
      </c>
      <c r="H79" s="17">
        <v>1.0</v>
      </c>
      <c r="I79" s="17">
        <v>1.0</v>
      </c>
      <c r="J79" s="17">
        <v>0.0</v>
      </c>
      <c r="K79" s="17">
        <v>0.0</v>
      </c>
      <c r="L79" s="17">
        <v>0.0</v>
      </c>
      <c r="M79" s="17">
        <v>0.0</v>
      </c>
      <c r="N79" s="17">
        <v>0.0</v>
      </c>
      <c r="O79" s="17">
        <v>0.0</v>
      </c>
      <c r="P79" s="17">
        <v>0.0</v>
      </c>
      <c r="Q79" s="17">
        <v>0.0</v>
      </c>
      <c r="R79" s="17">
        <v>1.0</v>
      </c>
      <c r="S79" s="17">
        <v>1.0</v>
      </c>
      <c r="T79" s="17">
        <v>1.0</v>
      </c>
      <c r="U79" s="17">
        <v>1.0</v>
      </c>
      <c r="V79" s="17">
        <v>1.0</v>
      </c>
      <c r="W79" s="17">
        <v>1.0</v>
      </c>
      <c r="X79" s="17">
        <v>0.0</v>
      </c>
      <c r="Y79" s="17">
        <v>1.0</v>
      </c>
      <c r="Z79" s="17">
        <v>1.0</v>
      </c>
      <c r="AA79" s="17">
        <v>1.0</v>
      </c>
      <c r="AB79" s="17">
        <v>1.0</v>
      </c>
      <c r="AC79" s="17">
        <v>1.0</v>
      </c>
      <c r="AD79" s="17">
        <v>1.0</v>
      </c>
      <c r="AE79" s="17">
        <v>1.0</v>
      </c>
      <c r="AF79" s="17">
        <v>1.0</v>
      </c>
    </row>
    <row r="80">
      <c r="A80" s="126">
        <v>46101.0</v>
      </c>
      <c r="B80" s="18" t="str">
        <f t="shared" si="1"/>
        <v>Friday</v>
      </c>
      <c r="C80" s="17">
        <v>0.0</v>
      </c>
      <c r="D80" s="17">
        <v>0.0</v>
      </c>
      <c r="E80" s="17">
        <v>0.0</v>
      </c>
      <c r="F80" s="17">
        <v>0.0</v>
      </c>
      <c r="G80" s="17">
        <v>0.0</v>
      </c>
      <c r="H80" s="17">
        <v>0.0</v>
      </c>
      <c r="I80" s="17">
        <v>0.0</v>
      </c>
      <c r="J80" s="17">
        <v>0.0</v>
      </c>
      <c r="K80" s="17">
        <v>0.0</v>
      </c>
      <c r="L80" s="17">
        <v>0.0</v>
      </c>
      <c r="M80" s="17">
        <v>0.0</v>
      </c>
      <c r="N80" s="17">
        <v>0.0</v>
      </c>
      <c r="O80" s="17">
        <v>0.0</v>
      </c>
      <c r="P80" s="17">
        <v>0.0</v>
      </c>
      <c r="Q80" s="17">
        <v>0.0</v>
      </c>
      <c r="R80" s="17">
        <v>0.0</v>
      </c>
      <c r="S80" s="17">
        <v>0.0</v>
      </c>
      <c r="T80" s="17">
        <v>0.0</v>
      </c>
      <c r="U80" s="17">
        <v>0.0</v>
      </c>
      <c r="V80" s="17">
        <v>0.0</v>
      </c>
      <c r="W80" s="17">
        <v>0.0</v>
      </c>
      <c r="X80" s="17">
        <v>0.0</v>
      </c>
      <c r="Y80" s="17">
        <v>0.0</v>
      </c>
      <c r="Z80" s="17">
        <v>0.0</v>
      </c>
      <c r="AA80" s="17">
        <v>0.0</v>
      </c>
      <c r="AB80" s="17">
        <v>0.0</v>
      </c>
      <c r="AC80" s="17">
        <v>0.0</v>
      </c>
      <c r="AD80" s="17">
        <v>0.0</v>
      </c>
      <c r="AE80" s="17">
        <v>0.0</v>
      </c>
      <c r="AF80" s="17">
        <v>0.0</v>
      </c>
    </row>
    <row r="81">
      <c r="A81" s="126">
        <v>46102.0</v>
      </c>
      <c r="B81" s="18" t="str">
        <f t="shared" si="1"/>
        <v>Saturday</v>
      </c>
      <c r="C81" s="17">
        <v>0.0</v>
      </c>
      <c r="D81" s="17">
        <v>0.0</v>
      </c>
      <c r="E81" s="17">
        <v>0.0</v>
      </c>
      <c r="F81" s="17">
        <v>0.0</v>
      </c>
      <c r="G81" s="17">
        <v>0.0</v>
      </c>
      <c r="H81" s="17">
        <v>0.0</v>
      </c>
      <c r="I81" s="17">
        <v>0.0</v>
      </c>
      <c r="J81" s="17">
        <v>0.0</v>
      </c>
      <c r="K81" s="17">
        <v>0.0</v>
      </c>
      <c r="L81" s="17">
        <v>0.0</v>
      </c>
      <c r="M81" s="17">
        <v>0.0</v>
      </c>
      <c r="N81" s="17">
        <v>0.0</v>
      </c>
      <c r="O81" s="17">
        <v>0.0</v>
      </c>
      <c r="P81" s="17">
        <v>0.0</v>
      </c>
      <c r="Q81" s="17">
        <v>0.0</v>
      </c>
      <c r="R81" s="17">
        <v>0.0</v>
      </c>
      <c r="S81" s="17">
        <v>0.0</v>
      </c>
      <c r="T81" s="17">
        <v>0.0</v>
      </c>
      <c r="U81" s="17">
        <v>0.0</v>
      </c>
      <c r="V81" s="17">
        <v>0.0</v>
      </c>
      <c r="W81" s="17">
        <v>0.0</v>
      </c>
      <c r="X81" s="17">
        <v>0.0</v>
      </c>
      <c r="Y81" s="17">
        <v>0.0</v>
      </c>
      <c r="Z81" s="17">
        <v>0.0</v>
      </c>
      <c r="AA81" s="17">
        <v>0.0</v>
      </c>
      <c r="AB81" s="17">
        <v>0.0</v>
      </c>
      <c r="AC81" s="17">
        <v>0.0</v>
      </c>
      <c r="AD81" s="17">
        <v>0.0</v>
      </c>
      <c r="AE81" s="17">
        <v>0.0</v>
      </c>
      <c r="AF81" s="17">
        <v>0.0</v>
      </c>
    </row>
    <row r="82">
      <c r="A82" s="126">
        <v>46103.0</v>
      </c>
      <c r="B82" s="18" t="str">
        <f t="shared" si="1"/>
        <v>Sunday</v>
      </c>
      <c r="C82" s="17">
        <v>1.0</v>
      </c>
      <c r="D82" s="17">
        <v>0.0</v>
      </c>
      <c r="E82" s="17">
        <v>0.0</v>
      </c>
      <c r="F82" s="17">
        <v>0.0</v>
      </c>
      <c r="G82" s="17">
        <v>0.0</v>
      </c>
      <c r="H82" s="17">
        <v>1.0</v>
      </c>
      <c r="I82" s="17">
        <v>1.0</v>
      </c>
      <c r="J82" s="17">
        <v>0.0</v>
      </c>
      <c r="K82" s="17">
        <v>0.0</v>
      </c>
      <c r="L82" s="17">
        <v>1.0</v>
      </c>
      <c r="M82" s="17">
        <v>1.0</v>
      </c>
      <c r="N82" s="17">
        <v>1.0</v>
      </c>
      <c r="O82" s="17">
        <v>0.0</v>
      </c>
      <c r="P82" s="17">
        <v>1.0</v>
      </c>
      <c r="Q82" s="17">
        <v>0.0</v>
      </c>
      <c r="R82" s="17">
        <v>1.0</v>
      </c>
      <c r="S82" s="17">
        <v>1.0</v>
      </c>
      <c r="T82" s="17">
        <v>1.0</v>
      </c>
      <c r="U82" s="17">
        <v>1.0</v>
      </c>
      <c r="V82" s="17">
        <v>1.0</v>
      </c>
      <c r="W82" s="17">
        <v>1.0</v>
      </c>
      <c r="X82" s="17">
        <v>0.0</v>
      </c>
      <c r="Y82" s="17">
        <v>1.0</v>
      </c>
      <c r="Z82" s="17">
        <v>1.0</v>
      </c>
      <c r="AA82" s="17">
        <v>1.0</v>
      </c>
      <c r="AB82" s="17">
        <v>1.0</v>
      </c>
      <c r="AC82" s="17">
        <v>0.0</v>
      </c>
      <c r="AD82" s="17">
        <v>1.0</v>
      </c>
      <c r="AE82" s="17">
        <v>1.0</v>
      </c>
      <c r="AF82" s="17">
        <v>1.0</v>
      </c>
    </row>
    <row r="83">
      <c r="A83" s="126">
        <v>46104.0</v>
      </c>
      <c r="B83" s="18" t="str">
        <f t="shared" si="1"/>
        <v>Monday</v>
      </c>
      <c r="C83" s="17">
        <v>1.0</v>
      </c>
      <c r="D83" s="17">
        <v>1.0</v>
      </c>
      <c r="E83" s="17">
        <v>1.0</v>
      </c>
      <c r="F83" s="17">
        <v>0.0</v>
      </c>
      <c r="G83" s="17">
        <v>1.0</v>
      </c>
      <c r="H83" s="17">
        <v>1.0</v>
      </c>
      <c r="I83" s="17">
        <v>1.0</v>
      </c>
      <c r="J83" s="17">
        <v>0.0</v>
      </c>
      <c r="K83" s="17">
        <v>1.0</v>
      </c>
      <c r="L83" s="17">
        <v>1.0</v>
      </c>
      <c r="M83" s="17">
        <v>1.0</v>
      </c>
      <c r="N83" s="17">
        <v>1.0</v>
      </c>
      <c r="O83" s="17">
        <v>0.0</v>
      </c>
      <c r="P83" s="17">
        <v>0.0</v>
      </c>
      <c r="Q83" s="17">
        <v>1.0</v>
      </c>
      <c r="R83" s="17">
        <v>1.0</v>
      </c>
      <c r="S83" s="17">
        <v>1.0</v>
      </c>
      <c r="T83" s="17">
        <v>1.0</v>
      </c>
      <c r="U83" s="17">
        <v>1.0</v>
      </c>
      <c r="V83" s="17">
        <v>1.0</v>
      </c>
      <c r="W83" s="17">
        <v>1.0</v>
      </c>
      <c r="X83" s="17">
        <v>0.0</v>
      </c>
      <c r="Y83" s="17">
        <v>1.0</v>
      </c>
      <c r="Z83" s="17">
        <v>1.0</v>
      </c>
      <c r="AA83" s="17">
        <v>1.0</v>
      </c>
      <c r="AB83" s="17">
        <v>1.0</v>
      </c>
      <c r="AC83" s="17">
        <v>1.0</v>
      </c>
      <c r="AD83" s="17">
        <v>1.0</v>
      </c>
      <c r="AE83" s="17">
        <v>1.0</v>
      </c>
      <c r="AF83" s="17">
        <v>1.0</v>
      </c>
    </row>
    <row r="84">
      <c r="A84" s="126">
        <v>46105.0</v>
      </c>
      <c r="B84" s="18" t="str">
        <f t="shared" si="1"/>
        <v>Tuesday</v>
      </c>
      <c r="C84" s="17">
        <v>1.0</v>
      </c>
      <c r="D84" s="17">
        <v>1.0</v>
      </c>
      <c r="E84" s="17">
        <v>1.0</v>
      </c>
      <c r="F84" s="17">
        <v>1.0</v>
      </c>
      <c r="G84" s="17">
        <v>1.0</v>
      </c>
      <c r="H84" s="17">
        <v>1.0</v>
      </c>
      <c r="I84" s="17">
        <v>1.0</v>
      </c>
      <c r="J84" s="17">
        <v>0.0</v>
      </c>
      <c r="K84" s="17">
        <v>1.0</v>
      </c>
      <c r="L84" s="17">
        <v>1.0</v>
      </c>
      <c r="M84" s="17">
        <v>0.0</v>
      </c>
      <c r="N84" s="17">
        <v>1.0</v>
      </c>
      <c r="O84" s="17">
        <v>1.0</v>
      </c>
      <c r="P84" s="17">
        <v>1.0</v>
      </c>
      <c r="Q84" s="17">
        <v>1.0</v>
      </c>
      <c r="R84" s="17">
        <v>1.0</v>
      </c>
      <c r="S84" s="17">
        <v>1.0</v>
      </c>
      <c r="T84" s="17">
        <v>1.0</v>
      </c>
      <c r="U84" s="17">
        <v>1.0</v>
      </c>
      <c r="V84" s="17">
        <v>1.0</v>
      </c>
      <c r="W84" s="17">
        <v>1.0</v>
      </c>
      <c r="X84" s="17">
        <v>1.0</v>
      </c>
      <c r="Y84" s="17">
        <v>1.0</v>
      </c>
      <c r="Z84" s="17">
        <v>1.0</v>
      </c>
      <c r="AA84" s="17">
        <v>1.0</v>
      </c>
      <c r="AB84" s="17">
        <v>1.0</v>
      </c>
      <c r="AC84" s="17">
        <v>1.0</v>
      </c>
      <c r="AD84" s="17">
        <v>1.0</v>
      </c>
      <c r="AE84" s="17">
        <v>1.0</v>
      </c>
      <c r="AF84" s="17">
        <v>1.0</v>
      </c>
    </row>
    <row r="85">
      <c r="A85" s="126">
        <v>46106.0</v>
      </c>
      <c r="B85" s="18" t="str">
        <f t="shared" si="1"/>
        <v>Wednesday</v>
      </c>
      <c r="C85" s="17">
        <v>1.0</v>
      </c>
      <c r="D85" s="17">
        <v>1.0</v>
      </c>
      <c r="E85" s="17">
        <v>0.0</v>
      </c>
      <c r="F85" s="17">
        <v>0.0</v>
      </c>
      <c r="G85" s="17">
        <v>1.0</v>
      </c>
      <c r="H85" s="17">
        <v>1.0</v>
      </c>
      <c r="I85" s="17">
        <v>1.0</v>
      </c>
      <c r="J85" s="17">
        <v>0.0</v>
      </c>
      <c r="K85" s="17">
        <v>1.0</v>
      </c>
      <c r="L85" s="17">
        <v>1.0</v>
      </c>
      <c r="M85" s="17">
        <v>0.0</v>
      </c>
      <c r="N85" s="17">
        <v>1.0</v>
      </c>
      <c r="O85" s="17">
        <v>0.0</v>
      </c>
      <c r="P85" s="17">
        <v>0.0</v>
      </c>
      <c r="Q85" s="17">
        <v>0.0</v>
      </c>
      <c r="R85" s="17">
        <v>1.0</v>
      </c>
      <c r="S85" s="17">
        <v>1.0</v>
      </c>
      <c r="T85" s="17">
        <v>1.0</v>
      </c>
      <c r="U85" s="17">
        <v>1.0</v>
      </c>
      <c r="V85" s="17">
        <v>1.0</v>
      </c>
      <c r="W85" s="17">
        <v>1.0</v>
      </c>
      <c r="X85" s="17">
        <v>1.0</v>
      </c>
      <c r="Y85" s="17">
        <v>1.0</v>
      </c>
      <c r="Z85" s="17">
        <v>1.0</v>
      </c>
      <c r="AA85" s="17">
        <v>1.0</v>
      </c>
      <c r="AB85" s="17">
        <v>1.0</v>
      </c>
      <c r="AC85" s="17">
        <v>0.0</v>
      </c>
      <c r="AD85" s="17">
        <v>1.0</v>
      </c>
      <c r="AE85" s="17">
        <v>1.0</v>
      </c>
      <c r="AF85" s="17">
        <v>1.0</v>
      </c>
    </row>
    <row r="86">
      <c r="A86" s="126">
        <v>46107.0</v>
      </c>
      <c r="B86" s="18" t="str">
        <f t="shared" si="1"/>
        <v>Thursday</v>
      </c>
      <c r="C86" s="17">
        <v>1.0</v>
      </c>
      <c r="D86" s="17">
        <v>1.0</v>
      </c>
      <c r="E86" s="17">
        <v>0.0</v>
      </c>
      <c r="F86" s="17">
        <v>1.0</v>
      </c>
      <c r="G86" s="17">
        <v>1.0</v>
      </c>
      <c r="H86" s="17">
        <v>1.0</v>
      </c>
      <c r="I86" s="17">
        <v>0.0</v>
      </c>
      <c r="J86" s="17">
        <v>0.0</v>
      </c>
      <c r="K86" s="17">
        <v>1.0</v>
      </c>
      <c r="L86" s="17">
        <v>0.0</v>
      </c>
      <c r="M86" s="17">
        <v>0.0</v>
      </c>
      <c r="N86" s="17">
        <v>1.0</v>
      </c>
      <c r="O86" s="17">
        <v>0.0</v>
      </c>
      <c r="P86" s="17">
        <v>0.0</v>
      </c>
      <c r="Q86" s="17">
        <v>0.0</v>
      </c>
      <c r="R86" s="17">
        <v>1.0</v>
      </c>
      <c r="S86" s="17">
        <v>1.0</v>
      </c>
      <c r="T86" s="17">
        <v>1.0</v>
      </c>
      <c r="U86" s="17">
        <v>1.0</v>
      </c>
      <c r="V86" s="17">
        <v>0.0</v>
      </c>
      <c r="W86" s="17">
        <v>1.0</v>
      </c>
      <c r="X86" s="17">
        <v>0.0</v>
      </c>
      <c r="Y86" s="17">
        <v>1.0</v>
      </c>
      <c r="Z86" s="17">
        <v>1.0</v>
      </c>
      <c r="AA86" s="17">
        <v>0.0</v>
      </c>
      <c r="AB86" s="17">
        <v>1.0</v>
      </c>
      <c r="AC86" s="17">
        <v>0.0</v>
      </c>
      <c r="AD86" s="17">
        <v>1.0</v>
      </c>
      <c r="AE86" s="17">
        <v>1.0</v>
      </c>
      <c r="AF86" s="17">
        <v>1.0</v>
      </c>
    </row>
    <row r="87">
      <c r="A87" s="126">
        <v>46108.0</v>
      </c>
      <c r="B87" s="18" t="str">
        <f t="shared" si="1"/>
        <v>Friday</v>
      </c>
      <c r="C87" s="17">
        <v>0.0</v>
      </c>
      <c r="D87" s="17">
        <v>1.0</v>
      </c>
      <c r="E87" s="17">
        <v>1.0</v>
      </c>
      <c r="F87" s="17">
        <v>1.0</v>
      </c>
      <c r="G87" s="17">
        <v>1.0</v>
      </c>
      <c r="H87" s="17">
        <v>1.0</v>
      </c>
      <c r="I87" s="17">
        <v>1.0</v>
      </c>
      <c r="J87" s="17">
        <v>0.0</v>
      </c>
      <c r="K87" s="17">
        <v>1.0</v>
      </c>
      <c r="L87" s="17">
        <v>1.0</v>
      </c>
      <c r="M87" s="17">
        <v>0.0</v>
      </c>
      <c r="N87" s="17">
        <v>1.0</v>
      </c>
      <c r="O87" s="17">
        <v>0.0</v>
      </c>
      <c r="P87" s="17">
        <v>0.0</v>
      </c>
      <c r="Q87" s="17">
        <v>0.0</v>
      </c>
      <c r="R87" s="17">
        <v>1.0</v>
      </c>
      <c r="S87" s="17">
        <v>1.0</v>
      </c>
      <c r="T87" s="17">
        <v>1.0</v>
      </c>
      <c r="U87" s="17">
        <v>1.0</v>
      </c>
      <c r="V87" s="17">
        <v>1.0</v>
      </c>
      <c r="W87" s="17">
        <v>1.0</v>
      </c>
      <c r="X87" s="17">
        <v>1.0</v>
      </c>
      <c r="Y87" s="17">
        <v>1.0</v>
      </c>
      <c r="Z87" s="17">
        <v>1.0</v>
      </c>
      <c r="AA87" s="17">
        <v>1.0</v>
      </c>
      <c r="AB87" s="17">
        <v>1.0</v>
      </c>
      <c r="AC87" s="17">
        <v>1.0</v>
      </c>
      <c r="AD87" s="17">
        <v>1.0</v>
      </c>
      <c r="AE87" s="17">
        <v>1.0</v>
      </c>
      <c r="AF87" s="17">
        <v>1.0</v>
      </c>
    </row>
    <row r="88">
      <c r="A88" s="126">
        <v>46109.0</v>
      </c>
      <c r="B88" s="18" t="str">
        <f t="shared" si="1"/>
        <v>Saturday</v>
      </c>
      <c r="C88" s="17">
        <v>0.0</v>
      </c>
      <c r="D88" s="17">
        <v>0.0</v>
      </c>
      <c r="E88" s="17">
        <v>0.0</v>
      </c>
      <c r="F88" s="17">
        <v>0.0</v>
      </c>
      <c r="G88" s="17">
        <v>1.0</v>
      </c>
      <c r="H88" s="17">
        <v>1.0</v>
      </c>
      <c r="I88" s="17">
        <v>0.0</v>
      </c>
      <c r="J88" s="17">
        <v>0.0</v>
      </c>
      <c r="K88" s="17">
        <v>0.0</v>
      </c>
      <c r="L88" s="17">
        <v>0.0</v>
      </c>
      <c r="M88" s="17">
        <v>0.0</v>
      </c>
      <c r="N88" s="17">
        <v>0.0</v>
      </c>
      <c r="O88" s="17">
        <v>0.0</v>
      </c>
      <c r="P88" s="17">
        <v>0.0</v>
      </c>
      <c r="Q88" s="17">
        <v>0.0</v>
      </c>
      <c r="R88" s="17">
        <v>0.0</v>
      </c>
      <c r="S88" s="17">
        <v>1.0</v>
      </c>
      <c r="T88" s="17">
        <v>1.0</v>
      </c>
      <c r="U88" s="17">
        <v>0.0</v>
      </c>
      <c r="V88" s="17">
        <v>1.0</v>
      </c>
      <c r="W88" s="17">
        <v>1.0</v>
      </c>
      <c r="X88" s="17">
        <v>0.0</v>
      </c>
      <c r="Y88" s="17">
        <v>0.0</v>
      </c>
      <c r="Z88" s="17">
        <v>0.0</v>
      </c>
      <c r="AA88" s="17">
        <v>0.0</v>
      </c>
      <c r="AB88" s="17">
        <v>1.0</v>
      </c>
      <c r="AC88" s="17">
        <v>1.0</v>
      </c>
      <c r="AD88" s="17">
        <v>1.0</v>
      </c>
      <c r="AE88" s="17">
        <v>1.0</v>
      </c>
      <c r="AF88" s="17">
        <v>1.0</v>
      </c>
    </row>
    <row r="89">
      <c r="A89" s="126">
        <v>46110.0</v>
      </c>
      <c r="B89" s="18" t="str">
        <f t="shared" si="1"/>
        <v>Sunday</v>
      </c>
      <c r="C89" s="17">
        <v>1.0</v>
      </c>
      <c r="D89" s="17">
        <v>0.0</v>
      </c>
      <c r="E89" s="17">
        <v>0.0</v>
      </c>
      <c r="F89" s="17">
        <v>0.0</v>
      </c>
      <c r="G89" s="17">
        <v>1.0</v>
      </c>
      <c r="H89" s="17">
        <v>1.0</v>
      </c>
      <c r="I89" s="17">
        <v>0.0</v>
      </c>
      <c r="J89" s="17">
        <v>0.0</v>
      </c>
      <c r="K89" s="17">
        <v>0.0</v>
      </c>
      <c r="L89" s="17">
        <v>0.0</v>
      </c>
      <c r="M89" s="17">
        <v>0.0</v>
      </c>
      <c r="N89" s="17">
        <v>0.0</v>
      </c>
      <c r="O89" s="17">
        <v>0.0</v>
      </c>
      <c r="P89" s="17">
        <v>0.0</v>
      </c>
      <c r="Q89" s="17">
        <v>0.0</v>
      </c>
      <c r="R89" s="17">
        <v>1.0</v>
      </c>
      <c r="S89" s="17">
        <v>1.0</v>
      </c>
      <c r="T89" s="17">
        <v>0.0</v>
      </c>
      <c r="U89" s="17">
        <v>0.0</v>
      </c>
      <c r="V89" s="17">
        <v>0.0</v>
      </c>
      <c r="W89" s="17">
        <v>1.0</v>
      </c>
      <c r="X89" s="17">
        <v>0.0</v>
      </c>
      <c r="Y89" s="17">
        <v>0.0</v>
      </c>
      <c r="Z89" s="17">
        <v>0.0</v>
      </c>
      <c r="AA89" s="17">
        <v>0.0</v>
      </c>
      <c r="AB89" s="17">
        <v>0.0</v>
      </c>
      <c r="AC89" s="17">
        <v>0.0</v>
      </c>
      <c r="AD89" s="17">
        <v>1.0</v>
      </c>
      <c r="AE89" s="17">
        <v>1.0</v>
      </c>
      <c r="AF89" s="17">
        <v>1.0</v>
      </c>
    </row>
    <row r="90">
      <c r="A90" s="126">
        <v>46111.0</v>
      </c>
      <c r="B90" s="18" t="str">
        <f t="shared" si="1"/>
        <v>Monday</v>
      </c>
      <c r="C90" s="17">
        <v>0.0</v>
      </c>
      <c r="D90" s="17">
        <v>1.0</v>
      </c>
      <c r="E90" s="17">
        <v>0.0</v>
      </c>
      <c r="F90" s="17">
        <v>0.0</v>
      </c>
      <c r="G90" s="17">
        <v>0.0</v>
      </c>
      <c r="H90" s="17">
        <v>1.0</v>
      </c>
      <c r="I90" s="17">
        <v>0.0</v>
      </c>
      <c r="J90" s="17">
        <v>0.0</v>
      </c>
      <c r="K90" s="17">
        <v>0.0</v>
      </c>
      <c r="L90" s="17">
        <v>1.0</v>
      </c>
      <c r="M90" s="17">
        <v>0.0</v>
      </c>
      <c r="N90" s="17">
        <v>0.0</v>
      </c>
      <c r="O90" s="17">
        <v>0.0</v>
      </c>
      <c r="P90" s="17">
        <v>0.0</v>
      </c>
      <c r="Q90" s="17">
        <v>0.0</v>
      </c>
      <c r="R90" s="17">
        <v>1.0</v>
      </c>
      <c r="S90" s="17">
        <v>0.0</v>
      </c>
      <c r="T90" s="17">
        <v>1.0</v>
      </c>
      <c r="U90" s="17">
        <v>1.0</v>
      </c>
      <c r="V90" s="17">
        <v>1.0</v>
      </c>
      <c r="W90" s="17">
        <v>0.0</v>
      </c>
      <c r="X90" s="17">
        <v>0.0</v>
      </c>
      <c r="Y90" s="17">
        <v>1.0</v>
      </c>
      <c r="Z90" s="17">
        <v>1.0</v>
      </c>
      <c r="AA90" s="17">
        <v>0.0</v>
      </c>
      <c r="AB90" s="17">
        <v>0.0</v>
      </c>
      <c r="AC90" s="17">
        <v>0.0</v>
      </c>
      <c r="AD90" s="17">
        <v>1.0</v>
      </c>
      <c r="AE90" s="17">
        <v>1.0</v>
      </c>
      <c r="AF90" s="17">
        <v>1.0</v>
      </c>
    </row>
    <row r="91">
      <c r="A91" s="126">
        <v>46112.0</v>
      </c>
      <c r="B91" s="18" t="str">
        <f t="shared" si="1"/>
        <v>Tuesday</v>
      </c>
      <c r="C91" s="17">
        <v>0.0</v>
      </c>
      <c r="D91" s="17">
        <v>1.0</v>
      </c>
      <c r="E91" s="17">
        <v>1.0</v>
      </c>
      <c r="F91" s="17">
        <v>0.0</v>
      </c>
      <c r="G91" s="17">
        <v>1.0</v>
      </c>
      <c r="H91" s="17">
        <v>1.0</v>
      </c>
      <c r="I91" s="17">
        <v>0.0</v>
      </c>
      <c r="J91" s="17">
        <v>0.0</v>
      </c>
      <c r="K91" s="17">
        <v>1.0</v>
      </c>
      <c r="L91" s="17">
        <v>1.0</v>
      </c>
      <c r="M91" s="17">
        <v>1.0</v>
      </c>
      <c r="N91" s="17">
        <v>0.0</v>
      </c>
      <c r="O91" s="17">
        <v>0.0</v>
      </c>
      <c r="P91" s="17">
        <v>0.0</v>
      </c>
      <c r="Q91" s="17">
        <v>1.0</v>
      </c>
      <c r="R91" s="17">
        <v>1.0</v>
      </c>
      <c r="S91" s="17">
        <v>0.0</v>
      </c>
      <c r="T91" s="17">
        <v>1.0</v>
      </c>
      <c r="U91" s="17">
        <v>0.0</v>
      </c>
      <c r="V91" s="17">
        <v>1.0</v>
      </c>
      <c r="W91" s="17">
        <v>0.0</v>
      </c>
      <c r="X91" s="17">
        <v>1.0</v>
      </c>
      <c r="Y91" s="17">
        <v>1.0</v>
      </c>
      <c r="Z91" s="17">
        <v>1.0</v>
      </c>
      <c r="AA91" s="17">
        <v>0.0</v>
      </c>
      <c r="AB91" s="17">
        <v>0.0</v>
      </c>
      <c r="AC91" s="17">
        <v>1.0</v>
      </c>
      <c r="AD91" s="17">
        <v>1.0</v>
      </c>
      <c r="AE91" s="17">
        <v>1.0</v>
      </c>
      <c r="AF91" s="17">
        <v>1.0</v>
      </c>
    </row>
    <row r="92">
      <c r="A92" s="126">
        <v>46113.0</v>
      </c>
      <c r="B92" s="18" t="str">
        <f t="shared" si="1"/>
        <v>Wednesday</v>
      </c>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7"/>
    </row>
    <row r="93">
      <c r="A93" s="126">
        <v>46114.0</v>
      </c>
      <c r="B93" s="18" t="str">
        <f t="shared" si="1"/>
        <v>Thursday</v>
      </c>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row>
    <row r="94">
      <c r="A94" s="126">
        <v>46115.0</v>
      </c>
      <c r="B94" s="18" t="str">
        <f t="shared" si="1"/>
        <v>Friday</v>
      </c>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row>
    <row r="95">
      <c r="A95" s="126">
        <v>46116.0</v>
      </c>
      <c r="B95" s="18" t="str">
        <f t="shared" si="1"/>
        <v>Saturday</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row>
    <row r="96">
      <c r="A96" s="126">
        <v>46117.0</v>
      </c>
      <c r="B96" s="18" t="str">
        <f t="shared" si="1"/>
        <v>Sunday</v>
      </c>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row>
    <row r="97">
      <c r="A97" s="126">
        <v>46118.0</v>
      </c>
      <c r="B97" s="18" t="str">
        <f t="shared" si="1"/>
        <v>Monday</v>
      </c>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row>
    <row r="98">
      <c r="A98" s="126">
        <v>46119.0</v>
      </c>
      <c r="B98" s="18" t="str">
        <f t="shared" si="1"/>
        <v>Tuesday</v>
      </c>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row>
    <row r="99">
      <c r="A99" s="126">
        <v>46120.0</v>
      </c>
      <c r="B99" s="18" t="str">
        <f t="shared" si="1"/>
        <v>Wednesday</v>
      </c>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row>
    <row r="100">
      <c r="A100" s="126">
        <v>46121.0</v>
      </c>
      <c r="B100" s="18" t="str">
        <f t="shared" si="1"/>
        <v>Thursday</v>
      </c>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row>
    <row r="101">
      <c r="A101" s="126">
        <v>46122.0</v>
      </c>
      <c r="B101" s="18" t="str">
        <f t="shared" si="1"/>
        <v>Friday</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row>
    <row r="102">
      <c r="A102" s="126">
        <v>46123.0</v>
      </c>
      <c r="B102" s="18" t="str">
        <f t="shared" si="1"/>
        <v>Saturday</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row>
    <row r="103">
      <c r="A103" s="126">
        <v>46124.0</v>
      </c>
      <c r="B103" s="18" t="str">
        <f t="shared" si="1"/>
        <v>Sunday</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row>
    <row r="104">
      <c r="A104" s="126">
        <v>46125.0</v>
      </c>
      <c r="B104" s="18" t="str">
        <f t="shared" si="1"/>
        <v>Monday</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row>
    <row r="105">
      <c r="A105" s="126">
        <v>46126.0</v>
      </c>
      <c r="B105" s="18" t="str">
        <f t="shared" si="1"/>
        <v>Tuesday</v>
      </c>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row>
    <row r="106">
      <c r="A106" s="126">
        <v>46127.0</v>
      </c>
      <c r="B106" s="18" t="str">
        <f t="shared" si="1"/>
        <v>Wednesday</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row>
    <row r="107">
      <c r="A107" s="126">
        <v>46128.0</v>
      </c>
      <c r="B107" s="18" t="str">
        <f t="shared" si="1"/>
        <v>Thursday</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row>
    <row r="108">
      <c r="A108" s="126">
        <v>46129.0</v>
      </c>
      <c r="B108" s="18" t="str">
        <f t="shared" si="1"/>
        <v>Friday</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row>
    <row r="109">
      <c r="A109" s="126">
        <v>46130.0</v>
      </c>
      <c r="B109" s="18" t="str">
        <f t="shared" si="1"/>
        <v>Saturday</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row>
    <row r="110">
      <c r="A110" s="126">
        <v>46131.0</v>
      </c>
      <c r="B110" s="18" t="str">
        <f t="shared" si="1"/>
        <v>Sunday</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row>
    <row r="111">
      <c r="A111" s="126">
        <v>46132.0</v>
      </c>
      <c r="B111" s="18" t="str">
        <f t="shared" si="1"/>
        <v>Monday</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row>
    <row r="112">
      <c r="A112" s="126">
        <v>46133.0</v>
      </c>
      <c r="B112" s="18" t="str">
        <f t="shared" si="1"/>
        <v>Tuesday</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row>
    <row r="113">
      <c r="A113" s="126">
        <v>46134.0</v>
      </c>
      <c r="B113" s="18" t="str">
        <f t="shared" si="1"/>
        <v>Wednesday</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row>
    <row r="114">
      <c r="A114" s="126">
        <v>46135.0</v>
      </c>
      <c r="B114" s="18" t="str">
        <f t="shared" si="1"/>
        <v>Thursday</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row>
    <row r="115">
      <c r="A115" s="126">
        <v>46136.0</v>
      </c>
      <c r="B115" s="18" t="str">
        <f t="shared" si="1"/>
        <v>Friday</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row>
    <row r="116">
      <c r="A116" s="126">
        <v>46137.0</v>
      </c>
      <c r="B116" s="18" t="str">
        <f t="shared" si="1"/>
        <v>Saturday</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row>
    <row r="117">
      <c r="A117" s="126">
        <v>46138.0</v>
      </c>
      <c r="B117" s="18" t="str">
        <f t="shared" si="1"/>
        <v>Sunday</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row>
    <row r="118">
      <c r="A118" s="126">
        <v>46139.0</v>
      </c>
      <c r="B118" s="18" t="str">
        <f t="shared" si="1"/>
        <v>Monday</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row>
    <row r="119">
      <c r="A119" s="126">
        <v>46140.0</v>
      </c>
      <c r="B119" s="18" t="str">
        <f t="shared" si="1"/>
        <v>Tuesday</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row>
    <row r="120">
      <c r="A120" s="126">
        <v>46141.0</v>
      </c>
      <c r="B120" s="18" t="str">
        <f t="shared" si="1"/>
        <v>Wednesday</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row>
    <row r="121">
      <c r="A121" s="126">
        <v>46142.0</v>
      </c>
      <c r="B121" s="18" t="str">
        <f t="shared" si="1"/>
        <v>Thursday</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row>
    <row r="122">
      <c r="A122" s="126">
        <v>46143.0</v>
      </c>
      <c r="B122" s="18" t="str">
        <f t="shared" si="1"/>
        <v>Friday</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row>
    <row r="123">
      <c r="A123" s="126">
        <v>46144.0</v>
      </c>
      <c r="B123" s="18" t="str">
        <f t="shared" si="1"/>
        <v>Saturday</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row>
    <row r="124">
      <c r="A124" s="126">
        <v>46145.0</v>
      </c>
      <c r="B124" s="18" t="str">
        <f t="shared" si="1"/>
        <v>Sunday</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row>
    <row r="125">
      <c r="A125" s="126">
        <v>46146.0</v>
      </c>
      <c r="B125" s="18" t="str">
        <f t="shared" si="1"/>
        <v>Monday</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row>
    <row r="126">
      <c r="A126" s="126">
        <v>46147.0</v>
      </c>
      <c r="B126" s="18" t="str">
        <f t="shared" si="1"/>
        <v>Tuesday</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row>
    <row r="127">
      <c r="A127" s="126">
        <v>46148.0</v>
      </c>
      <c r="B127" s="18" t="str">
        <f t="shared" si="1"/>
        <v>Wednesday</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row>
    <row r="128">
      <c r="A128" s="126">
        <v>46149.0</v>
      </c>
      <c r="B128" s="18" t="str">
        <f t="shared" si="1"/>
        <v>Thursday</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row>
    <row r="129">
      <c r="A129" s="126">
        <v>46150.0</v>
      </c>
      <c r="B129" s="18" t="str">
        <f t="shared" si="1"/>
        <v>Friday</v>
      </c>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row>
    <row r="130">
      <c r="A130" s="126">
        <v>46151.0</v>
      </c>
      <c r="B130" s="18" t="str">
        <f t="shared" si="1"/>
        <v>Saturday</v>
      </c>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row>
    <row r="131">
      <c r="A131" s="126">
        <v>46152.0</v>
      </c>
      <c r="B131" s="18" t="str">
        <f t="shared" si="1"/>
        <v>Sunday</v>
      </c>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row>
    <row r="132">
      <c r="A132" s="126">
        <v>46153.0</v>
      </c>
      <c r="B132" s="18" t="str">
        <f t="shared" si="1"/>
        <v>Monday</v>
      </c>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row>
    <row r="133">
      <c r="A133" s="126">
        <v>46154.0</v>
      </c>
      <c r="B133" s="18" t="str">
        <f t="shared" si="1"/>
        <v>Tuesday</v>
      </c>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row>
    <row r="134">
      <c r="A134" s="126">
        <v>46155.0</v>
      </c>
      <c r="B134" s="18" t="str">
        <f t="shared" si="1"/>
        <v>Wednesday</v>
      </c>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row>
    <row r="135">
      <c r="A135" s="126">
        <v>46156.0</v>
      </c>
      <c r="B135" s="18" t="str">
        <f t="shared" si="1"/>
        <v>Thursday</v>
      </c>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row>
    <row r="136">
      <c r="A136" s="126">
        <v>46157.0</v>
      </c>
      <c r="B136" s="18" t="str">
        <f t="shared" si="1"/>
        <v>Friday</v>
      </c>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row>
    <row r="137">
      <c r="A137" s="126">
        <v>46158.0</v>
      </c>
      <c r="B137" s="18" t="str">
        <f t="shared" si="1"/>
        <v>Saturday</v>
      </c>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row>
    <row r="138">
      <c r="A138" s="126">
        <v>46159.0</v>
      </c>
      <c r="B138" s="18" t="str">
        <f t="shared" si="1"/>
        <v>Sunday</v>
      </c>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row>
    <row r="139">
      <c r="A139" s="126">
        <v>46160.0</v>
      </c>
      <c r="B139" s="18" t="str">
        <f t="shared" si="1"/>
        <v>Monday</v>
      </c>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row>
    <row r="140">
      <c r="A140" s="126">
        <v>46161.0</v>
      </c>
      <c r="B140" s="18" t="str">
        <f t="shared" si="1"/>
        <v>Tuesday</v>
      </c>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row>
    <row r="141">
      <c r="A141" s="126">
        <v>46162.0</v>
      </c>
      <c r="B141" s="18" t="str">
        <f t="shared" si="1"/>
        <v>Wednesday</v>
      </c>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row>
    <row r="142">
      <c r="A142" s="126">
        <v>46163.0</v>
      </c>
      <c r="B142" s="18" t="str">
        <f t="shared" si="1"/>
        <v>Thursday</v>
      </c>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row>
    <row r="143">
      <c r="A143" s="126">
        <v>46164.0</v>
      </c>
      <c r="B143" s="18" t="str">
        <f t="shared" si="1"/>
        <v>Friday</v>
      </c>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row>
    <row r="144">
      <c r="A144" s="126">
        <v>46165.0</v>
      </c>
      <c r="B144" s="18" t="str">
        <f t="shared" si="1"/>
        <v>Saturday</v>
      </c>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row>
    <row r="145">
      <c r="A145" s="126">
        <v>46166.0</v>
      </c>
      <c r="B145" s="18" t="str">
        <f t="shared" si="1"/>
        <v>Sunday</v>
      </c>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row>
    <row r="146">
      <c r="A146" s="126">
        <v>46167.0</v>
      </c>
      <c r="B146" s="18" t="str">
        <f t="shared" si="1"/>
        <v>Monday</v>
      </c>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row>
    <row r="147">
      <c r="A147" s="126">
        <v>46168.0</v>
      </c>
      <c r="B147" s="18" t="str">
        <f t="shared" si="1"/>
        <v>Tuesday</v>
      </c>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row>
    <row r="148">
      <c r="A148" s="126">
        <v>46169.0</v>
      </c>
      <c r="B148" s="18" t="str">
        <f t="shared" si="1"/>
        <v>Wednesday</v>
      </c>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row>
    <row r="149">
      <c r="A149" s="126">
        <v>46170.0</v>
      </c>
      <c r="B149" s="18" t="str">
        <f t="shared" si="1"/>
        <v>Thursday</v>
      </c>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row>
    <row r="150">
      <c r="A150" s="126">
        <v>46171.0</v>
      </c>
      <c r="B150" s="18" t="str">
        <f t="shared" si="1"/>
        <v>Friday</v>
      </c>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row>
    <row r="151">
      <c r="A151" s="126">
        <v>46172.0</v>
      </c>
      <c r="B151" s="18" t="str">
        <f t="shared" si="1"/>
        <v>Saturday</v>
      </c>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row>
    <row r="152">
      <c r="A152" s="126">
        <v>46173.0</v>
      </c>
      <c r="B152" s="18" t="str">
        <f t="shared" si="1"/>
        <v>Sunday</v>
      </c>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row>
    <row r="153">
      <c r="A153" s="126">
        <v>46174.0</v>
      </c>
      <c r="B153" s="18" t="str">
        <f t="shared" si="1"/>
        <v>Monday</v>
      </c>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row>
    <row r="154">
      <c r="A154" s="126">
        <v>46175.0</v>
      </c>
      <c r="B154" s="18" t="str">
        <f t="shared" si="1"/>
        <v>Tuesday</v>
      </c>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row>
    <row r="155">
      <c r="A155" s="126">
        <v>46176.0</v>
      </c>
      <c r="B155" s="18" t="str">
        <f t="shared" si="1"/>
        <v>Wednesday</v>
      </c>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row>
    <row r="156">
      <c r="A156" s="126">
        <v>46177.0</v>
      </c>
      <c r="B156" s="18" t="str">
        <f t="shared" si="1"/>
        <v>Thursday</v>
      </c>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row>
    <row r="157">
      <c r="A157" s="126">
        <v>46178.0</v>
      </c>
      <c r="B157" s="18" t="str">
        <f t="shared" si="1"/>
        <v>Friday</v>
      </c>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row>
    <row r="158">
      <c r="A158" s="126">
        <v>46179.0</v>
      </c>
      <c r="B158" s="18" t="str">
        <f t="shared" si="1"/>
        <v>Saturday</v>
      </c>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row>
    <row r="159">
      <c r="A159" s="126">
        <v>46180.0</v>
      </c>
      <c r="B159" s="18" t="str">
        <f t="shared" si="1"/>
        <v>Sunday</v>
      </c>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row>
    <row r="160">
      <c r="A160" s="126">
        <v>46181.0</v>
      </c>
      <c r="B160" s="18" t="str">
        <f t="shared" si="1"/>
        <v>Monday</v>
      </c>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row>
    <row r="161">
      <c r="A161" s="126">
        <v>46182.0</v>
      </c>
      <c r="B161" s="18" t="str">
        <f t="shared" si="1"/>
        <v>Tuesday</v>
      </c>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row>
    <row r="162">
      <c r="A162" s="126">
        <v>46183.0</v>
      </c>
      <c r="B162" s="18" t="str">
        <f t="shared" si="1"/>
        <v>Wednesday</v>
      </c>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row>
    <row r="163">
      <c r="A163" s="126">
        <v>46184.0</v>
      </c>
      <c r="B163" s="18" t="str">
        <f t="shared" si="1"/>
        <v>Thursday</v>
      </c>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row>
    <row r="164">
      <c r="A164" s="126">
        <v>46185.0</v>
      </c>
      <c r="B164" s="18" t="str">
        <f t="shared" si="1"/>
        <v>Friday</v>
      </c>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row>
    <row r="165">
      <c r="A165" s="126">
        <v>46186.0</v>
      </c>
      <c r="B165" s="18" t="str">
        <f t="shared" si="1"/>
        <v>Saturday</v>
      </c>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row>
    <row r="166">
      <c r="A166" s="126">
        <v>46187.0</v>
      </c>
      <c r="B166" s="18" t="str">
        <f t="shared" si="1"/>
        <v>Sunday</v>
      </c>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row>
    <row r="167">
      <c r="A167" s="126">
        <v>46188.0</v>
      </c>
      <c r="B167" s="18" t="str">
        <f t="shared" si="1"/>
        <v>Monday</v>
      </c>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row>
    <row r="168">
      <c r="A168" s="126">
        <v>46189.0</v>
      </c>
      <c r="B168" s="18" t="str">
        <f t="shared" si="1"/>
        <v>Tuesday</v>
      </c>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row>
    <row r="169">
      <c r="A169" s="126">
        <v>46190.0</v>
      </c>
      <c r="B169" s="18" t="str">
        <f t="shared" si="1"/>
        <v>Wednesday</v>
      </c>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row>
    <row r="170">
      <c r="A170" s="126">
        <v>46191.0</v>
      </c>
      <c r="B170" s="18" t="str">
        <f t="shared" si="1"/>
        <v>Thursday</v>
      </c>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row>
    <row r="171">
      <c r="A171" s="126">
        <v>46192.0</v>
      </c>
      <c r="B171" s="18" t="str">
        <f t="shared" si="1"/>
        <v>Friday</v>
      </c>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row>
    <row r="172">
      <c r="A172" s="126">
        <v>46193.0</v>
      </c>
      <c r="B172" s="18" t="str">
        <f t="shared" si="1"/>
        <v>Saturday</v>
      </c>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row>
    <row r="173">
      <c r="A173" s="126">
        <v>46194.0</v>
      </c>
      <c r="B173" s="18" t="str">
        <f t="shared" si="1"/>
        <v>Sunday</v>
      </c>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row>
    <row r="174">
      <c r="A174" s="126">
        <v>46195.0</v>
      </c>
      <c r="B174" s="18" t="str">
        <f t="shared" si="1"/>
        <v>Monday</v>
      </c>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row>
    <row r="175">
      <c r="A175" s="126">
        <v>46196.0</v>
      </c>
      <c r="B175" s="18" t="str">
        <f t="shared" si="1"/>
        <v>Tuesday</v>
      </c>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row>
    <row r="176">
      <c r="A176" s="126">
        <v>46197.0</v>
      </c>
      <c r="B176" s="18" t="str">
        <f t="shared" si="1"/>
        <v>Wednesday</v>
      </c>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row>
    <row r="177">
      <c r="A177" s="126">
        <v>46198.0</v>
      </c>
      <c r="B177" s="18" t="str">
        <f t="shared" si="1"/>
        <v>Thursday</v>
      </c>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row>
    <row r="178">
      <c r="A178" s="126">
        <v>46199.0</v>
      </c>
      <c r="B178" s="18" t="str">
        <f t="shared" si="1"/>
        <v>Friday</v>
      </c>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row>
    <row r="179">
      <c r="A179" s="126">
        <v>46200.0</v>
      </c>
      <c r="B179" s="18" t="str">
        <f t="shared" si="1"/>
        <v>Saturday</v>
      </c>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row>
    <row r="180">
      <c r="A180" s="126">
        <v>46201.0</v>
      </c>
      <c r="B180" s="18" t="str">
        <f t="shared" si="1"/>
        <v>Sunday</v>
      </c>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row>
    <row r="181">
      <c r="A181" s="126">
        <v>46202.0</v>
      </c>
      <c r="B181" s="18" t="str">
        <f t="shared" si="1"/>
        <v>Monday</v>
      </c>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row>
    <row r="182">
      <c r="A182" s="126">
        <v>46203.0</v>
      </c>
      <c r="B182" s="18" t="str">
        <f t="shared" si="1"/>
        <v>Tuesday</v>
      </c>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row>
    <row r="183">
      <c r="A183" s="127"/>
    </row>
    <row r="184">
      <c r="A184" s="127"/>
    </row>
    <row r="185">
      <c r="A185" s="127"/>
    </row>
    <row r="186">
      <c r="A186" s="12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s>
  <sheetData>
    <row r="1">
      <c r="A1" s="16" t="s">
        <v>0</v>
      </c>
      <c r="B1" s="16" t="s">
        <v>145</v>
      </c>
      <c r="C1" s="16" t="s">
        <v>146</v>
      </c>
      <c r="D1" s="16" t="s">
        <v>147</v>
      </c>
      <c r="E1" s="16" t="s">
        <v>148</v>
      </c>
      <c r="F1" s="16" t="s">
        <v>149</v>
      </c>
      <c r="G1" s="16" t="s">
        <v>310</v>
      </c>
      <c r="H1" s="22"/>
      <c r="I1" s="22"/>
      <c r="J1" s="22"/>
      <c r="K1" s="22"/>
      <c r="L1" s="22"/>
      <c r="M1" s="22"/>
      <c r="N1" s="22"/>
      <c r="O1" s="22"/>
      <c r="P1" s="22"/>
      <c r="Q1" s="22"/>
      <c r="R1" s="22"/>
      <c r="S1" s="22"/>
      <c r="T1" s="22"/>
      <c r="U1" s="22"/>
      <c r="V1" s="22"/>
      <c r="W1" s="22"/>
      <c r="X1" s="22"/>
      <c r="Y1" s="22"/>
      <c r="Z1" s="22"/>
    </row>
    <row r="2">
      <c r="A2" s="18" t="s">
        <v>140</v>
      </c>
      <c r="B2" s="18" t="str">
        <f>AVERAGEIFS('LOG Complain'!$G$1:$G$497,'LOG Complain'!$C$1:$C$497,$A2,'LOG Complain'!$B$1:$B$497,B$1)</f>
        <v>#DIV/0!</v>
      </c>
      <c r="C2" s="18" t="str">
        <f>AVERAGEIFS('LOG Complain'!$G:$G,'LOG Complain'!$C:$C,$A2,'LOG Complain'!$B:$B,C$1)</f>
        <v>#DIV/0!</v>
      </c>
      <c r="D2" s="18" t="str">
        <f>AVERAGEIFS('LOG Complain'!$G:$G,'LOG Complain'!$C:$C,$A2,'LOG Complain'!$B:$B,D$1)</f>
        <v>#DIV/0!</v>
      </c>
      <c r="E2" s="18" t="str">
        <f>AVERAGEIFS('LOG Complain'!$G:$G,'LOG Complain'!$C:$C,$A2,'LOG Complain'!$B:$B,E$1)</f>
        <v>#DIV/0!</v>
      </c>
      <c r="F2" s="18" t="str">
        <f>AVERAGEIFS('LOG Complain'!$G:$G,'LOG Complain'!$C:$C,$A2,'LOG Complain'!$B:$B,F$1)</f>
        <v>#DIV/0!</v>
      </c>
      <c r="G2" s="18" t="str">
        <f>AVERAGEIFS('LOG Complain'!$G:$G,'LOG Complain'!$C:$C,$A2,'LOG Complain'!$B:$B,G$1)</f>
        <v>#DIV/0!</v>
      </c>
    </row>
    <row r="3">
      <c r="A3" s="18" t="s">
        <v>131</v>
      </c>
      <c r="B3" s="18" t="str">
        <f>AVERAGEIFS('LOG Complain'!$G:$G,'LOG Complain'!$C:$C,$A3,'LOG Complain'!$B:$B,B$1)</f>
        <v>#DIV/0!</v>
      </c>
      <c r="C3" s="18" t="str">
        <f>AVERAGEIFS('LOG Complain'!$G:$G,'LOG Complain'!$C:$C,$A3,'LOG Complain'!$B:$B,C$1)</f>
        <v>#DIV/0!</v>
      </c>
      <c r="D3" s="18" t="str">
        <f>AVERAGEIFS('LOG Complain'!$G:$G,'LOG Complain'!$C:$C,$A3,'LOG Complain'!$B:$B,D$1)</f>
        <v>#DIV/0!</v>
      </c>
      <c r="E3" s="18" t="str">
        <f>AVERAGEIFS('LOG Complain'!$G:$G,'LOG Complain'!$C:$C,$A3,'LOG Complain'!$B:$B,E$1)</f>
        <v>#DIV/0!</v>
      </c>
      <c r="F3" s="18" t="str">
        <f>AVERAGEIFS('LOG Complain'!$G:$G,'LOG Complain'!$C:$C,$A3,'LOG Complain'!$B:$B,F$1)</f>
        <v>#DIV/0!</v>
      </c>
      <c r="G3" s="18" t="str">
        <f>AVERAGEIFS('LOG Complain'!$G:$G,'LOG Complain'!$C:$C,$A3,'LOG Complain'!$B:$B,G$1)</f>
        <v>#DIV/0!</v>
      </c>
    </row>
    <row r="4">
      <c r="A4" s="18" t="s">
        <v>136</v>
      </c>
      <c r="B4" s="18" t="str">
        <f>AVERAGEIFS('LOG Complain'!$G:$G,'LOG Complain'!$C:$C,$A4,'LOG Complain'!$B:$B,B$1)</f>
        <v>#DIV/0!</v>
      </c>
      <c r="C4" s="18" t="str">
        <f>AVERAGEIFS('LOG Complain'!$G:$G,'LOG Complain'!$C:$C,$A4,'LOG Complain'!$B:$B,C$1)</f>
        <v>#DIV/0!</v>
      </c>
      <c r="D4" s="18" t="str">
        <f>AVERAGEIFS('LOG Complain'!$G:$G,'LOG Complain'!$C:$C,$A4,'LOG Complain'!$B:$B,D$1)</f>
        <v>#DIV/0!</v>
      </c>
      <c r="E4" s="18" t="str">
        <f>AVERAGEIFS('LOG Complain'!$G:$G,'LOG Complain'!$C:$C,$A4,'LOG Complain'!$B:$B,E$1)</f>
        <v>#DIV/0!</v>
      </c>
      <c r="F4" s="18" t="str">
        <f>AVERAGEIFS('LOG Complain'!$G:$G,'LOG Complain'!$C:$C,$A4,'LOG Complain'!$B:$B,F$1)</f>
        <v>#DIV/0!</v>
      </c>
      <c r="G4" s="18" t="str">
        <f>AVERAGEIFS('LOG Complain'!$G:$G,'LOG Complain'!$C:$C,$A4,'LOG Complain'!$B:$B,G$1)</f>
        <v>#DIV/0!</v>
      </c>
    </row>
    <row r="5">
      <c r="A5" s="18" t="s">
        <v>135</v>
      </c>
      <c r="B5" s="18" t="str">
        <f>AVERAGEIFS('LOG Complain'!$G:$G,'LOG Complain'!$C:$C,$A5,'LOG Complain'!$B:$B,B$1)</f>
        <v>#DIV/0!</v>
      </c>
      <c r="C5" s="18" t="str">
        <f>AVERAGEIFS('LOG Complain'!$G:$G,'LOG Complain'!$C:$C,$A5,'LOG Complain'!$B:$B,C$1)</f>
        <v>#DIV/0!</v>
      </c>
      <c r="D5" s="18" t="str">
        <f>AVERAGEIFS('LOG Complain'!$G:$G,'LOG Complain'!$C:$C,$A5,'LOG Complain'!$B:$B,D$1)</f>
        <v>#DIV/0!</v>
      </c>
      <c r="E5" s="18" t="str">
        <f>AVERAGEIFS('LOG Complain'!$G:$G,'LOG Complain'!$C:$C,$A5,'LOG Complain'!$B:$B,E$1)</f>
        <v>#DIV/0!</v>
      </c>
      <c r="F5" s="18" t="str">
        <f>AVERAGEIFS('LOG Complain'!$G:$G,'LOG Complain'!$C:$C,$A5,'LOG Complain'!$B:$B,F$1)</f>
        <v>#DIV/0!</v>
      </c>
      <c r="G5" s="18" t="str">
        <f>AVERAGEIFS('LOG Complain'!$G:$G,'LOG Complain'!$C:$C,$A5,'LOG Complain'!$B:$B,G$1)</f>
        <v>#DIV/0!</v>
      </c>
    </row>
    <row r="6">
      <c r="A6" s="18" t="s">
        <v>122</v>
      </c>
      <c r="B6" s="18" t="str">
        <f>AVERAGEIFS('LOG Complain'!$G:$G,'LOG Complain'!$C:$C,$A6,'LOG Complain'!$B:$B,B$1)</f>
        <v>#DIV/0!</v>
      </c>
      <c r="C6" s="18" t="str">
        <f>AVERAGEIFS('LOG Complain'!$G:$G,'LOG Complain'!$C:$C,$A6,'LOG Complain'!$B:$B,C$1)</f>
        <v>#DIV/0!</v>
      </c>
      <c r="D6" s="18" t="str">
        <f>AVERAGEIFS('LOG Complain'!$G:$G,'LOG Complain'!$C:$C,$A6,'LOG Complain'!$B:$B,D$1)</f>
        <v>#DIV/0!</v>
      </c>
      <c r="E6" s="18" t="str">
        <f>AVERAGEIFS('LOG Complain'!$G:$G,'LOG Complain'!$C:$C,$A6,'LOG Complain'!$B:$B,E$1)</f>
        <v>#DIV/0!</v>
      </c>
      <c r="F6" s="18" t="str">
        <f>AVERAGEIFS('LOG Complain'!$G:$G,'LOG Complain'!$C:$C,$A6,'LOG Complain'!$B:$B,F$1)</f>
        <v>#DIV/0!</v>
      </c>
      <c r="G6" s="18" t="str">
        <f>AVERAGEIFS('LOG Complain'!$G:$G,'LOG Complain'!$C:$C,$A6,'LOG Complain'!$B:$B,G$1)</f>
        <v>#DIV/0!</v>
      </c>
    </row>
    <row r="7">
      <c r="A7" s="18" t="s">
        <v>116</v>
      </c>
      <c r="B7" s="18" t="str">
        <f>AVERAGEIFS('LOG Complain'!$G:$G,'LOG Complain'!$C:$C,$A7,'LOG Complain'!$B:$B,B$1)</f>
        <v>#DIV/0!</v>
      </c>
      <c r="C7" s="18" t="str">
        <f>AVERAGEIFS('LOG Complain'!$G:$G,'LOG Complain'!$C:$C,$A7,'LOG Complain'!$B:$B,C$1)</f>
        <v>#DIV/0!</v>
      </c>
      <c r="D7" s="18" t="str">
        <f>AVERAGEIFS('LOG Complain'!$G:$G,'LOG Complain'!$C:$C,$A7,'LOG Complain'!$B:$B,D$1)</f>
        <v>#DIV/0!</v>
      </c>
      <c r="E7" s="18" t="str">
        <f>AVERAGEIFS('LOG Complain'!$G:$G,'LOG Complain'!$C:$C,$A7,'LOG Complain'!$B:$B,E$1)</f>
        <v>#DIV/0!</v>
      </c>
      <c r="F7" s="18" t="str">
        <f>AVERAGEIFS('LOG Complain'!$G:$G,'LOG Complain'!$C:$C,$A7,'LOG Complain'!$B:$B,F$1)</f>
        <v>#DIV/0!</v>
      </c>
      <c r="G7" s="18" t="str">
        <f>AVERAGEIFS('LOG Complain'!$G:$G,'LOG Complain'!$C:$C,$A7,'LOG Complain'!$B:$B,G$1)</f>
        <v>#DIV/0!</v>
      </c>
    </row>
    <row r="8">
      <c r="A8" s="18" t="s">
        <v>133</v>
      </c>
      <c r="B8" s="18" t="str">
        <f>AVERAGEIFS('LOG Complain'!$G:$G,'LOG Complain'!$C:$C,$A8,'LOG Complain'!$B:$B,B$1)</f>
        <v>#DIV/0!</v>
      </c>
      <c r="C8" s="18" t="str">
        <f>AVERAGEIFS('LOG Complain'!$G:$G,'LOG Complain'!$C:$C,$A8,'LOG Complain'!$B:$B,C$1)</f>
        <v>#DIV/0!</v>
      </c>
      <c r="D8" s="18" t="str">
        <f>AVERAGEIFS('LOG Complain'!$G:$G,'LOG Complain'!$C:$C,$A8,'LOG Complain'!$B:$B,D$1)</f>
        <v>#DIV/0!</v>
      </c>
      <c r="E8" s="18" t="str">
        <f>AVERAGEIFS('LOG Complain'!$G:$G,'LOG Complain'!$C:$C,$A8,'LOG Complain'!$B:$B,E$1)</f>
        <v>#DIV/0!</v>
      </c>
      <c r="F8" s="18" t="str">
        <f>AVERAGEIFS('LOG Complain'!$G:$G,'LOG Complain'!$C:$C,$A8,'LOG Complain'!$B:$B,F$1)</f>
        <v>#DIV/0!</v>
      </c>
      <c r="G8" s="18" t="str">
        <f>AVERAGEIFS('LOG Complain'!$G:$G,'LOG Complain'!$C:$C,$A8,'LOG Complain'!$B:$B,G$1)</f>
        <v>#DIV/0!</v>
      </c>
    </row>
    <row r="9">
      <c r="A9" s="18" t="s">
        <v>138</v>
      </c>
      <c r="B9" s="18" t="str">
        <f>AVERAGEIFS('LOG Complain'!$G:$G,'LOG Complain'!$C:$C,$A9,'LOG Complain'!$B:$B,B$1)</f>
        <v>#DIV/0!</v>
      </c>
      <c r="C9" s="18" t="str">
        <f>AVERAGEIFS('LOG Complain'!$G:$G,'LOG Complain'!$C:$C,$A9,'LOG Complain'!$B:$B,C$1)</f>
        <v>#DIV/0!</v>
      </c>
      <c r="D9" s="18" t="str">
        <f>AVERAGEIFS('LOG Complain'!$G:$G,'LOG Complain'!$C:$C,$A9,'LOG Complain'!$B:$B,D$1)</f>
        <v>#DIV/0!</v>
      </c>
      <c r="E9" s="18" t="str">
        <f>AVERAGEIFS('LOG Complain'!$G:$G,'LOG Complain'!$C:$C,$A9,'LOG Complain'!$B:$B,E$1)</f>
        <v>#DIV/0!</v>
      </c>
      <c r="F9" s="18" t="str">
        <f>AVERAGEIFS('LOG Complain'!$G:$G,'LOG Complain'!$C:$C,$A9,'LOG Complain'!$B:$B,F$1)</f>
        <v>#DIV/0!</v>
      </c>
      <c r="G9" s="18" t="str">
        <f>AVERAGEIFS('LOG Complain'!$G:$G,'LOG Complain'!$C:$C,$A9,'LOG Complain'!$B:$B,G$1)</f>
        <v>#DIV/0!</v>
      </c>
    </row>
    <row r="10">
      <c r="A10" s="18" t="s">
        <v>143</v>
      </c>
      <c r="B10" s="18" t="str">
        <f>AVERAGEIFS('LOG Complain'!$G:$G,'LOG Complain'!$C:$C,$A10,'LOG Complain'!$B:$B,B$1)</f>
        <v>#DIV/0!</v>
      </c>
      <c r="C10" s="18" t="str">
        <f>AVERAGEIFS('LOG Complain'!$G:$G,'LOG Complain'!$C:$C,$A10,'LOG Complain'!$B:$B,C$1)</f>
        <v>#DIV/0!</v>
      </c>
      <c r="D10" s="18" t="str">
        <f>AVERAGEIFS('LOG Complain'!$G:$G,'LOG Complain'!$C:$C,$A10,'LOG Complain'!$B:$B,D$1)</f>
        <v>#DIV/0!</v>
      </c>
      <c r="E10" s="18" t="str">
        <f>AVERAGEIFS('LOG Complain'!$G:$G,'LOG Complain'!$C:$C,$A10,'LOG Complain'!$B:$B,E$1)</f>
        <v>#DIV/0!</v>
      </c>
      <c r="F10" s="18" t="str">
        <f>AVERAGEIFS('LOG Complain'!$G:$G,'LOG Complain'!$C:$C,$A10,'LOG Complain'!$B:$B,F$1)</f>
        <v>#DIV/0!</v>
      </c>
      <c r="G10" s="18" t="str">
        <f>AVERAGEIFS('LOG Complain'!$G:$G,'LOG Complain'!$C:$C,$A10,'LOG Complain'!$B:$B,G$1)</f>
        <v>#DIV/0!</v>
      </c>
    </row>
    <row r="11">
      <c r="A11" s="18" t="s">
        <v>137</v>
      </c>
      <c r="B11" s="18" t="str">
        <f>AVERAGEIFS('LOG Complain'!$G:$G,'LOG Complain'!$C:$C,$A11,'LOG Complain'!$B:$B,B$1)</f>
        <v>#DIV/0!</v>
      </c>
      <c r="C11" s="18" t="str">
        <f>AVERAGEIFS('LOG Complain'!$G:$G,'LOG Complain'!$C:$C,$A11,'LOG Complain'!$B:$B,C$1)</f>
        <v>#DIV/0!</v>
      </c>
      <c r="D11" s="18" t="str">
        <f>AVERAGEIFS('LOG Complain'!$G:$G,'LOG Complain'!$C:$C,$A11,'LOG Complain'!$B:$B,D$1)</f>
        <v>#DIV/0!</v>
      </c>
      <c r="E11" s="18" t="str">
        <f>AVERAGEIFS('LOG Complain'!$G:$G,'LOG Complain'!$C:$C,$A11,'LOG Complain'!$B:$B,E$1)</f>
        <v>#DIV/0!</v>
      </c>
      <c r="F11" s="18" t="str">
        <f>AVERAGEIFS('LOG Complain'!$G:$G,'LOG Complain'!$C:$C,$A11,'LOG Complain'!$B:$B,F$1)</f>
        <v>#DIV/0!</v>
      </c>
      <c r="G11" s="18" t="str">
        <f>AVERAGEIFS('LOG Complain'!$G:$G,'LOG Complain'!$C:$C,$A11,'LOG Complain'!$B:$B,G$1)</f>
        <v>#DIV/0!</v>
      </c>
    </row>
    <row r="12">
      <c r="A12" s="18" t="s">
        <v>128</v>
      </c>
      <c r="B12" s="18" t="str">
        <f>AVERAGEIFS('LOG Complain'!$G:$G,'LOG Complain'!$C:$C,$A12,'LOG Complain'!$B:$B,B$1)</f>
        <v>#DIV/0!</v>
      </c>
      <c r="C12" s="18" t="str">
        <f>AVERAGEIFS('LOG Complain'!$G:$G,'LOG Complain'!$C:$C,$A12,'LOG Complain'!$B:$B,C$1)</f>
        <v>#DIV/0!</v>
      </c>
      <c r="D12" s="18" t="str">
        <f>AVERAGEIFS('LOG Complain'!$G:$G,'LOG Complain'!$C:$C,$A12,'LOG Complain'!$B:$B,D$1)</f>
        <v>#DIV/0!</v>
      </c>
      <c r="E12" s="18" t="str">
        <f>AVERAGEIFS('LOG Complain'!$G:$G,'LOG Complain'!$C:$C,$A12,'LOG Complain'!$B:$B,E$1)</f>
        <v>#DIV/0!</v>
      </c>
      <c r="F12" s="18" t="str">
        <f>AVERAGEIFS('LOG Complain'!$G:$G,'LOG Complain'!$C:$C,$A12,'LOG Complain'!$B:$B,F$1)</f>
        <v>#DIV/0!</v>
      </c>
      <c r="G12" s="18" t="str">
        <f>AVERAGEIFS('LOG Complain'!$G:$G,'LOG Complain'!$C:$C,$A12,'LOG Complain'!$B:$B,G$1)</f>
        <v>#DIV/0!</v>
      </c>
    </row>
    <row r="13">
      <c r="A13" s="18" t="s">
        <v>121</v>
      </c>
      <c r="B13" s="18" t="str">
        <f>AVERAGEIFS('LOG Complain'!$G:$G,'LOG Complain'!$C:$C,$A13,'LOG Complain'!$B:$B,B$1)</f>
        <v>#DIV/0!</v>
      </c>
      <c r="C13" s="18" t="str">
        <f>AVERAGEIFS('LOG Complain'!$G:$G,'LOG Complain'!$C:$C,$A13,'LOG Complain'!$B:$B,C$1)</f>
        <v>#DIV/0!</v>
      </c>
      <c r="D13" s="18" t="str">
        <f>AVERAGEIFS('LOG Complain'!$G:$G,'LOG Complain'!$C:$C,$A13,'LOG Complain'!$B:$B,D$1)</f>
        <v>#DIV/0!</v>
      </c>
      <c r="E13" s="18" t="str">
        <f>AVERAGEIFS('LOG Complain'!$G:$G,'LOG Complain'!$C:$C,$A13,'LOG Complain'!$B:$B,E$1)</f>
        <v>#DIV/0!</v>
      </c>
      <c r="F13" s="18" t="str">
        <f>AVERAGEIFS('LOG Complain'!$G:$G,'LOG Complain'!$C:$C,$A13,'LOG Complain'!$B:$B,F$1)</f>
        <v>#DIV/0!</v>
      </c>
      <c r="G13" s="18" t="str">
        <f>AVERAGEIFS('LOG Complain'!$G:$G,'LOG Complain'!$C:$C,$A13,'LOG Complain'!$B:$B,G$1)</f>
        <v>#DIV/0!</v>
      </c>
    </row>
    <row r="14">
      <c r="A14" s="18" t="s">
        <v>139</v>
      </c>
      <c r="B14" s="18" t="str">
        <f>AVERAGEIFS('LOG Complain'!$G:$G,'LOG Complain'!$C:$C,$A14,'LOG Complain'!$B:$B,B$1)</f>
        <v>#DIV/0!</v>
      </c>
      <c r="C14" s="18" t="str">
        <f>AVERAGEIFS('LOG Complain'!$G:$G,'LOG Complain'!$C:$C,$A14,'LOG Complain'!$B:$B,C$1)</f>
        <v>#DIV/0!</v>
      </c>
      <c r="D14" s="18" t="str">
        <f>AVERAGEIFS('LOG Complain'!$G:$G,'LOG Complain'!$C:$C,$A14,'LOG Complain'!$B:$B,D$1)</f>
        <v>#DIV/0!</v>
      </c>
      <c r="E14" s="18" t="str">
        <f>AVERAGEIFS('LOG Complain'!$G:$G,'LOG Complain'!$C:$C,$A14,'LOG Complain'!$B:$B,E$1)</f>
        <v>#DIV/0!</v>
      </c>
      <c r="F14" s="18" t="str">
        <f>AVERAGEIFS('LOG Complain'!$G:$G,'LOG Complain'!$C:$C,$A14,'LOG Complain'!$B:$B,F$1)</f>
        <v>#DIV/0!</v>
      </c>
      <c r="G14" s="18" t="str">
        <f>AVERAGEIFS('LOG Complain'!$G:$G,'LOG Complain'!$C:$C,$A14,'LOG Complain'!$B:$B,G$1)</f>
        <v>#DIV/0!</v>
      </c>
    </row>
    <row r="15">
      <c r="A15" s="18" t="s">
        <v>142</v>
      </c>
      <c r="B15" s="18" t="str">
        <f>AVERAGEIFS('LOG Complain'!$G:$G,'LOG Complain'!$C:$C,$A15,'LOG Complain'!$B:$B,B$1)</f>
        <v>#DIV/0!</v>
      </c>
      <c r="C15" s="18" t="str">
        <f>AVERAGEIFS('LOG Complain'!$G:$G,'LOG Complain'!$C:$C,$A15,'LOG Complain'!$B:$B,C$1)</f>
        <v>#DIV/0!</v>
      </c>
      <c r="D15" s="18" t="str">
        <f>AVERAGEIFS('LOG Complain'!$G:$G,'LOG Complain'!$C:$C,$A15,'LOG Complain'!$B:$B,D$1)</f>
        <v>#DIV/0!</v>
      </c>
      <c r="E15" s="18" t="str">
        <f>AVERAGEIFS('LOG Complain'!$G:$G,'LOG Complain'!$C:$C,$A15,'LOG Complain'!$B:$B,E$1)</f>
        <v>#DIV/0!</v>
      </c>
      <c r="F15" s="18" t="str">
        <f>AVERAGEIFS('LOG Complain'!$G:$G,'LOG Complain'!$C:$C,$A15,'LOG Complain'!$B:$B,F$1)</f>
        <v>#DIV/0!</v>
      </c>
      <c r="G15" s="18" t="str">
        <f>AVERAGEIFS('LOG Complain'!$G:$G,'LOG Complain'!$C:$C,$A15,'LOG Complain'!$B:$B,G$1)</f>
        <v>#DIV/0!</v>
      </c>
    </row>
    <row r="16">
      <c r="A16" s="18" t="s">
        <v>132</v>
      </c>
      <c r="B16" s="18" t="str">
        <f>AVERAGEIFS('LOG Complain'!$G:$G,'LOG Complain'!$C:$C,$A16,'LOG Complain'!$B:$B,B$1)</f>
        <v>#DIV/0!</v>
      </c>
      <c r="C16" s="18" t="str">
        <f>AVERAGEIFS('LOG Complain'!$G:$G,'LOG Complain'!$C:$C,$A16,'LOG Complain'!$B:$B,C$1)</f>
        <v>#DIV/0!</v>
      </c>
      <c r="D16" s="18" t="str">
        <f>AVERAGEIFS('LOG Complain'!$G:$G,'LOG Complain'!$C:$C,$A16,'LOG Complain'!$B:$B,D$1)</f>
        <v>#DIV/0!</v>
      </c>
      <c r="E16" s="18" t="str">
        <f>AVERAGEIFS('LOG Complain'!$G:$G,'LOG Complain'!$C:$C,$A16,'LOG Complain'!$B:$B,E$1)</f>
        <v>#DIV/0!</v>
      </c>
      <c r="F16" s="18" t="str">
        <f>AVERAGEIFS('LOG Complain'!$G:$G,'LOG Complain'!$C:$C,$A16,'LOG Complain'!$B:$B,F$1)</f>
        <v>#DIV/0!</v>
      </c>
      <c r="G16" s="18" t="str">
        <f>AVERAGEIFS('LOG Complain'!$G:$G,'LOG Complain'!$C:$C,$A16,'LOG Complain'!$B:$B,G$1)</f>
        <v>#DIV/0!</v>
      </c>
    </row>
    <row r="17">
      <c r="A17" s="18" t="s">
        <v>114</v>
      </c>
      <c r="B17" s="18" t="str">
        <f>AVERAGEIFS('LOG Complain'!$G:$G,'LOG Complain'!$C:$C,$A17,'LOG Complain'!$B:$B,B$1)</f>
        <v>#DIV/0!</v>
      </c>
      <c r="C17" s="18" t="str">
        <f>AVERAGEIFS('LOG Complain'!$G:$G,'LOG Complain'!$C:$C,$A17,'LOG Complain'!$B:$B,C$1)</f>
        <v>#DIV/0!</v>
      </c>
      <c r="D17" s="18" t="str">
        <f>AVERAGEIFS('LOG Complain'!$G:$G,'LOG Complain'!$C:$C,$A17,'LOG Complain'!$B:$B,D$1)</f>
        <v>#DIV/0!</v>
      </c>
      <c r="E17" s="18" t="str">
        <f>AVERAGEIFS('LOG Complain'!$G:$G,'LOG Complain'!$C:$C,$A17,'LOG Complain'!$B:$B,E$1)</f>
        <v>#DIV/0!</v>
      </c>
      <c r="F17" s="18" t="str">
        <f>AVERAGEIFS('LOG Complain'!$G:$G,'LOG Complain'!$C:$C,$A17,'LOG Complain'!$B:$B,F$1)</f>
        <v>#DIV/0!</v>
      </c>
      <c r="G17" s="18" t="str">
        <f>AVERAGEIFS('LOG Complain'!$G:$G,'LOG Complain'!$C:$C,$A17,'LOG Complain'!$B:$B,G$1)</f>
        <v>#DIV/0!</v>
      </c>
    </row>
    <row r="18">
      <c r="A18" s="18" t="s">
        <v>111</v>
      </c>
      <c r="B18" s="18" t="str">
        <f>AVERAGEIFS('LOG Complain'!$G:$G,'LOG Complain'!$C:$C,$A18,'LOG Complain'!$B:$B,B$1)</f>
        <v>#DIV/0!</v>
      </c>
      <c r="C18" s="18" t="str">
        <f>AVERAGEIFS('LOG Complain'!$G:$G,'LOG Complain'!$C:$C,$A18,'LOG Complain'!$B:$B,C$1)</f>
        <v>#DIV/0!</v>
      </c>
      <c r="D18" s="18" t="str">
        <f>AVERAGEIFS('LOG Complain'!$G:$G,'LOG Complain'!$C:$C,$A18,'LOG Complain'!$B:$B,D$1)</f>
        <v>#DIV/0!</v>
      </c>
      <c r="E18" s="18" t="str">
        <f>AVERAGEIFS('LOG Complain'!$G:$G,'LOG Complain'!$C:$C,$A18,'LOG Complain'!$B:$B,E$1)</f>
        <v>#DIV/0!</v>
      </c>
      <c r="F18" s="18" t="str">
        <f>AVERAGEIFS('LOG Complain'!$G:$G,'LOG Complain'!$C:$C,$A18,'LOG Complain'!$B:$B,F$1)</f>
        <v>#DIV/0!</v>
      </c>
      <c r="G18" s="18" t="str">
        <f>AVERAGEIFS('LOG Complain'!$G:$G,'LOG Complain'!$C:$C,$A18,'LOG Complain'!$B:$B,G$1)</f>
        <v>#DIV/0!</v>
      </c>
    </row>
    <row r="19">
      <c r="A19" s="18" t="s">
        <v>109</v>
      </c>
      <c r="B19" s="18">
        <f>AVERAGEIFS('LOG Complain'!$G:$G,'LOG Complain'!$C:$C,$A19,'LOG Complain'!$B:$B,B$1)</f>
        <v>1</v>
      </c>
      <c r="C19" s="18" t="str">
        <f>AVERAGEIFS('LOG Complain'!$G:$G,'LOG Complain'!$C:$C,$A19,'LOG Complain'!$B:$B,C$1)</f>
        <v>#DIV/0!</v>
      </c>
      <c r="D19" s="18" t="str">
        <f>AVERAGEIFS('LOG Complain'!$G:$G,'LOG Complain'!$C:$C,$A19,'LOG Complain'!$B:$B,D$1)</f>
        <v>#DIV/0!</v>
      </c>
      <c r="E19" s="18" t="str">
        <f>AVERAGEIFS('LOG Complain'!$G:$G,'LOG Complain'!$C:$C,$A19,'LOG Complain'!$B:$B,E$1)</f>
        <v>#DIV/0!</v>
      </c>
      <c r="F19" s="18" t="str">
        <f>AVERAGEIFS('LOG Complain'!$G:$G,'LOG Complain'!$C:$C,$A19,'LOG Complain'!$B:$B,F$1)</f>
        <v>#DIV/0!</v>
      </c>
      <c r="G19" s="18" t="str">
        <f>AVERAGEIFS('LOG Complain'!$G:$G,'LOG Complain'!$C:$C,$A19,'LOG Complain'!$B:$B,G$1)</f>
        <v>#DIV/0!</v>
      </c>
    </row>
    <row r="20">
      <c r="A20" s="18" t="s">
        <v>124</v>
      </c>
      <c r="B20" s="18" t="str">
        <f>AVERAGEIFS('LOG Complain'!$G:$G,'LOG Complain'!$C:$C,$A20,'LOG Complain'!$B:$B,B$1)</f>
        <v>#DIV/0!</v>
      </c>
      <c r="C20" s="18" t="str">
        <f>AVERAGEIFS('LOG Complain'!$G:$G,'LOG Complain'!$C:$C,$A20,'LOG Complain'!$B:$B,C$1)</f>
        <v>#DIV/0!</v>
      </c>
      <c r="D20" s="18" t="str">
        <f>AVERAGEIFS('LOG Complain'!$G:$G,'LOG Complain'!$C:$C,$A20,'LOG Complain'!$B:$B,D$1)</f>
        <v>#DIV/0!</v>
      </c>
      <c r="E20" s="18" t="str">
        <f>AVERAGEIFS('LOG Complain'!$G:$G,'LOG Complain'!$C:$C,$A20,'LOG Complain'!$B:$B,E$1)</f>
        <v>#DIV/0!</v>
      </c>
      <c r="F20" s="18" t="str">
        <f>AVERAGEIFS('LOG Complain'!$G:$G,'LOG Complain'!$C:$C,$A20,'LOG Complain'!$B:$B,F$1)</f>
        <v>#DIV/0!</v>
      </c>
      <c r="G20" s="18" t="str">
        <f>AVERAGEIFS('LOG Complain'!$G:$G,'LOG Complain'!$C:$C,$A20,'LOG Complain'!$B:$B,G$1)</f>
        <v>#DIV/0!</v>
      </c>
    </row>
    <row r="21">
      <c r="A21" s="18" t="s">
        <v>127</v>
      </c>
      <c r="B21" s="18" t="str">
        <f>AVERAGEIFS('LOG Complain'!$G:$G,'LOG Complain'!$C:$C,$A21,'LOG Complain'!$B:$B,B$1)</f>
        <v>#DIV/0!</v>
      </c>
      <c r="C21" s="18" t="str">
        <f>AVERAGEIFS('LOG Complain'!$G:$G,'LOG Complain'!$C:$C,$A21,'LOG Complain'!$B:$B,C$1)</f>
        <v>#DIV/0!</v>
      </c>
      <c r="D21" s="18" t="str">
        <f>AVERAGEIFS('LOG Complain'!$G:$G,'LOG Complain'!$C:$C,$A21,'LOG Complain'!$B:$B,D$1)</f>
        <v>#DIV/0!</v>
      </c>
      <c r="E21" s="18" t="str">
        <f>AVERAGEIFS('LOG Complain'!$G:$G,'LOG Complain'!$C:$C,$A21,'LOG Complain'!$B:$B,E$1)</f>
        <v>#DIV/0!</v>
      </c>
      <c r="F21" s="18" t="str">
        <f>AVERAGEIFS('LOG Complain'!$G:$G,'LOG Complain'!$C:$C,$A21,'LOG Complain'!$B:$B,F$1)</f>
        <v>#DIV/0!</v>
      </c>
      <c r="G21" s="18" t="str">
        <f>AVERAGEIFS('LOG Complain'!$G:$G,'LOG Complain'!$C:$C,$A21,'LOG Complain'!$B:$B,G$1)</f>
        <v>#DIV/0!</v>
      </c>
    </row>
    <row r="22">
      <c r="A22" s="18" t="s">
        <v>130</v>
      </c>
      <c r="B22" s="18">
        <f>AVERAGEIFS('LOG Complain'!$G:$G,'LOG Complain'!$C:$C,$A22,'LOG Complain'!$B:$B,B$1)</f>
        <v>3</v>
      </c>
      <c r="C22" s="18" t="str">
        <f>AVERAGEIFS('LOG Complain'!$G:$G,'LOG Complain'!$C:$C,$A22,'LOG Complain'!$B:$B,C$1)</f>
        <v>#DIV/0!</v>
      </c>
      <c r="D22" s="18" t="str">
        <f>AVERAGEIFS('LOG Complain'!$G:$G,'LOG Complain'!$C:$C,$A22,'LOG Complain'!$B:$B,D$1)</f>
        <v>#DIV/0!</v>
      </c>
      <c r="E22" s="18" t="str">
        <f>AVERAGEIFS('LOG Complain'!$G:$G,'LOG Complain'!$C:$C,$A22,'LOG Complain'!$B:$B,E$1)</f>
        <v>#DIV/0!</v>
      </c>
      <c r="F22" s="18" t="str">
        <f>AVERAGEIFS('LOG Complain'!$G:$G,'LOG Complain'!$C:$C,$A22,'LOG Complain'!$B:$B,F$1)</f>
        <v>#DIV/0!</v>
      </c>
      <c r="G22" s="18" t="str">
        <f>AVERAGEIFS('LOG Complain'!$G:$G,'LOG Complain'!$C:$C,$A22,'LOG Complain'!$B:$B,G$1)</f>
        <v>#DIV/0!</v>
      </c>
    </row>
    <row r="23">
      <c r="A23" s="18" t="s">
        <v>141</v>
      </c>
      <c r="B23" s="18" t="str">
        <f>AVERAGEIFS('LOG Complain'!$G:$G,'LOG Complain'!$C:$C,$A23,'LOG Complain'!$B:$B,B$1)</f>
        <v>#DIV/0!</v>
      </c>
      <c r="C23" s="18" t="str">
        <f>AVERAGEIFS('LOG Complain'!$G:$G,'LOG Complain'!$C:$C,$A23,'LOG Complain'!$B:$B,C$1)</f>
        <v>#DIV/0!</v>
      </c>
      <c r="D23" s="18" t="str">
        <f>AVERAGEIFS('LOG Complain'!$G:$G,'LOG Complain'!$C:$C,$A23,'LOG Complain'!$B:$B,D$1)</f>
        <v>#DIV/0!</v>
      </c>
      <c r="E23" s="18" t="str">
        <f>AVERAGEIFS('LOG Complain'!$G:$G,'LOG Complain'!$C:$C,$A23,'LOG Complain'!$B:$B,E$1)</f>
        <v>#DIV/0!</v>
      </c>
      <c r="F23" s="18" t="str">
        <f>AVERAGEIFS('LOG Complain'!$G:$G,'LOG Complain'!$C:$C,$A23,'LOG Complain'!$B:$B,F$1)</f>
        <v>#DIV/0!</v>
      </c>
      <c r="G23" s="18" t="str">
        <f>AVERAGEIFS('LOG Complain'!$G:$G,'LOG Complain'!$C:$C,$A23,'LOG Complain'!$B:$B,G$1)</f>
        <v>#DIV/0!</v>
      </c>
    </row>
    <row r="24">
      <c r="A24" s="18" t="s">
        <v>123</v>
      </c>
      <c r="B24" s="18" t="str">
        <f>AVERAGEIFS('LOG Complain'!$G:$G,'LOG Complain'!$C:$C,$A24,'LOG Complain'!$B:$B,B$1)</f>
        <v>#DIV/0!</v>
      </c>
      <c r="C24" s="18" t="str">
        <f>AVERAGEIFS('LOG Complain'!$G:$G,'LOG Complain'!$C:$C,$A24,'LOG Complain'!$B:$B,C$1)</f>
        <v>#DIV/0!</v>
      </c>
      <c r="D24" s="18" t="str">
        <f>AVERAGEIFS('LOG Complain'!$G:$G,'LOG Complain'!$C:$C,$A24,'LOG Complain'!$B:$B,D$1)</f>
        <v>#DIV/0!</v>
      </c>
      <c r="E24" s="18" t="str">
        <f>AVERAGEIFS('LOG Complain'!$G:$G,'LOG Complain'!$C:$C,$A24,'LOG Complain'!$B:$B,E$1)</f>
        <v>#DIV/0!</v>
      </c>
      <c r="F24" s="18" t="str">
        <f>AVERAGEIFS('LOG Complain'!$G:$G,'LOG Complain'!$C:$C,$A24,'LOG Complain'!$B:$B,F$1)</f>
        <v>#DIV/0!</v>
      </c>
      <c r="G24" s="18" t="str">
        <f>AVERAGEIFS('LOG Complain'!$G:$G,'LOG Complain'!$C:$C,$A24,'LOG Complain'!$B:$B,G$1)</f>
        <v>#DIV/0!</v>
      </c>
    </row>
    <row r="25">
      <c r="A25" s="18" t="s">
        <v>112</v>
      </c>
      <c r="B25" s="18" t="str">
        <f>AVERAGEIFS('LOG Complain'!$G:$G,'LOG Complain'!$C:$C,$A25,'LOG Complain'!$B:$B,B$1)</f>
        <v>#DIV/0!</v>
      </c>
      <c r="C25" s="18" t="str">
        <f>AVERAGEIFS('LOG Complain'!$G:$G,'LOG Complain'!$C:$C,$A25,'LOG Complain'!$B:$B,C$1)</f>
        <v>#DIV/0!</v>
      </c>
      <c r="D25" s="18" t="str">
        <f>AVERAGEIFS('LOG Complain'!$G:$G,'LOG Complain'!$C:$C,$A25,'LOG Complain'!$B:$B,D$1)</f>
        <v>#DIV/0!</v>
      </c>
      <c r="E25" s="18" t="str">
        <f>AVERAGEIFS('LOG Complain'!$G:$G,'LOG Complain'!$C:$C,$A25,'LOG Complain'!$B:$B,E$1)</f>
        <v>#DIV/0!</v>
      </c>
      <c r="F25" s="18" t="str">
        <f>AVERAGEIFS('LOG Complain'!$G:$G,'LOG Complain'!$C:$C,$A25,'LOG Complain'!$B:$B,F$1)</f>
        <v>#DIV/0!</v>
      </c>
      <c r="G25" s="18" t="str">
        <f>AVERAGEIFS('LOG Complain'!$G:$G,'LOG Complain'!$C:$C,$A25,'LOG Complain'!$B:$B,G$1)</f>
        <v>#DIV/0!</v>
      </c>
    </row>
    <row r="26">
      <c r="A26" s="18" t="s">
        <v>134</v>
      </c>
      <c r="B26" s="18" t="str">
        <f>AVERAGEIFS('LOG Complain'!$G:$G,'LOG Complain'!$C:$C,$A26,'LOG Complain'!$B:$B,B$1)</f>
        <v>#DIV/0!</v>
      </c>
      <c r="C26" s="18" t="str">
        <f>AVERAGEIFS('LOG Complain'!$G:$G,'LOG Complain'!$C:$C,$A26,'LOG Complain'!$B:$B,C$1)</f>
        <v>#DIV/0!</v>
      </c>
      <c r="D26" s="18" t="str">
        <f>AVERAGEIFS('LOG Complain'!$G:$G,'LOG Complain'!$C:$C,$A26,'LOG Complain'!$B:$B,D$1)</f>
        <v>#DIV/0!</v>
      </c>
      <c r="E26" s="18" t="str">
        <f>AVERAGEIFS('LOG Complain'!$G:$G,'LOG Complain'!$C:$C,$A26,'LOG Complain'!$B:$B,E$1)</f>
        <v>#DIV/0!</v>
      </c>
      <c r="F26" s="18" t="str">
        <f>AVERAGEIFS('LOG Complain'!$G:$G,'LOG Complain'!$C:$C,$A26,'LOG Complain'!$B:$B,F$1)</f>
        <v>#DIV/0!</v>
      </c>
      <c r="G26" s="18" t="str">
        <f>AVERAGEIFS('LOG Complain'!$G:$G,'LOG Complain'!$C:$C,$A26,'LOG Complain'!$B:$B,G$1)</f>
        <v>#DIV/0!</v>
      </c>
    </row>
    <row r="27">
      <c r="A27" s="18" t="s">
        <v>125</v>
      </c>
      <c r="B27" s="18" t="str">
        <f>AVERAGEIFS('LOG Complain'!$G:$G,'LOG Complain'!$C:$C,$A27,'LOG Complain'!$B:$B,B$1)</f>
        <v>#DIV/0!</v>
      </c>
      <c r="C27" s="18" t="str">
        <f>AVERAGEIFS('LOG Complain'!$G:$G,'LOG Complain'!$C:$C,$A27,'LOG Complain'!$B:$B,C$1)</f>
        <v>#DIV/0!</v>
      </c>
      <c r="D27" s="18" t="str">
        <f>AVERAGEIFS('LOG Complain'!$G:$G,'LOG Complain'!$C:$C,$A27,'LOG Complain'!$B:$B,D$1)</f>
        <v>#DIV/0!</v>
      </c>
      <c r="E27" s="18" t="str">
        <f>AVERAGEIFS('LOG Complain'!$G:$G,'LOG Complain'!$C:$C,$A27,'LOG Complain'!$B:$B,E$1)</f>
        <v>#DIV/0!</v>
      </c>
      <c r="F27" s="18" t="str">
        <f>AVERAGEIFS('LOG Complain'!$G:$G,'LOG Complain'!$C:$C,$A27,'LOG Complain'!$B:$B,F$1)</f>
        <v>#DIV/0!</v>
      </c>
      <c r="G27" s="18" t="str">
        <f>AVERAGEIFS('LOG Complain'!$G:$G,'LOG Complain'!$C:$C,$A27,'LOG Complain'!$B:$B,G$1)</f>
        <v>#DIV/0!</v>
      </c>
    </row>
    <row r="28">
      <c r="A28" s="18" t="s">
        <v>129</v>
      </c>
      <c r="B28" s="18" t="str">
        <f>AVERAGEIFS('LOG Complain'!$G:$G,'LOG Complain'!$C:$C,$A28,'LOG Complain'!$B:$B,B$1)</f>
        <v>#DIV/0!</v>
      </c>
      <c r="C28" s="18" t="str">
        <f>AVERAGEIFS('LOG Complain'!$G:$G,'LOG Complain'!$C:$C,$A28,'LOG Complain'!$B:$B,C$1)</f>
        <v>#DIV/0!</v>
      </c>
      <c r="D28" s="18" t="str">
        <f>AVERAGEIFS('LOG Complain'!$G:$G,'LOG Complain'!$C:$C,$A28,'LOG Complain'!$B:$B,D$1)</f>
        <v>#DIV/0!</v>
      </c>
      <c r="E28" s="18" t="str">
        <f>AVERAGEIFS('LOG Complain'!$G:$G,'LOG Complain'!$C:$C,$A28,'LOG Complain'!$B:$B,E$1)</f>
        <v>#DIV/0!</v>
      </c>
      <c r="F28" s="18" t="str">
        <f>AVERAGEIFS('LOG Complain'!$G:$G,'LOG Complain'!$C:$C,$A28,'LOG Complain'!$B:$B,F$1)</f>
        <v>#DIV/0!</v>
      </c>
      <c r="G28" s="18" t="str">
        <f>AVERAGEIFS('LOG Complain'!$G:$G,'LOG Complain'!$C:$C,$A28,'LOG Complain'!$B:$B,G$1)</f>
        <v>#DIV/0!</v>
      </c>
    </row>
    <row r="29">
      <c r="A29" s="18" t="s">
        <v>120</v>
      </c>
      <c r="B29" s="18" t="str">
        <f>AVERAGEIFS('LOG Complain'!$G:$G,'LOG Complain'!$C:$C,$A29,'LOG Complain'!$B:$B,B$1)</f>
        <v>#DIV/0!</v>
      </c>
      <c r="C29" s="18" t="str">
        <f>AVERAGEIFS('LOG Complain'!$G:$G,'LOG Complain'!$C:$C,$A29,'LOG Complain'!$B:$B,C$1)</f>
        <v>#DIV/0!</v>
      </c>
      <c r="D29" s="18" t="str">
        <f>AVERAGEIFS('LOG Complain'!$G:$G,'LOG Complain'!$C:$C,$A29,'LOG Complain'!$B:$B,D$1)</f>
        <v>#DIV/0!</v>
      </c>
      <c r="E29" s="18" t="str">
        <f>AVERAGEIFS('LOG Complain'!$G:$G,'LOG Complain'!$C:$C,$A29,'LOG Complain'!$B:$B,E$1)</f>
        <v>#DIV/0!</v>
      </c>
      <c r="F29" s="18" t="str">
        <f>AVERAGEIFS('LOG Complain'!$G:$G,'LOG Complain'!$C:$C,$A29,'LOG Complain'!$B:$B,F$1)</f>
        <v>#DIV/0!</v>
      </c>
      <c r="G29" s="18" t="str">
        <f>AVERAGEIFS('LOG Complain'!$G:$G,'LOG Complain'!$C:$C,$A29,'LOG Complain'!$B:$B,G$1)</f>
        <v>#DIV/0!</v>
      </c>
    </row>
    <row r="30">
      <c r="A30" s="18" t="s">
        <v>126</v>
      </c>
      <c r="B30" s="18" t="str">
        <f>AVERAGEIFS('LOG Complain'!$G:$G,'LOG Complain'!$C:$C,$A30,'LOG Complain'!$B:$B,B$1)</f>
        <v>#DIV/0!</v>
      </c>
      <c r="C30" s="18" t="str">
        <f>AVERAGEIFS('LOG Complain'!$G:$G,'LOG Complain'!$C:$C,$A30,'LOG Complain'!$B:$B,C$1)</f>
        <v>#DIV/0!</v>
      </c>
      <c r="D30" s="18" t="str">
        <f>AVERAGEIFS('LOG Complain'!$G:$G,'LOG Complain'!$C:$C,$A30,'LOG Complain'!$B:$B,D$1)</f>
        <v>#DIV/0!</v>
      </c>
      <c r="E30" s="18" t="str">
        <f>AVERAGEIFS('LOG Complain'!$G:$G,'LOG Complain'!$C:$C,$A30,'LOG Complain'!$B:$B,E$1)</f>
        <v>#DIV/0!</v>
      </c>
      <c r="F30" s="18" t="str">
        <f>AVERAGEIFS('LOG Complain'!$G:$G,'LOG Complain'!$C:$C,$A30,'LOG Complain'!$B:$B,F$1)</f>
        <v>#DIV/0!</v>
      </c>
      <c r="G30" s="18" t="str">
        <f>AVERAGEIFS('LOG Complain'!$G:$G,'LOG Complain'!$C:$C,$A30,'LOG Complain'!$B:$B,G$1)</f>
        <v>#DIV/0!</v>
      </c>
    </row>
    <row r="31">
      <c r="A31" s="18" t="s">
        <v>118</v>
      </c>
      <c r="B31" s="18" t="str">
        <f>AVERAGEIFS('LOG Complain'!$G:$G,'LOG Complain'!$C:$C,$A31,'LOG Complain'!$B:$B,B$1)</f>
        <v>#DIV/0!</v>
      </c>
      <c r="C31" s="18" t="str">
        <f>AVERAGEIFS('LOG Complain'!$G:$G,'LOG Complain'!$C:$C,$A31,'LOG Complain'!$B:$B,C$1)</f>
        <v>#DIV/0!</v>
      </c>
      <c r="D31" s="18" t="str">
        <f>AVERAGEIFS('LOG Complain'!$G:$G,'LOG Complain'!$C:$C,$A31,'LOG Complain'!$B:$B,D$1)</f>
        <v>#DIV/0!</v>
      </c>
      <c r="E31" s="18" t="str">
        <f>AVERAGEIFS('LOG Complain'!$G:$G,'LOG Complain'!$C:$C,$A31,'LOG Complain'!$B:$B,E$1)</f>
        <v>#DIV/0!</v>
      </c>
      <c r="F31" s="18" t="str">
        <f>AVERAGEIFS('LOG Complain'!$G:$G,'LOG Complain'!$C:$C,$A31,'LOG Complain'!$B:$B,F$1)</f>
        <v>#DIV/0!</v>
      </c>
      <c r="G31" s="18" t="str">
        <f>AVERAGEIFS('LOG Complain'!$G:$G,'LOG Complain'!$C:$C,$A31,'LOG Complain'!$B:$B,G$1)</f>
        <v>#DIV/0!</v>
      </c>
    </row>
  </sheetData>
  <drawing r:id="rId1"/>
</worksheet>
</file>